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ncanaPengujian" sheetId="1" state="visible" r:id="rId3"/>
    <sheet name="RA_result" sheetId="2" state="visible" r:id="rId4"/>
    <sheet name="TB_audited" sheetId="3" state="visible" r:id="rId5"/>
  </sheets>
  <definedNames>
    <definedName function="false" hidden="false" localSheetId="0" name="_xlnm.Print_Area" vbProcedure="false">RencanaPengujian!$A$1:$X$1027</definedName>
    <definedName function="false" hidden="false" name="input_A" vbProcedure="false">TB_audited!$D$20:$G$1019</definedName>
    <definedName function="false" hidden="false" name="input_B" vbProcedure="false">TB_audited!$H$20:$P$1010</definedName>
    <definedName function="false" hidden="false" name="thn_ini" vbProcedure="false">TB_audited!$F$18</definedName>
    <definedName function="false" hidden="false" name="thn_lalu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<sst xmlns="http://schemas.openxmlformats.org/spreadsheetml/2006/main" count="3678" uniqueCount="379">
  <si>
    <t xml:space="preserve">Nama KAP</t>
  </si>
  <si>
    <t xml:space="preserve">:</t>
  </si>
  <si>
    <t xml:space="preserve">Syarief, Wibawa &amp; Rekan</t>
  </si>
  <si>
    <t xml:space="preserve">Nama AP</t>
  </si>
  <si>
    <t xml:space="preserve">Budi T. Wibawa</t>
  </si>
  <si>
    <t xml:space="preserve">Nama Klien</t>
  </si>
  <si>
    <t xml:space="preserve">PT YKL Indonesia</t>
  </si>
  <si>
    <t xml:space="preserve">Alamat Klien</t>
  </si>
  <si>
    <t xml:space="preserve">Jalan Millenium IV Blok A 24/7, Kawasan Industri Millenium, Peusar/Panongan, Tangerang </t>
  </si>
  <si>
    <t xml:space="preserve">Tahun Buku</t>
  </si>
  <si>
    <t xml:space="preserve">Audit Laporan Keuangan untuk Tahun yang Berakhir 31 Desember 2024</t>
  </si>
  <si>
    <t xml:space="preserve">Indeks KKA</t>
  </si>
  <si>
    <t xml:space="preserve">RR.RPH</t>
  </si>
  <si>
    <t xml:space="preserve">Nama Indeks</t>
  </si>
  <si>
    <t xml:space="preserve">Rencana Pengujian dan Hasilnya</t>
  </si>
  <si>
    <t xml:space="preserve">Periode</t>
  </si>
  <si>
    <t xml:space="preserve">Current</t>
  </si>
  <si>
    <t xml:space="preserve">RENCANA PENGUJIAN DAN HASILNYA</t>
  </si>
  <si>
    <t xml:space="preserve">Simpulan</t>
  </si>
  <si>
    <t xml:space="preserve">Rencana pengujian dan hasilnya sudah memadai</t>
  </si>
  <si>
    <t xml:space="preserve">Jelaskan dasar kesimpulan di atas</t>
  </si>
  <si>
    <t xml:space="preserve">Status KKA</t>
  </si>
  <si>
    <t xml:space="preserve">Completed</t>
  </si>
  <si>
    <t xml:space="preserve">Trial Balance</t>
  </si>
  <si>
    <t xml:space="preserve">Periksa</t>
  </si>
  <si>
    <t xml:space="preserve">Pengujian</t>
  </si>
  <si>
    <t xml:space="preserve">Risk Analysis</t>
  </si>
  <si>
    <t xml:space="preserve">Sampling</t>
  </si>
  <si>
    <t xml:space="preserve">Hasil Pengujian</t>
  </si>
  <si>
    <t xml:space="preserve">Header</t>
  </si>
  <si>
    <t xml:space="preserve">no_N</t>
  </si>
  <si>
    <t xml:space="preserve">no_O</t>
  </si>
  <si>
    <t xml:space="preserve">Nama_akun</t>
  </si>
  <si>
    <t xml:space="preserve">AP</t>
  </si>
  <si>
    <t xml:space="preserve">ToD</t>
  </si>
  <si>
    <t xml:space="preserve">I/YE</t>
  </si>
  <si>
    <t xml:space="preserve">Periksa Langsung
Ya/Tdk</t>
  </si>
  <si>
    <t xml:space="preserve">Sampling
Ya/Tdk</t>
  </si>
  <si>
    <t xml:space="preserve">Populasi
(Rp)</t>
  </si>
  <si>
    <t xml:space="preserve">Sampling
(Rp)</t>
  </si>
  <si>
    <t xml:space="preserve">M/TM</t>
  </si>
  <si>
    <t xml:space="preserve">ROMM</t>
  </si>
  <si>
    <t xml:space="preserve">Significant Account</t>
  </si>
  <si>
    <t xml:space="preserve">AP Result
H/M/N</t>
  </si>
  <si>
    <t xml:space="preserve">Performance Materiality</t>
  </si>
  <si>
    <t xml:space="preserve">Risk Factor Adjutment</t>
  </si>
  <si>
    <t xml:space="preserve">Specific  Materiality</t>
  </si>
  <si>
    <t xml:space="preserve">Confidence Factor</t>
  </si>
  <si>
    <t xml:space="preserve">Sample Interval</t>
  </si>
  <si>
    <t xml:space="preserve">Jumlah Sample</t>
  </si>
  <si>
    <t xml:space="preserve">Lebih Salah Saji</t>
  </si>
  <si>
    <t xml:space="preserve">Kurang Salah Saji</t>
  </si>
  <si>
    <t xml:space="preserve">Status</t>
  </si>
  <si>
    <t xml:space="preserve">Tidak</t>
  </si>
  <si>
    <t xml:space="preserve">Ya</t>
  </si>
  <si>
    <t xml:space="preserve">N</t>
  </si>
  <si>
    <t xml:space="preserve"/>
  </si>
  <si>
    <t xml:space="preserve">X</t>
  </si>
  <si>
    <t xml:space="preserve">Disiapkan oleh</t>
  </si>
  <si>
    <t xml:space="preserve">A</t>
  </si>
  <si>
    <t xml:space="preserve">Tanggal</t>
  </si>
  <si>
    <t xml:space="preserve">Jumlah menit</t>
  </si>
  <si>
    <t xml:space="preserve">Direview oleh</t>
  </si>
  <si>
    <t xml:space="preserve">RENCANA SAMPLE (formula sesuai contoh ISA GUIDE VOL 2 hal 231) </t>
  </si>
  <si>
    <t xml:space="preserve">Risk Level of ROMM</t>
  </si>
  <si>
    <t xml:space="preserve">Assurance of Substantif Analitycal Procedure</t>
  </si>
  <si>
    <t xml:space="preserve">Range (Confidence Factor)</t>
  </si>
  <si>
    <t xml:space="preserve">High</t>
  </si>
  <si>
    <t xml:space="preserve">1,9 - 2,3</t>
  </si>
  <si>
    <t xml:space="preserve">Moderate</t>
  </si>
  <si>
    <t xml:space="preserve">2,3 -3</t>
  </si>
  <si>
    <t xml:space="preserve">No</t>
  </si>
  <si>
    <t xml:space="preserve">1,6 - 1,9</t>
  </si>
  <si>
    <t xml:space="preserve">2,3 - 3</t>
  </si>
  <si>
    <t xml:space="preserve">Low</t>
  </si>
  <si>
    <t xml:space="preserve">0,5 - 1,21</t>
  </si>
  <si>
    <t xml:space="preserve">1,21 - 1,4</t>
  </si>
  <si>
    <t xml:space="preserve">1,4 - 2,3</t>
  </si>
  <si>
    <t xml:space="preserve">Sample size       = </t>
  </si>
  <si>
    <t xml:space="preserve">Population to Be Tested ÷ Sampling Interval</t>
  </si>
  <si>
    <t xml:space="preserve">Sample interval =  Performance Materiality (Tolerable Misstatement) ÷ Confidence Factor</t>
  </si>
  <si>
    <t xml:space="preserve">RA.120</t>
  </si>
  <si>
    <t xml:space="preserve">RA.220</t>
  </si>
  <si>
    <t xml:space="preserve">RA.230</t>
  </si>
  <si>
    <t xml:space="preserve">Kode</t>
  </si>
  <si>
    <t xml:space="preserve">OM</t>
  </si>
  <si>
    <t xml:space="preserve">PM</t>
  </si>
  <si>
    <t xml:space="preserve">SM-OM</t>
  </si>
  <si>
    <t xml:space="preserve">SM-PM</t>
  </si>
  <si>
    <t xml:space="preserve">ASERSI</t>
  </si>
  <si>
    <t xml:space="preserve">SA</t>
  </si>
  <si>
    <t xml:space="preserve">TOD</t>
  </si>
  <si>
    <t xml:space="preserve">Saat</t>
  </si>
  <si>
    <t xml:space="preserve">Cash and cash equivalent</t>
  </si>
  <si>
    <t xml:space="preserve">M</t>
  </si>
  <si>
    <t xml:space="preserve"> E  V</t>
  </si>
  <si>
    <t xml:space="preserve">L</t>
  </si>
  <si>
    <t xml:space="preserve">YE</t>
  </si>
  <si>
    <t xml:space="preserve">Trade receivable</t>
  </si>
  <si>
    <t xml:space="preserve">Inventory</t>
  </si>
  <si>
    <t xml:space="preserve">Prepayment</t>
  </si>
  <si>
    <t xml:space="preserve">Prepaid tax</t>
  </si>
  <si>
    <t xml:space="preserve">Other current asset</t>
  </si>
  <si>
    <t xml:space="preserve">TM</t>
  </si>
  <si>
    <t xml:space="preserve">Fixed asset</t>
  </si>
  <si>
    <t xml:space="preserve">Intangible asset</t>
  </si>
  <si>
    <t xml:space="preserve">Trade payable</t>
  </si>
  <si>
    <t xml:space="preserve">C   V</t>
  </si>
  <si>
    <t xml:space="preserve">Accruals and other payable</t>
  </si>
  <si>
    <t xml:space="preserve">Short-term employee benefit liability</t>
  </si>
  <si>
    <t xml:space="preserve">Taxes payable</t>
  </si>
  <si>
    <t xml:space="preserve">Other long-term liability</t>
  </si>
  <si>
    <t xml:space="preserve">Share capital</t>
  </si>
  <si>
    <t xml:space="preserve">Retained earnings – unappropriated</t>
  </si>
  <si>
    <t xml:space="preserve">Revenue</t>
  </si>
  <si>
    <t xml:space="preserve"> E A&amp;C </t>
  </si>
  <si>
    <t xml:space="preserve">H</t>
  </si>
  <si>
    <t xml:space="preserve">Interest income</t>
  </si>
  <si>
    <t xml:space="preserve">Other revenues besides interest income</t>
  </si>
  <si>
    <t xml:space="preserve">C  A&amp;C </t>
  </si>
  <si>
    <t xml:space="preserve">Cost of revenue </t>
  </si>
  <si>
    <t xml:space="preserve">Human resources expense</t>
  </si>
  <si>
    <t xml:space="preserve">General and administrative expense</t>
  </si>
  <si>
    <t xml:space="preserve">Depreciation and amortization expense</t>
  </si>
  <si>
    <t xml:space="preserve">Other expenses besides interest expense </t>
  </si>
  <si>
    <t xml:space="preserve">Current tax expense</t>
  </si>
  <si>
    <t xml:space="preserve">Previous</t>
  </si>
  <si>
    <t xml:space="preserve">Interim</t>
  </si>
  <si>
    <t xml:space="preserve">header</t>
  </si>
  <si>
    <t xml:space="preserve">nama_akun</t>
  </si>
  <si>
    <t xml:space="preserve">100/0000</t>
  </si>
  <si>
    <t xml:space="preserve">TRADE DEBTORS - IDR</t>
  </si>
  <si>
    <t xml:space="preserve">100/0001</t>
  </si>
  <si>
    <t xml:space="preserve">Provision of Allowance Bad Debts</t>
  </si>
  <si>
    <t xml:space="preserve">105/0010</t>
  </si>
  <si>
    <t xml:space="preserve">YKL ENGINEERING SDN. BHD. (PJS)</t>
  </si>
  <si>
    <t xml:space="preserve">105/0060</t>
  </si>
  <si>
    <t xml:space="preserve">PT. KMT ENGINEERING NUSANTARA (PJS)</t>
  </si>
  <si>
    <t xml:space="preserve">110/0000</t>
  </si>
  <si>
    <t xml:space="preserve">CASH IN HAND</t>
  </si>
  <si>
    <t xml:space="preserve">120/0030</t>
  </si>
  <si>
    <t xml:space="preserve">CASH AT BANK-BCA (2ND) A/C : 764BCA (2ND) A/C : 7640669998 IDR</t>
  </si>
  <si>
    <t xml:space="preserve">120/0040</t>
  </si>
  <si>
    <t xml:space="preserve">CASH AT BANK-BCA (EMG) A/C : 764BCA (EMG) A/C : 7640669599 IDR</t>
  </si>
  <si>
    <t xml:space="preserve">120/0050</t>
  </si>
  <si>
    <t xml:space="preserve">CASH AT BANK-MANDIRI A/C : 118003MANDIRI A/C : 1180033355677 IDR</t>
  </si>
  <si>
    <t xml:space="preserve">120/0100</t>
  </si>
  <si>
    <t xml:space="preserve">CASH AT BANK-MANDIRI A/C : 1180007MANDIRI A/C : 1180007832388 USD2</t>
  </si>
  <si>
    <t xml:space="preserve">120/0140</t>
  </si>
  <si>
    <t xml:space="preserve">CASH AT BANK-BNI A/C:855771775</t>
  </si>
  <si>
    <t xml:space="preserve">126/1000</t>
  </si>
  <si>
    <t xml:space="preserve">INVENTORY-MACHINE</t>
  </si>
  <si>
    <t xml:space="preserve">126/2000</t>
  </si>
  <si>
    <t xml:space="preserve">INVENTORY-SPAREPARTS</t>
  </si>
  <si>
    <t xml:space="preserve">130/0060</t>
  </si>
  <si>
    <t xml:space="preserve">ADE IRAWAN</t>
  </si>
  <si>
    <t xml:space="preserve">130/0090</t>
  </si>
  <si>
    <t xml:space="preserve">NURDIN ANDRIANSYAH</t>
  </si>
  <si>
    <t xml:space="preserve">130/0120</t>
  </si>
  <si>
    <t xml:space="preserve">HUSNI APENDI</t>
  </si>
  <si>
    <t xml:space="preserve">130/0180</t>
  </si>
  <si>
    <t xml:space="preserve">OKTA SANDRIAWAN</t>
  </si>
  <si>
    <t xml:space="preserve">130/0200</t>
  </si>
  <si>
    <t xml:space="preserve">IRWAN YUWONO</t>
  </si>
  <si>
    <t xml:space="preserve">130/0210</t>
  </si>
  <si>
    <t xml:space="preserve">BAHRUDIN</t>
  </si>
  <si>
    <t xml:space="preserve">130/0220</t>
  </si>
  <si>
    <t xml:space="preserve">DEDI RIYADI</t>
  </si>
  <si>
    <t xml:space="preserve">130/0230</t>
  </si>
  <si>
    <t xml:space="preserve">HARVY WAHYU PERDANA</t>
  </si>
  <si>
    <t xml:space="preserve">130/0250</t>
  </si>
  <si>
    <t xml:space="preserve">TOMI HARIYANTO</t>
  </si>
  <si>
    <t xml:space="preserve">130/0260</t>
  </si>
  <si>
    <t xml:space="preserve">SUHARTOYO</t>
  </si>
  <si>
    <t xml:space="preserve">140/0050</t>
  </si>
  <si>
    <t xml:space="preserve">140/0370</t>
  </si>
  <si>
    <t xml:space="preserve">140/0430</t>
  </si>
  <si>
    <t xml:space="preserve">140/0503</t>
  </si>
  <si>
    <t xml:space="preserve">ALFI FADLI RUFI AZI</t>
  </si>
  <si>
    <t xml:space="preserve">170/0010</t>
  </si>
  <si>
    <t xml:space="preserve">DEPOSITS-RENTAL OF PHOTOCOPY</t>
  </si>
  <si>
    <t xml:space="preserve">170/0090</t>
  </si>
  <si>
    <t xml:space="preserve">PREPAYMENT-INSURANCE</t>
  </si>
  <si>
    <t xml:space="preserve">170/0200</t>
  </si>
  <si>
    <t xml:space="preserve">DOWN PAYMENT PROJECT CBU</t>
  </si>
  <si>
    <t xml:space="preserve">170/0700</t>
  </si>
  <si>
    <t xml:space="preserve">DOWN PAYMENT PROJECT GHOM/MOM</t>
  </si>
  <si>
    <t xml:space="preserve">170/0201</t>
  </si>
  <si>
    <t xml:space="preserve">Provision impairmanet cash advance</t>
  </si>
  <si>
    <t xml:space="preserve">180/0050</t>
  </si>
  <si>
    <t xml:space="preserve">PPH PASAL 21 ( PCB )</t>
  </si>
  <si>
    <t xml:space="preserve">180/0074</t>
  </si>
  <si>
    <t xml:space="preserve">PPH PASAL 28A (2024)</t>
  </si>
  <si>
    <t xml:space="preserve">200/0100</t>
  </si>
  <si>
    <t xml:space="preserve">FREEHOLD LAND</t>
  </si>
  <si>
    <t xml:space="preserve">200/0300</t>
  </si>
  <si>
    <t xml:space="preserve">WAREHOUSE</t>
  </si>
  <si>
    <t xml:space="preserve">200/0305</t>
  </si>
  <si>
    <t xml:space="preserve">ACCUM. DEPRN. WAREHOUSE</t>
  </si>
  <si>
    <t xml:space="preserve">200/0500</t>
  </si>
  <si>
    <t xml:space="preserve">OFFICE EQUIPMENT</t>
  </si>
  <si>
    <t xml:space="preserve">200/0505</t>
  </si>
  <si>
    <t xml:space="preserve">ACCUM. DEPRN. OFFICE EQUIPMENT</t>
  </si>
  <si>
    <t xml:space="preserve">200/0600</t>
  </si>
  <si>
    <t xml:space="preserve">MOTOR VEHICLE</t>
  </si>
  <si>
    <t xml:space="preserve">200/0605</t>
  </si>
  <si>
    <t xml:space="preserve">ACCUM. DEPRN. MOTOR VEHICLE</t>
  </si>
  <si>
    <t xml:space="preserve">200/0700</t>
  </si>
  <si>
    <t xml:space="preserve">MACHINERY AND EQUIPMENT</t>
  </si>
  <si>
    <t xml:space="preserve">200/0705</t>
  </si>
  <si>
    <t xml:space="preserve">ACCUM. DEPRN. MACHINERY AND EQUIPMENT</t>
  </si>
  <si>
    <t xml:space="preserve">250/0100</t>
  </si>
  <si>
    <t xml:space="preserve">INTANGIBLE ASSETS</t>
  </si>
  <si>
    <t xml:space="preserve">250/0105</t>
  </si>
  <si>
    <t xml:space="preserve">ACCUM. DEPRN. INTANGIBLE ASSETS</t>
  </si>
  <si>
    <t xml:space="preserve">300/0000</t>
  </si>
  <si>
    <t xml:space="preserve">TRADE CREDITORS-IDR</t>
  </si>
  <si>
    <t xml:space="preserve">301/0000</t>
  </si>
  <si>
    <t xml:space="preserve">TRADE CREDITORS-RM</t>
  </si>
  <si>
    <t xml:space="preserve">310/0000</t>
  </si>
  <si>
    <t xml:space="preserve">ACCRUALS</t>
  </si>
  <si>
    <t xml:space="preserve">311/0000</t>
  </si>
  <si>
    <t xml:space="preserve">OTHER CURRENT LIABILITIES</t>
  </si>
  <si>
    <t xml:space="preserve">315/0000</t>
  </si>
  <si>
    <t xml:space="preserve">POST EMPLOYEE BENEFIT</t>
  </si>
  <si>
    <t xml:space="preserve">350/0400</t>
  </si>
  <si>
    <t xml:space="preserve">SALES DOWN PAYMENT (DEPOSIT IDR)</t>
  </si>
  <si>
    <t xml:space="preserve">350/0800</t>
  </si>
  <si>
    <t xml:space="preserve">SALES DOWN PAYMENT MKH</t>
  </si>
  <si>
    <t xml:space="preserve">360/0030</t>
  </si>
  <si>
    <t xml:space="preserve">PPH PASAL 23 ( WITHOLDING TAX )</t>
  </si>
  <si>
    <t xml:space="preserve">360/0040</t>
  </si>
  <si>
    <t xml:space="preserve">PPH PASAL 4 AYAT 2 KONSTRUKSI</t>
  </si>
  <si>
    <t xml:space="preserve">360/0050</t>
  </si>
  <si>
    <t xml:space="preserve">PPH PASAL 21</t>
  </si>
  <si>
    <t xml:space="preserve">360/0060</t>
  </si>
  <si>
    <t xml:space="preserve">PPH PASAL 29</t>
  </si>
  <si>
    <t xml:space="preserve">360/0070</t>
  </si>
  <si>
    <t xml:space="preserve">PPH PASAL 25</t>
  </si>
  <si>
    <t xml:space="preserve">360/0080</t>
  </si>
  <si>
    <t xml:space="preserve">VAT ( OUT VS IN )</t>
  </si>
  <si>
    <t xml:space="preserve">400/0000</t>
  </si>
  <si>
    <t xml:space="preserve">CAPITAL</t>
  </si>
  <si>
    <t xml:space="preserve">410/0000</t>
  </si>
  <si>
    <t xml:space="preserve">RETAINED EARNINGS</t>
  </si>
  <si>
    <t xml:space="preserve">500/0010</t>
  </si>
  <si>
    <t xml:space="preserve">SALES-PROJECT, ECT</t>
  </si>
  <si>
    <t xml:space="preserve">500/0020</t>
  </si>
  <si>
    <t xml:space="preserve">SALES-SPAREPARTS</t>
  </si>
  <si>
    <t xml:space="preserve">500/0030</t>
  </si>
  <si>
    <t xml:space="preserve">SALES-MACHINE</t>
  </si>
  <si>
    <t xml:space="preserve">500/0041</t>
  </si>
  <si>
    <t xml:space="preserve">SALES-SERVICES AND MAINTENANCE</t>
  </si>
  <si>
    <t xml:space="preserve">560/0000</t>
  </si>
  <si>
    <t xml:space="preserve">RETURN OUTWARDS (SALES RETURN)</t>
  </si>
  <si>
    <t xml:space="preserve">600/0010</t>
  </si>
  <si>
    <t xml:space="preserve">OPENING STOCKS-STOCKS-MACHINE</t>
  </si>
  <si>
    <t xml:space="preserve">600/0020</t>
  </si>
  <si>
    <t xml:space="preserve">OPENING STOCKS-STOCKS-SPAREPARTS</t>
  </si>
  <si>
    <t xml:space="preserve">610/0010</t>
  </si>
  <si>
    <t xml:space="preserve">PURCHASES-SPREPARTS</t>
  </si>
  <si>
    <t xml:space="preserve">610/0020</t>
  </si>
  <si>
    <t xml:space="preserve">PURCHASES-MACHINES</t>
  </si>
  <si>
    <t xml:space="preserve">610/0040</t>
  </si>
  <si>
    <t xml:space="preserve">PURCHASES-PROJECT,ETC</t>
  </si>
  <si>
    <t xml:space="preserve">610/0050</t>
  </si>
  <si>
    <t xml:space="preserve">PURCHASES-SERVICES AND MAINTENANCE</t>
  </si>
  <si>
    <t xml:space="preserve">619/0010</t>
  </si>
  <si>
    <t xml:space="preserve">CLOSING STOCKS-STOCKS-MACHINE</t>
  </si>
  <si>
    <t xml:space="preserve">619/0020</t>
  </si>
  <si>
    <t xml:space="preserve">CLOSING STOCKS-STOCKS-SPAREPARTS</t>
  </si>
  <si>
    <t xml:space="preserve">620/0020</t>
  </si>
  <si>
    <t xml:space="preserve">CUSTOM CLEARANCE EXPENSE</t>
  </si>
  <si>
    <t xml:space="preserve">650/0010</t>
  </si>
  <si>
    <t xml:space="preserve">DEPRECIATION EXPENSE OF MACHINERY &amp; EQUIPMENT</t>
  </si>
  <si>
    <t xml:space="preserve">810/0020</t>
  </si>
  <si>
    <t xml:space="preserve">GAIN / ( LOSS) ON FOREIGN EXCHANGE FROM CREDITORS</t>
  </si>
  <si>
    <t xml:space="preserve">810/0040</t>
  </si>
  <si>
    <t xml:space="preserve">UNREALISED GAIN / (LOSS) ON FOREIGN EXCHANGE</t>
  </si>
  <si>
    <t xml:space="preserve">820/0000</t>
  </si>
  <si>
    <t xml:space="preserve">SUNDRY INCOME</t>
  </si>
  <si>
    <t xml:space="preserve">841/0000</t>
  </si>
  <si>
    <t xml:space="preserve">INTEREST INCOME</t>
  </si>
  <si>
    <t xml:space="preserve">842/0000</t>
  </si>
  <si>
    <t xml:space="preserve">TAX ON INTEREST INCOME</t>
  </si>
  <si>
    <t xml:space="preserve">850/0010</t>
  </si>
  <si>
    <t xml:space="preserve">SALES-SCRAP  WASTE  ITEMS</t>
  </si>
  <si>
    <t xml:space="preserve">860/0000</t>
  </si>
  <si>
    <t xml:space="preserve">EMPLOYEE BENEFIT</t>
  </si>
  <si>
    <t xml:space="preserve">910/0010</t>
  </si>
  <si>
    <t xml:space="preserve">ACCOUNTING FEE</t>
  </si>
  <si>
    <t xml:space="preserve">910/0020</t>
  </si>
  <si>
    <t xml:space="preserve">AUDIT FEE</t>
  </si>
  <si>
    <t xml:space="preserve">910/0030</t>
  </si>
  <si>
    <t xml:space="preserve">BANK CHARGES</t>
  </si>
  <si>
    <t xml:space="preserve">910/0060</t>
  </si>
  <si>
    <t xml:space="preserve">JAMSOSTEK CONTRIBUTION</t>
  </si>
  <si>
    <t xml:space="preserve">910/0070</t>
  </si>
  <si>
    <t xml:space="preserve">FOOD AND DRINKS</t>
  </si>
  <si>
    <t xml:space="preserve">910/0080</t>
  </si>
  <si>
    <t xml:space="preserve">GREETING, GIFT &amp; CONDOLENCE</t>
  </si>
  <si>
    <t xml:space="preserve">910/0110</t>
  </si>
  <si>
    <t xml:space="preserve">POSTAGE &amp; STAMPS</t>
  </si>
  <si>
    <t xml:space="preserve">910/0120</t>
  </si>
  <si>
    <t xml:space="preserve">PRINTING &amp; STATIONERY</t>
  </si>
  <si>
    <t xml:space="preserve">910/0130</t>
  </si>
  <si>
    <t xml:space="preserve">SALARY, WAGES &amp; ALLOWANCE</t>
  </si>
  <si>
    <t xml:space="preserve">910/0150</t>
  </si>
  <si>
    <t xml:space="preserve">TELECOMMUNICATION CHARGES</t>
  </si>
  <si>
    <t xml:space="preserve">910/0180</t>
  </si>
  <si>
    <t xml:space="preserve">UPKEEP OF MOTOR VEHICLE</t>
  </si>
  <si>
    <t xml:space="preserve">910/0190</t>
  </si>
  <si>
    <t xml:space="preserve">UPKEEP OF OFFICE EQUIPMENT</t>
  </si>
  <si>
    <t xml:space="preserve">910/0200</t>
  </si>
  <si>
    <t xml:space="preserve">WATER CHARGES</t>
  </si>
  <si>
    <t xml:space="preserve">910/0210</t>
  </si>
  <si>
    <t xml:space="preserve">ELECTRICITY CHARGES</t>
  </si>
  <si>
    <t xml:space="preserve">910/0240</t>
  </si>
  <si>
    <t xml:space="preserve">ENTERTAINMENT</t>
  </si>
  <si>
    <t xml:space="preserve">910/0270</t>
  </si>
  <si>
    <t xml:space="preserve">TRANSPORT FEE FOR ADMINISTRATIVE / OFFICE</t>
  </si>
  <si>
    <t xml:space="preserve">910/0290</t>
  </si>
  <si>
    <t xml:space="preserve">MAINTENANCE FEE</t>
  </si>
  <si>
    <t xml:space="preserve">910/0300</t>
  </si>
  <si>
    <t xml:space="preserve">TOOLS AND UTENSILS</t>
  </si>
  <si>
    <t xml:space="preserve">910/0320</t>
  </si>
  <si>
    <t xml:space="preserve">PETROL CHARGES</t>
  </si>
  <si>
    <t xml:space="preserve">910/0350</t>
  </si>
  <si>
    <t xml:space="preserve">INSURANCE</t>
  </si>
  <si>
    <t xml:space="preserve">910/0400</t>
  </si>
  <si>
    <t xml:space="preserve">UPKEEP OF FACTORY EQUIPMENT</t>
  </si>
  <si>
    <t xml:space="preserve">910/0410</t>
  </si>
  <si>
    <t xml:space="preserve">PROFESIONAL FEE</t>
  </si>
  <si>
    <t xml:space="preserve">910/0420</t>
  </si>
  <si>
    <t xml:space="preserve">RENTAL OF FORKLIFT</t>
  </si>
  <si>
    <t xml:space="preserve">910/0432</t>
  </si>
  <si>
    <t xml:space="preserve">DEPRECIATION EXPENSE OF WAREHOUSE</t>
  </si>
  <si>
    <t xml:space="preserve">910/0434</t>
  </si>
  <si>
    <t xml:space="preserve">DEPRECIATION EXPENSE OF OFFICE EQUIPMENT</t>
  </si>
  <si>
    <t xml:space="preserve">910/0438</t>
  </si>
  <si>
    <t xml:space="preserve">DEPRECIATION EXPENSE OF INTANGIBLE ASSETS</t>
  </si>
  <si>
    <t xml:space="preserve">910/0460</t>
  </si>
  <si>
    <t xml:space="preserve">PAJAK BUMI DAN BANGUNAN</t>
  </si>
  <si>
    <t xml:space="preserve">910/0481</t>
  </si>
  <si>
    <t xml:space="preserve">OFFICE SUPPLIES</t>
  </si>
  <si>
    <t xml:space="preserve">910/0510</t>
  </si>
  <si>
    <t xml:space="preserve">OUTSTATION EXPENSES</t>
  </si>
  <si>
    <t xml:space="preserve">910/0610</t>
  </si>
  <si>
    <t xml:space="preserve">RENTAL OF PHOTOCOPY</t>
  </si>
  <si>
    <t xml:space="preserve">910/0700</t>
  </si>
  <si>
    <t xml:space="preserve">EMPLOYEE BENEFIT EXPENSES</t>
  </si>
  <si>
    <t xml:space="preserve">920/0020</t>
  </si>
  <si>
    <t xml:space="preserve">COMMISSION</t>
  </si>
  <si>
    <t xml:space="preserve">920/0040</t>
  </si>
  <si>
    <t xml:space="preserve">FREIGHT &amp; FORWARDING CHARGES</t>
  </si>
  <si>
    <t xml:space="preserve">920/0050</t>
  </si>
  <si>
    <t xml:space="preserve">COMMISSIONING</t>
  </si>
  <si>
    <t xml:space="preserve">921/0060</t>
  </si>
  <si>
    <t xml:space="preserve">WRITE OFF DEBT</t>
  </si>
  <si>
    <t xml:space="preserve">980/0010</t>
  </si>
  <si>
    <t xml:space="preserve">INCOME TAX EXPENSES</t>
  </si>
  <si>
    <t xml:space="preserve">921/0070</t>
  </si>
  <si>
    <t xml:space="preserve">BAD DEBT EXPENSES</t>
  </si>
  <si>
    <t xml:space="preserve">921/0080</t>
  </si>
  <si>
    <t xml:space="preserve">ADVANCE IMPAIRMENT</t>
  </si>
  <si>
    <t xml:space="preserve">921/0020</t>
  </si>
  <si>
    <t xml:space="preserve">SUNDRY EXPENSES</t>
  </si>
  <si>
    <t xml:space="preserve">921/0030</t>
  </si>
  <si>
    <t xml:space="preserve">ROUNDUP OR DOWN</t>
  </si>
  <si>
    <t xml:space="preserve">910/0435</t>
  </si>
  <si>
    <t xml:space="preserve">DEPRECIATION EXPENSE OF MOTOR VEHICLE</t>
  </si>
  <si>
    <t xml:space="preserve">910/0090</t>
  </si>
  <si>
    <t xml:space="preserve">MEDICAL FEE</t>
  </si>
  <si>
    <t xml:space="preserve">850/0000</t>
  </si>
  <si>
    <t xml:space="preserve">GAIN/ (LOSS) ON DISPOSAL OF FIXED ASSETS</t>
  </si>
  <si>
    <t xml:space="preserve">810/0010</t>
  </si>
  <si>
    <t xml:space="preserve">GAIN / ( LOSS) ON FOREIGN EXCHANGE FOR DEBTORS</t>
  </si>
  <si>
    <t xml:space="preserve">980/0020</t>
  </si>
  <si>
    <t xml:space="preserve">Taxation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</si>
</sst>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#,##0"/>
    <numFmt numFmtId="167" formatCode="[$-421]d\ mmm\ yy"/>
    <numFmt numFmtId="168" formatCode="[$-421]d\ mmm\ yyyy"/>
    <numFmt numFmtId="169" formatCode="[$-421]#,##0.00"/>
    <numFmt numFmtId="170" formatCode="[$-421]#,##0"/>
    <numFmt numFmtId="171" formatCode="General"/>
    <numFmt numFmtId="172" formatCode="0.00%"/>
    <numFmt numFmtId="173" formatCode="#,##0.0"/>
    <numFmt numFmtId="174" formatCode="0%"/>
    <numFmt numFmtId="175" formatCode="* #,##0.00\ ;* \(#,##0.00\);* \-#\ ;@\ "/>
    <numFmt numFmtId="176" formatCode="mmm\ d&quot;, &quot;yyyy"/>
    <numFmt numFmtId="177" formatCode="&quot;BENAR&quot;;&quot;BENAR&quot;;&quot;SALAH&quot;"/>
    <numFmt numFmtId="178" formatCode="[$-421]#,##0.0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9"/>
      <color rgb="FFFF3300"/>
      <name val="Arial"/>
      <family val="2"/>
    </font>
    <font>
      <b val="true"/>
      <u val="single"/>
      <sz val="10"/>
      <color rgb="FF0563C1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 val="true"/>
      <sz val="9"/>
      <color rgb="FFC9211E"/>
      <name val="Arial"/>
      <family val="2"/>
    </font>
    <font>
      <b val="true"/>
      <sz val="9"/>
      <color rgb="FF000000"/>
      <name val="Arial"/>
      <family val="2"/>
    </font>
    <font>
      <i val="true"/>
      <sz val="9"/>
      <color rgb="FF000000"/>
      <name val="Arial"/>
      <family val="2"/>
    </font>
    <font>
      <sz val="9"/>
      <color rgb="FFFF0000"/>
      <name val="Arial"/>
      <family val="2"/>
    </font>
    <font>
      <i val="true"/>
      <sz val="9"/>
      <color rgb="FFFF0000"/>
      <name val="Arial"/>
      <family val="2"/>
    </font>
    <font>
      <b val="true"/>
      <sz val="9"/>
      <color rgb="FF1C1C1C"/>
      <name val="Arial"/>
      <family val="2"/>
    </font>
    <font>
      <b val="true"/>
      <sz val="9"/>
      <color rgb="FFFFFFFF"/>
      <name val="Arial"/>
      <family val="2"/>
    </font>
    <font>
      <b val="true"/>
      <i val="true"/>
      <sz val="9"/>
      <color rgb="FF000000"/>
      <name val="Arial"/>
      <family val="2"/>
    </font>
    <font>
      <sz val="9"/>
      <color rgb="FFC00000"/>
      <name val="Arial"/>
      <family val="2"/>
    </font>
    <font>
      <i val="true"/>
      <sz val="9"/>
      <color rgb="FFC00000"/>
      <name val="Arial"/>
      <family val="2"/>
    </font>
    <font>
      <sz val="9"/>
      <color rgb="FF212121"/>
      <name val="Arial"/>
      <family val="2"/>
    </font>
    <font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FF99"/>
        <bgColor rgb="FFFFE994"/>
      </patternFill>
    </fill>
    <fill>
      <patternFill patternType="solid">
        <fgColor rgb="FFFFD428"/>
        <bgColor rgb="FFFFDE59"/>
      </patternFill>
    </fill>
    <fill>
      <patternFill patternType="solid">
        <fgColor rgb="FF81D41A"/>
        <bgColor rgb="FFAFD095"/>
      </patternFill>
    </fill>
    <fill>
      <patternFill patternType="solid">
        <fgColor rgb="FFFFFF38"/>
        <bgColor rgb="FFFFDE59"/>
      </patternFill>
    </fill>
    <fill>
      <patternFill patternType="solid">
        <fgColor rgb="FF66FFFF"/>
        <bgColor rgb="FF63BBEE"/>
      </patternFill>
    </fill>
    <fill>
      <patternFill patternType="solid">
        <fgColor rgb="FFAFD095"/>
        <bgColor rgb="FFCCCCFF"/>
      </patternFill>
    </fill>
    <fill>
      <patternFill patternType="solid">
        <fgColor rgb="FFBF819E"/>
        <bgColor rgb="FF8E86AE"/>
      </patternFill>
    </fill>
    <fill>
      <patternFill patternType="solid">
        <fgColor rgb="FF729FCF"/>
        <bgColor rgb="FF63BBEE"/>
      </patternFill>
    </fill>
    <fill>
      <patternFill patternType="solid">
        <fgColor rgb="FFFFA6A6"/>
        <bgColor rgb="FFFFAA95"/>
      </patternFill>
    </fill>
    <fill>
      <patternFill patternType="solid">
        <fgColor rgb="FF8E86AE"/>
        <bgColor rgb="FF729FCF"/>
      </patternFill>
    </fill>
    <fill>
      <patternFill patternType="solid">
        <fgColor rgb="FF000000"/>
        <bgColor rgb="FF1C1C1C"/>
      </patternFill>
    </fill>
    <fill>
      <patternFill patternType="solid">
        <fgColor rgb="FFFFAA95"/>
        <bgColor rgb="FFFFA6A6"/>
      </patternFill>
    </fill>
    <fill>
      <patternFill patternType="solid">
        <fgColor rgb="FFFFE994"/>
        <bgColor rgb="FFFFFF99"/>
      </patternFill>
    </fill>
    <fill>
      <patternFill patternType="solid">
        <fgColor rgb="FF009900"/>
        <bgColor rgb="FF00A933"/>
      </patternFill>
    </fill>
    <fill>
      <patternFill patternType="solid">
        <fgColor rgb="FF63BBEE"/>
        <bgColor rgb="FF729FCF"/>
      </patternFill>
    </fill>
    <fill>
      <patternFill patternType="solid">
        <fgColor rgb="FFFC5C00"/>
        <bgColor rgb="FFFF3300"/>
      </patternFill>
    </fill>
    <fill>
      <patternFill patternType="solid">
        <fgColor rgb="FF2CEE0E"/>
        <bgColor rgb="FF00CC00"/>
      </patternFill>
    </fill>
    <fill>
      <patternFill patternType="solid">
        <fgColor rgb="FF00CC00"/>
        <bgColor rgb="FF00A933"/>
      </patternFill>
    </fill>
    <fill>
      <patternFill patternType="solid">
        <fgColor rgb="FFFF66CC"/>
        <bgColor rgb="FFFF7B59"/>
      </patternFill>
    </fill>
    <fill>
      <patternFill patternType="solid">
        <fgColor rgb="FF00CCCC"/>
        <bgColor rgb="FF00FFFF"/>
      </patternFill>
    </fill>
    <fill>
      <patternFill patternType="solid">
        <fgColor rgb="FFFFBF00"/>
        <bgColor rgb="FFFFD428"/>
      </patternFill>
    </fill>
    <fill>
      <patternFill patternType="solid">
        <fgColor rgb="FFFFDE59"/>
        <bgColor rgb="FFFFD428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hair">
        <color rgb="FFC00000"/>
      </left>
      <right style="hair">
        <color rgb="FFC00000"/>
      </right>
      <top style="hair">
        <color rgb="FFC00000"/>
      </top>
      <bottom style="hair">
        <color rgb="FFC0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false" applyBorder="false" applyAlignment="false" applyProtection="false"/>
    <xf numFmtId="164" fontId="8" fillId="2" border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false" applyBorder="false" applyAlignment="false" applyProtection="false"/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5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true"/>
    </xf>
    <xf numFmtId="166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top" textRotation="0" wrapText="false" indent="0" shrinkToFit="false"/>
      <protection locked="true" hidden="true"/>
    </xf>
    <xf numFmtId="164" fontId="5" fillId="4" borderId="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5" fillId="4" borderId="0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tru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7" fontId="7" fillId="5" borderId="1" xfId="20" applyFont="true" applyBorder="true" applyAlignment="true" applyProtection="true">
      <alignment horizontal="left" vertical="top" textRotation="0" wrapText="true" indent="0" shrinkToFit="false"/>
      <protection locked="false" hidden="tru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13" fillId="5" borderId="1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14" fillId="0" borderId="2" xfId="0" applyFont="true" applyBorder="true" applyAlignment="true" applyProtection="true">
      <alignment horizontal="general" vertical="top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center" vertical="top" textRotation="0" wrapText="false" indent="0" shrinkToFit="false"/>
      <protection locked="true" hidden="true"/>
    </xf>
    <xf numFmtId="164" fontId="15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top" textRotation="0" wrapText="false" indent="0" shrinkToFit="false"/>
      <protection locked="true" hidden="true"/>
    </xf>
    <xf numFmtId="164" fontId="12" fillId="2" borderId="3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4" fontId="10" fillId="6" borderId="1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11" fillId="7" borderId="3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64" fontId="16" fillId="8" borderId="4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6" fillId="9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10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11" borderId="4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8" fontId="6" fillId="7" borderId="4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8" fontId="6" fillId="12" borderId="4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4" fontId="6" fillId="8" borderId="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8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8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9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0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9" fontId="6" fillId="10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0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1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1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6" fillId="11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1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7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7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2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2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6" fillId="12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5" fillId="0" borderId="9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5" fillId="0" borderId="10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71" fontId="5" fillId="0" borderId="11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5" fontId="5" fillId="0" borderId="11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5" fontId="5" fillId="0" borderId="11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5" fontId="5" fillId="0" borderId="12" xfId="0" applyFont="true" applyBorder="true" applyAlignment="true" applyProtection="true">
      <alignment horizontal="right" vertical="top" textRotation="0" wrapText="false" indent="0" shrinkToFit="false"/>
      <protection locked="true" hidden="true"/>
    </xf>
    <xf numFmtId="165" fontId="5" fillId="0" borderId="13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5" fillId="5" borderId="11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65" fontId="5" fillId="4" borderId="11" xfId="0" applyFont="true" applyBorder="true" applyAlignment="true" applyProtection="true">
      <alignment horizontal="right" vertical="top" textRotation="0" wrapText="false" indent="0" shrinkToFit="false"/>
      <protection locked="false" hidden="true"/>
    </xf>
    <xf numFmtId="165" fontId="5" fillId="4" borderId="11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66" fontId="5" fillId="0" borderId="11" xfId="0" applyFont="true" applyBorder="true" applyAlignment="true" applyProtection="true">
      <alignment horizontal="right" vertical="top" textRotation="0" wrapText="false" indent="0" shrinkToFit="false"/>
      <protection locked="true" hidden="true"/>
    </xf>
    <xf numFmtId="172" fontId="5" fillId="4" borderId="11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73" fontId="5" fillId="4" borderId="12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66" fontId="5" fillId="0" borderId="13" xfId="0" applyFont="true" applyBorder="true" applyAlignment="true" applyProtection="true">
      <alignment horizontal="right" vertical="top" textRotation="0" wrapText="false" indent="0" shrinkToFit="false"/>
      <protection locked="true" hidden="true"/>
    </xf>
    <xf numFmtId="166" fontId="5" fillId="0" borderId="12" xfId="0" applyFont="true" applyBorder="true" applyAlignment="true" applyProtection="true">
      <alignment horizontal="right" vertical="top" textRotation="0" wrapText="false" indent="0" shrinkToFit="false"/>
      <protection locked="true" hidden="true"/>
    </xf>
    <xf numFmtId="165" fontId="5" fillId="4" borderId="14" xfId="0" applyFont="true" applyBorder="true" applyAlignment="true" applyProtection="true">
      <alignment horizontal="right" vertical="top" textRotation="0" wrapText="false" indent="0" shrinkToFit="false"/>
      <protection locked="false" hidden="true"/>
    </xf>
    <xf numFmtId="165" fontId="5" fillId="4" borderId="15" xfId="0" applyFont="true" applyBorder="true" applyAlignment="true" applyProtection="true">
      <alignment horizontal="right" vertical="top" textRotation="0" wrapText="false" indent="0" shrinkToFit="false"/>
      <protection locked="false" hidden="true"/>
    </xf>
    <xf numFmtId="171" fontId="5" fillId="0" borderId="16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5" fontId="5" fillId="0" borderId="15" xfId="0" applyFont="true" applyBorder="true" applyAlignment="true" applyProtection="true">
      <alignment horizontal="right" vertical="top" textRotation="0" wrapText="false" indent="0" shrinkToFit="false"/>
      <protection locked="false" hidden="true"/>
    </xf>
    <xf numFmtId="165" fontId="5" fillId="4" borderId="13" xfId="0" applyFont="true" applyBorder="true" applyAlignment="true" applyProtection="true">
      <alignment horizontal="right" vertical="top" textRotation="0" wrapText="false" indent="0" shrinkToFit="false"/>
      <protection locked="false" hidden="true"/>
    </xf>
    <xf numFmtId="171" fontId="5" fillId="0" borderId="17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5" fontId="5" fillId="0" borderId="11" xfId="0" applyFont="true" applyBorder="true" applyAlignment="true" applyProtection="true">
      <alignment horizontal="right" vertical="top" textRotation="0" wrapText="false" indent="0" shrinkToFit="false"/>
      <protection locked="false" hidden="true"/>
    </xf>
    <xf numFmtId="164" fontId="17" fillId="13" borderId="18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7" fillId="13" borderId="19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7" fillId="13" borderId="20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7" fillId="13" borderId="21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7" fillId="13" borderId="22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7" fillId="13" borderId="23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true"/>
    </xf>
    <xf numFmtId="164" fontId="5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8" fillId="0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4" borderId="24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4" borderId="24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0" fillId="14" borderId="1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4" borderId="25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0" fillId="14" borderId="26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14" borderId="26" xfId="15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15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5" borderId="24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5" borderId="24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0" fillId="15" borderId="1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5" borderId="25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0" fillId="15" borderId="26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15" borderId="26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8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8" borderId="27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8" borderId="27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0" fillId="8" borderId="1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8" borderId="25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0" fillId="8" borderId="26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4" fontId="10" fillId="8" borderId="26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9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9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29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0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1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30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2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17" borderId="3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1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12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12" fillId="20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12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5" fontId="12" fillId="21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2" fillId="20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2" fillId="20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12" fillId="20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5" fillId="4" borderId="0" xfId="0" applyFont="true" applyBorder="false" applyAlignment="true" applyProtection="true">
      <alignment horizontal="right" vertical="bottom" textRotation="0" wrapText="false" indent="0" shrinkToFit="false"/>
      <protection locked="false" hidden="true"/>
    </xf>
    <xf numFmtId="165" fontId="5" fillId="4" borderId="3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5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5" fontId="5" fillId="4" borderId="10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7" fontId="5" fillId="4" borderId="3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4" borderId="10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7" fillId="13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13" borderId="3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13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13" borderId="3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2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6" fillId="22" borderId="3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6" fillId="23" borderId="1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4" borderId="11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5" fillId="4" borderId="11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65" fontId="5" fillId="4" borderId="11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5" fontId="5" fillId="24" borderId="11" xfId="0" applyFont="true" applyBorder="true" applyAlignment="true" applyProtection="true">
      <alignment horizontal="right" vertical="bottom" textRotation="0" wrapText="false" indent="0" shrinkToFit="false"/>
      <protection locked="false" hidden="true"/>
    </xf>
    <xf numFmtId="165" fontId="5" fillId="24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24" borderId="1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5" fillId="24" borderId="1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5" fillId="24" borderId="1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5" fillId="24" borderId="1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1"/>
    <cellStyle name="ROMM_level" xfId="22"/>
    <cellStyle name="*unknown*" xfId="20" builtinId="8"/>
  </cellStyles>
  <dxfs count="1">
    <dxf>
      <fill>
        <patternFill>
          <bgColor rgb="FFFFFF99"/>
        </patternFill>
      </fill>
    </dxf>
  </dxfs>
  <colors>
    <indexedColors>
      <rgbColor rgb="FF000000"/>
      <rgbColor rgb="FFFFFFFF"/>
      <rgbColor rgb="FFFF0000"/>
      <rgbColor rgb="FF2CEE0E"/>
      <rgbColor rgb="FF0000FF"/>
      <rgbColor rgb="FFFFFF38"/>
      <rgbColor rgb="FFFF00FF"/>
      <rgbColor rgb="FF00FFFF"/>
      <rgbColor rgb="FFC00000"/>
      <rgbColor rgb="FF009900"/>
      <rgbColor rgb="FF000080"/>
      <rgbColor rgb="FF808000"/>
      <rgbColor rgb="FF800080"/>
      <rgbColor rgb="FF00CC00"/>
      <rgbColor rgb="FFAFD095"/>
      <rgbColor rgb="FFBF819E"/>
      <rgbColor rgb="FF729FCF"/>
      <rgbColor rgb="FFFF3300"/>
      <rgbColor rgb="FFFFDE59"/>
      <rgbColor rgb="FFCCFFFF"/>
      <rgbColor rgb="FF660066"/>
      <rgbColor rgb="FFFF7B59"/>
      <rgbColor rgb="FF0563C1"/>
      <rgbColor rgb="FFCCCCFF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CCCC"/>
      <rgbColor rgb="FFCCFFFF"/>
      <rgbColor rgb="FFCCFFCC"/>
      <rgbColor rgb="FFFFFF99"/>
      <rgbColor rgb="FF66FFFF"/>
      <rgbColor rgb="FFFFA6A6"/>
      <rgbColor rgb="FFFFAA95"/>
      <rgbColor rgb="FFFFE994"/>
      <rgbColor rgb="FF3366FF"/>
      <rgbColor rgb="FF63BBEE"/>
      <rgbColor rgb="FF81D41A"/>
      <rgbColor rgb="FFFFBF00"/>
      <rgbColor rgb="FFFF9900"/>
      <rgbColor rgb="FFFC5C00"/>
      <rgbColor rgb="FF666699"/>
      <rgbColor rgb="FF8E86AE"/>
      <rgbColor rgb="FF003366"/>
      <rgbColor rgb="FF00A933"/>
      <rgbColor rgb="FF003300"/>
      <rgbColor rgb="FF1C1C1C"/>
      <rgbColor rgb="FFC9211E"/>
      <rgbColor rgb="FFFF66CC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true"/>
  </sheetPr>
  <dimension ref="A1:AMJ1046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91"/>
    <col collapsed="false" customWidth="true" hidden="false" outlineLevel="0" max="2" min="2" style="1" width="15.92"/>
    <col collapsed="false" customWidth="true" hidden="false" outlineLevel="0" max="3" min="3" style="1" width="2.59"/>
    <col collapsed="false" customWidth="false" hidden="false" outlineLevel="0" max="5" min="4" style="1" width="11.53"/>
    <col collapsed="false" customWidth="true" hidden="false" outlineLevel="0" max="6" min="6" style="1" width="48.87"/>
    <col collapsed="false" customWidth="true" hidden="false" outlineLevel="0" max="7" min="7" style="1" width="18.16"/>
    <col collapsed="false" customWidth="true" hidden="false" outlineLevel="0" max="10" min="8" style="1" width="7.55"/>
    <col collapsed="false" customWidth="true" hidden="false" outlineLevel="0" max="12" min="11" style="1" width="15.57"/>
    <col collapsed="false" customWidth="true" hidden="false" outlineLevel="0" max="13" min="13" style="2" width="18.16"/>
    <col collapsed="false" customWidth="true" hidden="false" outlineLevel="0" max="14" min="14" style="1" width="18.16"/>
    <col collapsed="false" customWidth="true" hidden="false" outlineLevel="0" max="18" min="15" style="1" width="11.68"/>
    <col collapsed="false" customWidth="true" hidden="false" outlineLevel="0" max="19" min="19" style="3" width="18.16"/>
    <col collapsed="false" customWidth="false" hidden="false" outlineLevel="0" max="20" min="20" style="1" width="11.53"/>
    <col collapsed="false" customWidth="true" hidden="false" outlineLevel="0" max="21" min="21" style="3" width="18.16"/>
    <col collapsed="false" customWidth="false" hidden="false" outlineLevel="0" max="22" min="22" style="1" width="11.53"/>
    <col collapsed="false" customWidth="true" hidden="false" outlineLevel="0" max="23" min="23" style="4" width="18.16"/>
    <col collapsed="false" customWidth="false" hidden="false" outlineLevel="0" max="24" min="24" style="1" width="11.53"/>
    <col collapsed="false" customWidth="true" hidden="false" outlineLevel="0" max="26" min="25" style="1" width="18.16"/>
    <col collapsed="false" customWidth="false" hidden="false" outlineLevel="0" max="1024" min="27" style="1" width="11.53"/>
  </cols>
  <sheetData>
    <row r="1" customFormat="false" ht="12.8" hidden="false" customHeight="false" outlineLevel="0" collapsed="false">
      <c r="A1" s="5" t="s">
        <v>0</v>
      </c>
      <c r="B1" s="5"/>
      <c r="C1" s="6" t="s">
        <v>1</v>
      </c>
      <c r="D1" s="7" t="s">
        <v>2</v>
      </c>
      <c r="E1" s="8"/>
      <c r="F1" s="9"/>
      <c r="K1" s="10"/>
      <c r="L1" s="10"/>
      <c r="M1" s="11"/>
      <c r="N1" s="10"/>
      <c r="O1" s="10"/>
      <c r="P1" s="10"/>
      <c r="S1" s="1"/>
      <c r="U1" s="1"/>
      <c r="V1" s="10"/>
      <c r="W1" s="10"/>
      <c r="X1" s="10"/>
    </row>
    <row r="2" customFormat="false" ht="12.8" hidden="false" customHeight="false" outlineLevel="0" collapsed="false">
      <c r="A2" s="5" t="s">
        <v>3</v>
      </c>
      <c r="B2" s="5"/>
      <c r="C2" s="6" t="s">
        <v>1</v>
      </c>
      <c r="D2" s="7" t="s">
        <v>4</v>
      </c>
      <c r="E2" s="8"/>
      <c r="F2" s="9"/>
      <c r="K2" s="10"/>
      <c r="L2" s="10"/>
      <c r="M2" s="11"/>
      <c r="N2" s="10"/>
      <c r="O2" s="10"/>
      <c r="P2" s="10"/>
      <c r="S2" s="1"/>
      <c r="U2" s="1"/>
      <c r="V2" s="10"/>
      <c r="W2" s="10"/>
      <c r="X2" s="10"/>
    </row>
    <row r="3" customFormat="false" ht="12.8" hidden="false" customHeight="false" outlineLevel="0" collapsed="false">
      <c r="A3" s="5" t="s">
        <v>5</v>
      </c>
      <c r="B3" s="5"/>
      <c r="C3" s="6" t="s">
        <v>1</v>
      </c>
      <c r="D3" s="7" t="s">
        <v>6</v>
      </c>
      <c r="E3" s="8"/>
      <c r="F3" s="9"/>
      <c r="K3" s="10"/>
      <c r="L3" s="10"/>
      <c r="M3" s="11"/>
      <c r="N3" s="10"/>
      <c r="O3" s="10"/>
      <c r="P3" s="10"/>
      <c r="S3" s="1"/>
      <c r="U3" s="1"/>
      <c r="V3" s="10"/>
      <c r="W3" s="10"/>
      <c r="X3" s="10"/>
    </row>
    <row r="4" customFormat="false" ht="12.8" hidden="false" customHeight="false" outlineLevel="0" collapsed="false">
      <c r="A4" s="5" t="s">
        <v>7</v>
      </c>
      <c r="B4" s="5"/>
      <c r="C4" s="6" t="s">
        <v>1</v>
      </c>
      <c r="D4" s="7" t="s">
        <v>8</v>
      </c>
      <c r="E4" s="8"/>
      <c r="F4" s="9"/>
      <c r="K4" s="10"/>
      <c r="L4" s="10"/>
      <c r="M4" s="11"/>
      <c r="N4" s="10"/>
      <c r="O4" s="10"/>
      <c r="P4" s="10"/>
      <c r="S4" s="1"/>
      <c r="U4" s="1"/>
      <c r="V4" s="10"/>
      <c r="W4" s="10"/>
      <c r="X4" s="10"/>
    </row>
    <row r="5" customFormat="false" ht="12.8" hidden="false" customHeight="false" outlineLevel="0" collapsed="false">
      <c r="A5" s="5" t="s">
        <v>9</v>
      </c>
      <c r="B5" s="5"/>
      <c r="C5" s="6" t="s">
        <v>1</v>
      </c>
      <c r="D5" s="7" t="s">
        <v>10</v>
      </c>
      <c r="E5" s="8"/>
      <c r="F5" s="9"/>
      <c r="K5" s="10"/>
      <c r="L5" s="10"/>
      <c r="M5" s="11"/>
      <c r="N5" s="10"/>
      <c r="O5" s="10"/>
      <c r="P5" s="10"/>
      <c r="S5" s="1"/>
      <c r="U5" s="1"/>
      <c r="V5" s="10"/>
      <c r="W5" s="10"/>
      <c r="X5" s="10"/>
    </row>
    <row r="6" customFormat="false" ht="12.8" hidden="false" customHeight="false" outlineLevel="0" collapsed="false">
      <c r="A6" s="5" t="s">
        <v>11</v>
      </c>
      <c r="B6" s="5"/>
      <c r="C6" s="6" t="s">
        <v>1</v>
      </c>
      <c r="D6" s="9" t="s">
        <v>12</v>
      </c>
      <c r="E6" s="9"/>
      <c r="F6" s="9"/>
      <c r="K6" s="10"/>
      <c r="L6" s="10"/>
      <c r="M6" s="11"/>
      <c r="N6" s="10"/>
      <c r="O6" s="10"/>
      <c r="P6" s="10"/>
      <c r="S6" s="1"/>
      <c r="U6" s="1"/>
      <c r="V6" s="10"/>
      <c r="W6" s="10"/>
      <c r="X6" s="10"/>
    </row>
    <row r="7" customFormat="false" ht="12.8" hidden="false" customHeight="false" outlineLevel="0" collapsed="false">
      <c r="A7" s="5" t="s">
        <v>13</v>
      </c>
      <c r="B7" s="5"/>
      <c r="C7" s="6" t="s">
        <v>1</v>
      </c>
      <c r="D7" s="12" t="s">
        <v>14</v>
      </c>
      <c r="E7" s="12"/>
      <c r="F7" s="12"/>
      <c r="K7" s="10"/>
      <c r="L7" s="10"/>
      <c r="M7" s="11"/>
      <c r="N7" s="10"/>
      <c r="O7" s="10"/>
      <c r="P7" s="10"/>
      <c r="S7" s="1"/>
      <c r="U7" s="1"/>
      <c r="W7" s="1"/>
    </row>
    <row r="8" customFormat="false" ht="12.8" hidden="false" customHeight="false" outlineLevel="0" collapsed="false">
      <c r="A8" s="5" t="s">
        <v>15</v>
      </c>
      <c r="B8" s="5"/>
      <c r="C8" s="6" t="s">
        <v>1</v>
      </c>
      <c r="D8" s="13" t="s">
        <v>16</v>
      </c>
      <c r="E8" s="12"/>
      <c r="F8" s="12"/>
      <c r="G8" s="14" t="n">
        <v>6</v>
      </c>
      <c r="K8" s="10"/>
      <c r="L8" s="10"/>
      <c r="M8" s="11"/>
      <c r="N8" s="10"/>
      <c r="O8" s="10"/>
      <c r="P8" s="10"/>
      <c r="S8" s="1"/>
      <c r="U8" s="1"/>
      <c r="W8" s="1"/>
    </row>
    <row r="9" customFormat="false" ht="12.8" hidden="false" customHeight="false" outlineLevel="0" collapsed="false">
      <c r="A9" s="5"/>
      <c r="B9" s="5"/>
      <c r="C9" s="6"/>
      <c r="D9" s="15"/>
      <c r="E9" s="15"/>
      <c r="F9" s="15"/>
      <c r="K9" s="10"/>
      <c r="L9" s="10"/>
      <c r="M9" s="11"/>
      <c r="N9" s="10"/>
      <c r="O9" s="10"/>
      <c r="P9" s="10"/>
      <c r="S9" s="1"/>
      <c r="U9" s="1"/>
      <c r="W9" s="1"/>
    </row>
    <row r="10" customFormat="false" ht="12.8" hidden="false" customHeight="false" outlineLevel="0" collapsed="false">
      <c r="A10" s="5"/>
      <c r="B10" s="16" t="s">
        <v>17</v>
      </c>
      <c r="D10" s="6"/>
      <c r="E10" s="10"/>
      <c r="F10" s="10"/>
      <c r="G10" s="15"/>
      <c r="H10" s="15"/>
      <c r="I10" s="15"/>
      <c r="J10" s="15"/>
      <c r="K10" s="15"/>
      <c r="M10" s="11"/>
      <c r="N10" s="10"/>
      <c r="O10" s="10"/>
      <c r="P10" s="10"/>
      <c r="S10" s="1"/>
      <c r="U10" s="1"/>
      <c r="W10" s="1"/>
    </row>
    <row r="11" customFormat="false" ht="12.8" hidden="false" customHeight="false" outlineLevel="0" collapsed="false">
      <c r="A11" s="5"/>
      <c r="D11" s="6"/>
      <c r="E11" s="10"/>
      <c r="F11" s="10"/>
      <c r="G11" s="15"/>
      <c r="H11" s="15"/>
      <c r="I11" s="15"/>
      <c r="J11" s="15"/>
      <c r="K11" s="15"/>
      <c r="M11" s="11"/>
      <c r="N11" s="10"/>
      <c r="O11" s="10"/>
      <c r="P11" s="10"/>
      <c r="S11" s="1"/>
      <c r="U11" s="1"/>
      <c r="W11" s="1"/>
    </row>
    <row r="12" customFormat="false" ht="12.8" hidden="false" customHeight="false" outlineLevel="0" collapsed="false">
      <c r="A12" s="5"/>
      <c r="B12" s="17" t="s">
        <v>18</v>
      </c>
      <c r="D12" s="18" t="s">
        <v>19</v>
      </c>
      <c r="E12" s="18"/>
      <c r="F12" s="18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"/>
      <c r="U12" s="10"/>
      <c r="V12" s="19"/>
      <c r="W12" s="1"/>
    </row>
    <row r="13" customFormat="false" ht="12.8" hidden="false" customHeight="false" outlineLevel="0" collapsed="false">
      <c r="A13" s="5"/>
      <c r="B13" s="5"/>
      <c r="C13" s="2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"/>
      <c r="U13" s="10"/>
      <c r="V13" s="19"/>
      <c r="W13" s="1"/>
    </row>
    <row r="14" customFormat="false" ht="12.8" hidden="false" customHeight="false" outlineLevel="0" collapsed="false">
      <c r="A14" s="5"/>
      <c r="C14" s="20"/>
      <c r="D14" s="21" t="s">
        <v>20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22"/>
      <c r="U14" s="10"/>
      <c r="V14" s="19"/>
      <c r="W14" s="1"/>
    </row>
    <row r="15" customFormat="false" ht="12.8" hidden="false" customHeight="false" outlineLevel="0" collapsed="false">
      <c r="A15" s="5"/>
      <c r="B15" s="23" t="s">
        <v>21</v>
      </c>
      <c r="C15" s="20"/>
      <c r="D15" s="24"/>
      <c r="E15" s="24"/>
      <c r="F15" s="24"/>
      <c r="G15" s="24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2"/>
      <c r="U15" s="10"/>
      <c r="V15" s="19"/>
      <c r="W15" s="1"/>
    </row>
    <row r="16" customFormat="false" ht="12.8" hidden="false" customHeight="false" outlineLevel="0" collapsed="false">
      <c r="A16" s="5"/>
      <c r="B16" s="25" t="s">
        <v>22</v>
      </c>
      <c r="C16" s="20"/>
      <c r="D16" s="24"/>
      <c r="E16" s="24"/>
      <c r="F16" s="24"/>
      <c r="G16" s="2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22"/>
      <c r="U16" s="10"/>
      <c r="V16" s="19"/>
      <c r="W16" s="1"/>
    </row>
    <row r="17" customFormat="false" ht="12.8" hidden="false" customHeight="false" outlineLevel="0" collapsed="false">
      <c r="S17" s="1"/>
      <c r="U17" s="1"/>
      <c r="W17" s="1"/>
    </row>
    <row r="18" customFormat="false" ht="12.8" hidden="false" customHeight="true" outlineLevel="0" collapsed="false">
      <c r="A18" s="26" t="s">
        <v>23</v>
      </c>
      <c r="B18" s="26"/>
      <c r="C18" s="26"/>
      <c r="D18" s="26"/>
      <c r="E18" s="26"/>
      <c r="F18" s="26"/>
      <c r="G18" s="26" t="s">
        <v>16</v>
      </c>
      <c r="H18" s="27" t="s">
        <v>24</v>
      </c>
      <c r="I18" s="27"/>
      <c r="J18" s="27"/>
      <c r="K18" s="28" t="s">
        <v>25</v>
      </c>
      <c r="L18" s="28"/>
      <c r="M18" s="28"/>
      <c r="N18" s="28"/>
      <c r="O18" s="29" t="s">
        <v>26</v>
      </c>
      <c r="P18" s="29"/>
      <c r="Q18" s="29"/>
      <c r="R18" s="29"/>
      <c r="S18" s="29"/>
      <c r="T18" s="29"/>
      <c r="U18" s="29"/>
      <c r="V18" s="29"/>
      <c r="W18" s="30" t="s">
        <v>27</v>
      </c>
      <c r="X18" s="30"/>
      <c r="Y18" s="31" t="s">
        <v>28</v>
      </c>
      <c r="Z18" s="31"/>
      <c r="AA18" s="31"/>
      <c r="AB18" s="31"/>
    </row>
    <row r="19" customFormat="false" ht="22" hidden="false" customHeight="true" outlineLevel="0" collapsed="false">
      <c r="A19" s="32" t="s">
        <v>29</v>
      </c>
      <c r="B19" s="32"/>
      <c r="C19" s="32"/>
      <c r="D19" s="33" t="s">
        <v>30</v>
      </c>
      <c r="E19" s="33" t="s">
        <v>31</v>
      </c>
      <c r="F19" s="33" t="s">
        <v>32</v>
      </c>
      <c r="G19" s="34" t="n">
        <f aca="false">IF($D$8="Interim",TB_audited!G2,TB_audited!E2)</f>
        <v>45657</v>
      </c>
      <c r="H19" s="35" t="s">
        <v>33</v>
      </c>
      <c r="I19" s="35" t="s">
        <v>34</v>
      </c>
      <c r="J19" s="35" t="s">
        <v>35</v>
      </c>
      <c r="K19" s="36" t="s">
        <v>36</v>
      </c>
      <c r="L19" s="36" t="s">
        <v>37</v>
      </c>
      <c r="M19" s="37" t="s">
        <v>38</v>
      </c>
      <c r="N19" s="38" t="s">
        <v>39</v>
      </c>
      <c r="O19" s="39" t="s">
        <v>40</v>
      </c>
      <c r="P19" s="40" t="s">
        <v>41</v>
      </c>
      <c r="Q19" s="40" t="s">
        <v>42</v>
      </c>
      <c r="R19" s="40" t="s">
        <v>43</v>
      </c>
      <c r="S19" s="41" t="s">
        <v>44</v>
      </c>
      <c r="T19" s="40" t="s">
        <v>45</v>
      </c>
      <c r="U19" s="41" t="s">
        <v>46</v>
      </c>
      <c r="V19" s="42" t="s">
        <v>47</v>
      </c>
      <c r="W19" s="43" t="s">
        <v>48</v>
      </c>
      <c r="X19" s="44" t="s">
        <v>49</v>
      </c>
      <c r="Y19" s="45" t="s">
        <v>50</v>
      </c>
      <c r="Z19" s="46" t="s">
        <v>51</v>
      </c>
      <c r="AA19" s="47" t="s">
        <v>52</v>
      </c>
      <c r="AB19" s="46" t="s">
        <v>34</v>
      </c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2.8" hidden="false" customHeight="false" outlineLevel="0" collapsed="false">
      <c r="A20" s="48" t="str">
        <f aca="false">TB_audited!A3</f>
        <v>Trade receivable</v>
      </c>
      <c r="B20" s="49"/>
      <c r="C20" s="50"/>
      <c r="D20" s="51" t="n">
        <f aca="false">TB_audited!B3</f>
        <v>11201</v>
      </c>
      <c r="E20" s="52" t="str">
        <f aca="false">TB_audited!C3</f>
        <v>100/0000</v>
      </c>
      <c r="F20" s="53" t="str">
        <f aca="false">TB_audited!D3</f>
        <v>TRADE DEBTORS - IDR</v>
      </c>
      <c r="G20" s="54" t="n">
        <f aca="false">IF($D$8="Interim",TB_audited!G3,TB_audited!E3)</f>
        <v>18567911215</v>
      </c>
      <c r="H20" s="55" t="str">
        <f aca="false">IFERROR(VLOOKUP($A20,RA_result!$B$3:$N$62,11,0),"")</f>
        <v/>
      </c>
      <c r="I20" s="55" t="str">
        <f aca="false">IFERROR(VLOOKUP($A20,RA_result!$B$3:$N$62,12,0),"")</f>
        <v>Ya</v>
      </c>
      <c r="J20" s="55" t="str">
        <f aca="false">IFERROR(VLOOKUP($A20,RA_result!$B$3:$N$62,13,0),"")</f>
        <v>YE</v>
      </c>
      <c r="K20" s="56" t="s">
        <v>53</v>
      </c>
      <c r="L20" s="56" t="s">
        <v>54</v>
      </c>
      <c r="M20" s="57" t="n">
        <v>9728145173</v>
      </c>
      <c r="N20" s="54" t="n">
        <f aca="false">G20-M20</f>
        <v>8839766042</v>
      </c>
      <c r="O20" s="55" t="str">
        <f aca="false">IFERROR(VLOOKUP($A20,RA_result!$B$3:$N$62,7,0),"")</f>
        <v>M</v>
      </c>
      <c r="P20" s="52" t="str">
        <f aca="false">IFERROR(VLOOKUP($A20,RA_result!$B$3:$N$62,9,0),"")</f>
        <v>M</v>
      </c>
      <c r="Q20" s="52" t="str">
        <f aca="false">IFERROR(VLOOKUP($A20,RA_result!$B$3:$N$62,10,0),"")</f>
        <v/>
      </c>
      <c r="R20" s="58" t="s">
        <v>55</v>
      </c>
      <c r="S20" s="59" t="n">
        <f aca="false">IFERROR(VLOOKUP($A20,RA_result!$B$3:$N$62,4,0),"")</f>
        <v>1053550393.05383</v>
      </c>
      <c r="T20" s="60" t="n">
        <v>0.9</v>
      </c>
      <c r="U20" s="59" t="n">
        <f aca="false">IFERROR(IF(VLOOKUP($A20,RA_result!$B$3:$N$62,6,0)="",S20*T20,VLOOKUP($A20,RA_result!$B$3:$N$62,6,0)),"")</f>
        <v>948195353.748447</v>
      </c>
      <c r="V20" s="61" t="n">
        <v>1.9</v>
      </c>
      <c r="W20" s="62" t="n">
        <f aca="false">IFERROR((S20*30%)/V20,0)</f>
        <v>166350062.061131</v>
      </c>
      <c r="X20" s="63" t="n">
        <f aca="false">IFERROR(N20/W20,0)</f>
        <v>53.1395415936276</v>
      </c>
      <c r="Y20" s="64" t="n">
        <v>265192981.26</v>
      </c>
      <c r="Z20" s="65" t="n">
        <v>-265192981.26</v>
      </c>
      <c r="AA20" s="66" t="str">
        <f aca="false">IF(OR(U20="",Y20="",Z20=""),"",IF(AND(U20&gt;Y20,-U20&lt;Z20),"Ok","Not Ok"))</f>
        <v>Ok</v>
      </c>
      <c r="AB20" s="67"/>
    </row>
    <row r="21" customFormat="false" ht="12.8" hidden="false" customHeight="false" outlineLevel="0" collapsed="false">
      <c r="A21" s="48" t="str">
        <f aca="false">TB_audited!A4</f>
        <v>Trade receivable</v>
      </c>
      <c r="B21" s="49"/>
      <c r="C21" s="50"/>
      <c r="D21" s="51" t="n">
        <f aca="false">TB_audited!B4</f>
        <v>11202</v>
      </c>
      <c r="E21" s="52" t="str">
        <f aca="false">TB_audited!C4</f>
        <v>100/0001</v>
      </c>
      <c r="F21" s="53" t="str">
        <f aca="false">TB_audited!D4</f>
        <v>Provision of Allowance Bad Debts</v>
      </c>
      <c r="G21" s="54" t="n">
        <f aca="false">IF($D$8="Interim",TB_audited!G4,TB_audited!E4)</f>
        <v>-2286452814</v>
      </c>
      <c r="H21" s="55" t="str">
        <f aca="false">IFERROR(VLOOKUP($A21,RA_result!$B$3:$N$62,11,0),"")</f>
        <v/>
      </c>
      <c r="I21" s="55" t="str">
        <f aca="false">IFERROR(VLOOKUP($A21,RA_result!$B$3:$N$62,12,0),"")</f>
        <v>Ya</v>
      </c>
      <c r="J21" s="55" t="str">
        <f aca="false">IFERROR(VLOOKUP($A21,RA_result!$B$3:$N$62,13,0),"")</f>
        <v>YE</v>
      </c>
      <c r="K21" s="56" t="s">
        <v>54</v>
      </c>
      <c r="L21" s="56" t="s">
        <v>53</v>
      </c>
      <c r="M21" s="57" t="n">
        <v>-2286452814</v>
      </c>
      <c r="N21" s="54" t="n">
        <f aca="false">G21-M21</f>
        <v>0</v>
      </c>
      <c r="O21" s="55" t="str">
        <f aca="false">IFERROR(VLOOKUP($A21,RA_result!$B$3:$N$62,7,0),"")</f>
        <v>M</v>
      </c>
      <c r="P21" s="52" t="str">
        <f aca="false">IFERROR(VLOOKUP($A21,RA_result!$B$3:$N$62,9,0),"")</f>
        <v>M</v>
      </c>
      <c r="Q21" s="52" t="str">
        <f aca="false">IFERROR(VLOOKUP($A21,RA_result!$B$3:$N$62,10,0),"")</f>
        <v/>
      </c>
      <c r="R21" s="58" t="s">
        <v>55</v>
      </c>
      <c r="S21" s="59" t="n">
        <f aca="false">IFERROR(VLOOKUP($A21,RA_result!$B$3:$N$62,4,0),"")</f>
        <v>1053550393.05383</v>
      </c>
      <c r="T21" s="60" t="n">
        <v>0.65</v>
      </c>
      <c r="U21" s="59" t="n">
        <f aca="false">IFERROR(IF(VLOOKUP($A21,RA_result!$B$3:$N$62,6,0)="",S21*T21,VLOOKUP($A21,RA_result!$B$3:$N$62,6,0)),"")</f>
        <v>684807755.48499</v>
      </c>
      <c r="V21" s="61" t="n">
        <v>1.3</v>
      </c>
      <c r="W21" s="62" t="n">
        <f aca="false">IFERROR((S21*30%)/V21,0)</f>
        <v>243127013.781653</v>
      </c>
      <c r="X21" s="63" t="n">
        <f aca="false">IFERROR(N21/W21,0)</f>
        <v>0</v>
      </c>
      <c r="Y21" s="68"/>
      <c r="Z21" s="57"/>
      <c r="AA21" s="69" t="str">
        <f aca="false">IF(OR(U21="",Y21="",Z21=""),"",IF(AND(U21&gt;Y21,-U21&lt;Z21),"Ok","Not Ok"))</f>
        <v/>
      </c>
      <c r="AB21" s="70"/>
    </row>
    <row r="22" customFormat="false" ht="12.8" hidden="false" customHeight="false" outlineLevel="0" collapsed="false">
      <c r="A22" s="48" t="str">
        <f aca="false">TB_audited!A5</f>
        <v>Other current asset</v>
      </c>
      <c r="B22" s="49"/>
      <c r="C22" s="50"/>
      <c r="D22" s="51" t="n">
        <f aca="false">TB_audited!B5</f>
        <v>11901</v>
      </c>
      <c r="E22" s="52" t="str">
        <f aca="false">TB_audited!C5</f>
        <v>105/0010</v>
      </c>
      <c r="F22" s="53" t="str">
        <f aca="false">TB_audited!D5</f>
        <v>YKL ENGINEERING SDN. BHD. (PJS)</v>
      </c>
      <c r="G22" s="54" t="n">
        <f aca="false">IF($D$8="Interim",TB_audited!G5,TB_audited!E5)</f>
        <v>0</v>
      </c>
      <c r="H22" s="55" t="str">
        <f aca="false">IFERROR(VLOOKUP($A22,RA_result!$B$3:$N$62,11,0),"")</f>
        <v/>
      </c>
      <c r="I22" s="55" t="str">
        <f aca="false">IFERROR(VLOOKUP($A22,RA_result!$B$3:$N$62,12,0),"")</f>
        <v/>
      </c>
      <c r="J22" s="55" t="str">
        <f aca="false">IFERROR(VLOOKUP($A22,RA_result!$B$3:$N$62,13,0),"")</f>
        <v/>
      </c>
      <c r="K22" s="56"/>
      <c r="L22" s="56"/>
      <c r="M22" s="57" t="n">
        <v>0</v>
      </c>
      <c r="N22" s="54" t="n">
        <f aca="false">G22-M22</f>
        <v>0</v>
      </c>
      <c r="O22" s="55" t="str">
        <f aca="false">IFERROR(VLOOKUP($A22,RA_result!$B$3:$N$62,7,0),"")</f>
        <v>TM</v>
      </c>
      <c r="P22" s="52" t="str">
        <f aca="false">IFERROR(VLOOKUP($A22,RA_result!$B$3:$N$62,9,0),"")</f>
        <v>L</v>
      </c>
      <c r="Q22" s="52" t="str">
        <f aca="false">IFERROR(VLOOKUP($A22,RA_result!$B$3:$N$62,10,0),"")</f>
        <v/>
      </c>
      <c r="R22" s="58" t="s">
        <v>55</v>
      </c>
      <c r="S22" s="59" t="n">
        <f aca="false">IFERROR(VLOOKUP($A22,RA_result!$B$3:$N$62,4,0),"")</f>
        <v>1053550393.05383</v>
      </c>
      <c r="T22" s="60" t="n">
        <v>0.9</v>
      </c>
      <c r="U22" s="59" t="n">
        <f aca="false">IFERROR(IF(VLOOKUP($A22,RA_result!$B$3:$N$62,6,0)="",S22*T22,VLOOKUP($A22,RA_result!$B$3:$N$62,6,0)),"")</f>
        <v>948195353.748447</v>
      </c>
      <c r="V22" s="61" t="s">
        <v>56</v>
      </c>
      <c r="W22" s="62" t="n">
        <f aca="false">IFERROR((S22*30%)/V22,0)</f>
        <v>0</v>
      </c>
      <c r="X22" s="63" t="n">
        <f aca="false">IFERROR(N22/W22,0)</f>
        <v>0</v>
      </c>
      <c r="Y22" s="68"/>
      <c r="Z22" s="57"/>
      <c r="AA22" s="69" t="str">
        <f aca="false">IF(OR(U22="",Y22="",Z22=""),"",IF(AND(U22&gt;Y22,-U22&lt;Z22),"Ok","Not Ok"))</f>
        <v/>
      </c>
      <c r="AB22" s="70"/>
    </row>
    <row r="23" customFormat="false" ht="12.8" hidden="false" customHeight="false" outlineLevel="0" collapsed="false">
      <c r="A23" s="48" t="str">
        <f aca="false">TB_audited!A6</f>
        <v>Other current asset</v>
      </c>
      <c r="B23" s="49"/>
      <c r="C23" s="50"/>
      <c r="D23" s="51" t="n">
        <f aca="false">TB_audited!B6</f>
        <v>11902</v>
      </c>
      <c r="E23" s="52" t="str">
        <f aca="false">TB_audited!C6</f>
        <v>105/0060</v>
      </c>
      <c r="F23" s="53" t="str">
        <f aca="false">TB_audited!D6</f>
        <v>PT. KMT ENGINEERING NUSANTARA (PJS)</v>
      </c>
      <c r="G23" s="54" t="n">
        <f aca="false">IF($D$8="Interim",TB_audited!G6,TB_audited!E6)</f>
        <v>0</v>
      </c>
      <c r="H23" s="55" t="str">
        <f aca="false">IFERROR(VLOOKUP($A23,RA_result!$B$3:$N$62,11,0),"")</f>
        <v/>
      </c>
      <c r="I23" s="55" t="str">
        <f aca="false">IFERROR(VLOOKUP($A23,RA_result!$B$3:$N$62,12,0),"")</f>
        <v/>
      </c>
      <c r="J23" s="55" t="str">
        <f aca="false">IFERROR(VLOOKUP($A23,RA_result!$B$3:$N$62,13,0),"")</f>
        <v/>
      </c>
      <c r="K23" s="56"/>
      <c r="L23" s="56"/>
      <c r="M23" s="57" t="n">
        <v>0</v>
      </c>
      <c r="N23" s="54" t="n">
        <f aca="false">G23-M23</f>
        <v>0</v>
      </c>
      <c r="O23" s="55" t="str">
        <f aca="false">IFERROR(VLOOKUP($A23,RA_result!$B$3:$N$62,7,0),"")</f>
        <v>TM</v>
      </c>
      <c r="P23" s="52" t="str">
        <f aca="false">IFERROR(VLOOKUP($A23,RA_result!$B$3:$N$62,9,0),"")</f>
        <v>L</v>
      </c>
      <c r="Q23" s="52" t="str">
        <f aca="false">IFERROR(VLOOKUP($A23,RA_result!$B$3:$N$62,10,0),"")</f>
        <v/>
      </c>
      <c r="R23" s="58" t="s">
        <v>55</v>
      </c>
      <c r="S23" s="59" t="n">
        <f aca="false">IFERROR(VLOOKUP($A23,RA_result!$B$3:$N$62,4,0),"")</f>
        <v>1053550393.05383</v>
      </c>
      <c r="T23" s="60" t="n">
        <v>0.9</v>
      </c>
      <c r="U23" s="59" t="n">
        <f aca="false">IFERROR(IF(VLOOKUP($A23,RA_result!$B$3:$N$62,6,0)="",S23*T23,VLOOKUP($A23,RA_result!$B$3:$N$62,6,0)),"")</f>
        <v>948195353.748447</v>
      </c>
      <c r="V23" s="61" t="s">
        <v>56</v>
      </c>
      <c r="W23" s="62" t="n">
        <f aca="false">IFERROR((S23*30%)/V23,0)</f>
        <v>0</v>
      </c>
      <c r="X23" s="63" t="n">
        <f aca="false">IFERROR(N23/W23,0)</f>
        <v>0</v>
      </c>
      <c r="Y23" s="68"/>
      <c r="Z23" s="57"/>
      <c r="AA23" s="69" t="str">
        <f aca="false">IF(OR(U23="",Y23="",Z23=""),"",IF(AND(U23&gt;Y23,-U23&lt;Z23),"Ok","Not Ok"))</f>
        <v/>
      </c>
      <c r="AB23" s="70"/>
    </row>
    <row r="24" customFormat="false" ht="12.8" hidden="false" customHeight="false" outlineLevel="0" collapsed="false">
      <c r="A24" s="48" t="str">
        <f aca="false">TB_audited!A7</f>
        <v>Cash and cash equivalent</v>
      </c>
      <c r="B24" s="49"/>
      <c r="C24" s="50"/>
      <c r="D24" s="51" t="n">
        <f aca="false">TB_audited!B7</f>
        <v>11101</v>
      </c>
      <c r="E24" s="52" t="str">
        <f aca="false">TB_audited!C7</f>
        <v>110/0000</v>
      </c>
      <c r="F24" s="53" t="str">
        <f aca="false">TB_audited!D7</f>
        <v>CASH IN HAND</v>
      </c>
      <c r="G24" s="54" t="n">
        <f aca="false">IF($D$8="Interim",TB_audited!G7,TB_audited!E7)</f>
        <v>23836003.7</v>
      </c>
      <c r="H24" s="55" t="str">
        <f aca="false">IFERROR(VLOOKUP($A24,RA_result!$B$3:$N$62,11,0),"")</f>
        <v/>
      </c>
      <c r="I24" s="55" t="str">
        <f aca="false">IFERROR(VLOOKUP($A24,RA_result!$B$3:$N$62,12,0),"")</f>
        <v>Ya</v>
      </c>
      <c r="J24" s="55" t="str">
        <f aca="false">IFERROR(VLOOKUP($A24,RA_result!$B$3:$N$62,13,0),"")</f>
        <v>YE</v>
      </c>
      <c r="K24" s="56" t="s">
        <v>54</v>
      </c>
      <c r="L24" s="56" t="s">
        <v>53</v>
      </c>
      <c r="M24" s="57" t="n">
        <v>23836003.7</v>
      </c>
      <c r="N24" s="54" t="n">
        <f aca="false">G24-M24</f>
        <v>0</v>
      </c>
      <c r="O24" s="55" t="str">
        <f aca="false">IFERROR(VLOOKUP($A24,RA_result!$B$3:$N$62,7,0),"")</f>
        <v>M</v>
      </c>
      <c r="P24" s="52" t="str">
        <f aca="false">IFERROR(VLOOKUP($A24,RA_result!$B$3:$N$62,9,0),"")</f>
        <v>L</v>
      </c>
      <c r="Q24" s="52" t="str">
        <f aca="false">IFERROR(VLOOKUP($A24,RA_result!$B$3:$N$62,10,0),"")</f>
        <v/>
      </c>
      <c r="R24" s="58" t="s">
        <v>55</v>
      </c>
      <c r="S24" s="59" t="n">
        <f aca="false">IFERROR(VLOOKUP($A24,RA_result!$B$3:$N$62,4,0),"")</f>
        <v>1053550393.05383</v>
      </c>
      <c r="T24" s="60" t="n">
        <v>0.9</v>
      </c>
      <c r="U24" s="59" t="n">
        <f aca="false">IFERROR(IF(VLOOKUP($A24,RA_result!$B$3:$N$62,6,0)="",S24*T24,VLOOKUP($A24,RA_result!$B$3:$N$62,6,0)),"")</f>
        <v>948195353.748447</v>
      </c>
      <c r="V24" s="61" t="n">
        <v>1.3</v>
      </c>
      <c r="W24" s="62" t="n">
        <f aca="false">IFERROR((S24*30%)/V24,0)</f>
        <v>243127013.781653</v>
      </c>
      <c r="X24" s="63" t="n">
        <f aca="false">IFERROR(N24/W24,0)</f>
        <v>0</v>
      </c>
      <c r="Y24" s="68"/>
      <c r="Z24" s="57"/>
      <c r="AA24" s="69" t="str">
        <f aca="false">IF(OR(U24="",Y24="",Z24=""),"",IF(AND(U24&gt;Y24,-U24&lt;Z24),"Ok","Not Ok"))</f>
        <v/>
      </c>
      <c r="AB24" s="70"/>
    </row>
    <row r="25" customFormat="false" ht="12.8" hidden="false" customHeight="false" outlineLevel="0" collapsed="false">
      <c r="A25" s="48" t="str">
        <f aca="false">TB_audited!A8</f>
        <v>Cash and cash equivalent</v>
      </c>
      <c r="B25" s="49"/>
      <c r="C25" s="50"/>
      <c r="D25" s="51" t="n">
        <f aca="false">TB_audited!B8</f>
        <v>11102</v>
      </c>
      <c r="E25" s="52" t="str">
        <f aca="false">TB_audited!C8</f>
        <v>120/0030</v>
      </c>
      <c r="F25" s="53" t="str">
        <f aca="false">TB_audited!D8</f>
        <v>CASH AT BANK-BCA (2ND) A/C : 764BCA (2ND) A/C : 7640669998 IDR</v>
      </c>
      <c r="G25" s="54" t="n">
        <f aca="false">IF($D$8="Interim",TB_audited!G8,TB_audited!E8)</f>
        <v>21825625.9299999</v>
      </c>
      <c r="H25" s="55" t="str">
        <f aca="false">IFERROR(VLOOKUP($A25,RA_result!$B$3:$N$62,11,0),"")</f>
        <v/>
      </c>
      <c r="I25" s="55" t="str">
        <f aca="false">IFERROR(VLOOKUP($A25,RA_result!$B$3:$N$62,12,0),"")</f>
        <v>Ya</v>
      </c>
      <c r="J25" s="55" t="str">
        <f aca="false">IFERROR(VLOOKUP($A25,RA_result!$B$3:$N$62,13,0),"")</f>
        <v>YE</v>
      </c>
      <c r="K25" s="56" t="s">
        <v>54</v>
      </c>
      <c r="L25" s="56" t="s">
        <v>53</v>
      </c>
      <c r="M25" s="57" t="n">
        <v>21825625.9299999</v>
      </c>
      <c r="N25" s="54" t="n">
        <f aca="false">G25-M25</f>
        <v>0</v>
      </c>
      <c r="O25" s="55" t="str">
        <f aca="false">IFERROR(VLOOKUP($A25,RA_result!$B$3:$N$62,7,0),"")</f>
        <v>M</v>
      </c>
      <c r="P25" s="52" t="str">
        <f aca="false">IFERROR(VLOOKUP($A25,RA_result!$B$3:$N$62,9,0),"")</f>
        <v>L</v>
      </c>
      <c r="Q25" s="52" t="str">
        <f aca="false">IFERROR(VLOOKUP($A25,RA_result!$B$3:$N$62,10,0),"")</f>
        <v/>
      </c>
      <c r="R25" s="58" t="s">
        <v>55</v>
      </c>
      <c r="S25" s="59" t="n">
        <f aca="false">IFERROR(VLOOKUP($A25,RA_result!$B$3:$N$62,4,0),"")</f>
        <v>1053550393.05383</v>
      </c>
      <c r="T25" s="60" t="n">
        <v>0.9</v>
      </c>
      <c r="U25" s="59" t="n">
        <f aca="false">IFERROR(IF(VLOOKUP($A25,RA_result!$B$3:$N$62,6,0)="",S25*T25,VLOOKUP($A25,RA_result!$B$3:$N$62,6,0)),"")</f>
        <v>948195353.748447</v>
      </c>
      <c r="V25" s="61" t="n">
        <v>1.3</v>
      </c>
      <c r="W25" s="62" t="n">
        <f aca="false">IFERROR((S25*30%)/V25,0)</f>
        <v>243127013.781653</v>
      </c>
      <c r="X25" s="63" t="n">
        <f aca="false">IFERROR(N25/W25,0)</f>
        <v>0</v>
      </c>
      <c r="Y25" s="68"/>
      <c r="Z25" s="57"/>
      <c r="AA25" s="69" t="str">
        <f aca="false">IF(OR(U25="",Y25="",Z25=""),"",IF(AND(U25&gt;Y25,-U25&lt;Z25),"Ok","Not Ok"))</f>
        <v/>
      </c>
      <c r="AB25" s="70"/>
    </row>
    <row r="26" customFormat="false" ht="12.8" hidden="false" customHeight="false" outlineLevel="0" collapsed="false">
      <c r="A26" s="48" t="str">
        <f aca="false">TB_audited!A9</f>
        <v>Cash and cash equivalent</v>
      </c>
      <c r="B26" s="49"/>
      <c r="C26" s="50"/>
      <c r="D26" s="51" t="n">
        <f aca="false">TB_audited!B9</f>
        <v>11103</v>
      </c>
      <c r="E26" s="52" t="str">
        <f aca="false">TB_audited!C9</f>
        <v>120/0040</v>
      </c>
      <c r="F26" s="53" t="str">
        <f aca="false">TB_audited!D9</f>
        <v>CASH AT BANK-BCA (EMG) A/C : 764BCA (EMG) A/C : 7640669599 IDR</v>
      </c>
      <c r="G26" s="54" t="n">
        <f aca="false">IF($D$8="Interim",TB_audited!G9,TB_audited!E9)</f>
        <v>248790499.24</v>
      </c>
      <c r="H26" s="55" t="str">
        <f aca="false">IFERROR(VLOOKUP($A26,RA_result!$B$3:$N$62,11,0),"")</f>
        <v/>
      </c>
      <c r="I26" s="55" t="str">
        <f aca="false">IFERROR(VLOOKUP($A26,RA_result!$B$3:$N$62,12,0),"")</f>
        <v>Ya</v>
      </c>
      <c r="J26" s="55" t="str">
        <f aca="false">IFERROR(VLOOKUP($A26,RA_result!$B$3:$N$62,13,0),"")</f>
        <v>YE</v>
      </c>
      <c r="K26" s="56" t="s">
        <v>54</v>
      </c>
      <c r="L26" s="56" t="s">
        <v>53</v>
      </c>
      <c r="M26" s="57" t="n">
        <v>248790499.24</v>
      </c>
      <c r="N26" s="54" t="n">
        <f aca="false">G26-M26</f>
        <v>0</v>
      </c>
      <c r="O26" s="55" t="str">
        <f aca="false">IFERROR(VLOOKUP($A26,RA_result!$B$3:$N$62,7,0),"")</f>
        <v>M</v>
      </c>
      <c r="P26" s="52" t="str">
        <f aca="false">IFERROR(VLOOKUP($A26,RA_result!$B$3:$N$62,9,0),"")</f>
        <v>L</v>
      </c>
      <c r="Q26" s="52" t="str">
        <f aca="false">IFERROR(VLOOKUP($A26,RA_result!$B$3:$N$62,10,0),"")</f>
        <v/>
      </c>
      <c r="R26" s="58" t="s">
        <v>55</v>
      </c>
      <c r="S26" s="59" t="n">
        <f aca="false">IFERROR(VLOOKUP($A26,RA_result!$B$3:$N$62,4,0),"")</f>
        <v>1053550393.05383</v>
      </c>
      <c r="T26" s="60" t="n">
        <v>0.9</v>
      </c>
      <c r="U26" s="59" t="n">
        <f aca="false">IFERROR(IF(VLOOKUP($A26,RA_result!$B$3:$N$62,6,0)="",S26*T26,VLOOKUP($A26,RA_result!$B$3:$N$62,6,0)),"")</f>
        <v>948195353.748447</v>
      </c>
      <c r="V26" s="61" t="n">
        <v>1.3</v>
      </c>
      <c r="W26" s="62" t="n">
        <f aca="false">IFERROR((S26*30%)/V26,0)</f>
        <v>243127013.781653</v>
      </c>
      <c r="X26" s="63" t="n">
        <f aca="false">IFERROR(N26/W26,0)</f>
        <v>0</v>
      </c>
      <c r="Y26" s="68"/>
      <c r="Z26" s="57"/>
      <c r="AA26" s="69" t="str">
        <f aca="false">IF(OR(U26="",Y26="",Z26=""),"",IF(AND(U26&gt;Y26,-U26&lt;Z26),"Ok","Not Ok"))</f>
        <v/>
      </c>
      <c r="AB26" s="70"/>
    </row>
    <row r="27" customFormat="false" ht="12.8" hidden="false" customHeight="false" outlineLevel="0" collapsed="false">
      <c r="A27" s="48" t="str">
        <f aca="false">TB_audited!A10</f>
        <v>Cash and cash equivalent</v>
      </c>
      <c r="B27" s="49"/>
      <c r="C27" s="50"/>
      <c r="D27" s="51" t="n">
        <f aca="false">TB_audited!B10</f>
        <v>11104</v>
      </c>
      <c r="E27" s="52" t="str">
        <f aca="false">TB_audited!C10</f>
        <v>120/0050</v>
      </c>
      <c r="F27" s="53" t="str">
        <f aca="false">TB_audited!D10</f>
        <v>CASH AT BANK-MANDIRI A/C : 118003MANDIRI A/C : 1180033355677 IDR</v>
      </c>
      <c r="G27" s="54" t="n">
        <f aca="false">IF($D$8="Interim",TB_audited!G10,TB_audited!E10)</f>
        <v>33120579203.05</v>
      </c>
      <c r="H27" s="55" t="str">
        <f aca="false">IFERROR(VLOOKUP($A27,RA_result!$B$3:$N$62,11,0),"")</f>
        <v/>
      </c>
      <c r="I27" s="55" t="str">
        <f aca="false">IFERROR(VLOOKUP($A27,RA_result!$B$3:$N$62,12,0),"")</f>
        <v>Ya</v>
      </c>
      <c r="J27" s="55" t="str">
        <f aca="false">IFERROR(VLOOKUP($A27,RA_result!$B$3:$N$62,13,0),"")</f>
        <v>YE</v>
      </c>
      <c r="K27" s="56" t="s">
        <v>54</v>
      </c>
      <c r="L27" s="56" t="s">
        <v>53</v>
      </c>
      <c r="M27" s="57" t="n">
        <v>33120579203.05</v>
      </c>
      <c r="N27" s="54" t="n">
        <f aca="false">G27-M27</f>
        <v>0</v>
      </c>
      <c r="O27" s="55" t="str">
        <f aca="false">IFERROR(VLOOKUP($A27,RA_result!$B$3:$N$62,7,0),"")</f>
        <v>M</v>
      </c>
      <c r="P27" s="52" t="str">
        <f aca="false">IFERROR(VLOOKUP($A27,RA_result!$B$3:$N$62,9,0),"")</f>
        <v>L</v>
      </c>
      <c r="Q27" s="52" t="str">
        <f aca="false">IFERROR(VLOOKUP($A27,RA_result!$B$3:$N$62,10,0),"")</f>
        <v/>
      </c>
      <c r="R27" s="58" t="s">
        <v>55</v>
      </c>
      <c r="S27" s="59" t="n">
        <f aca="false">IFERROR(VLOOKUP($A27,RA_result!$B$3:$N$62,4,0),"")</f>
        <v>1053550393.05383</v>
      </c>
      <c r="T27" s="60" t="n">
        <v>0.9</v>
      </c>
      <c r="U27" s="59" t="n">
        <f aca="false">IFERROR(IF(VLOOKUP($A27,RA_result!$B$3:$N$62,6,0)="",S27*T27,VLOOKUP($A27,RA_result!$B$3:$N$62,6,0)),"")</f>
        <v>948195353.748447</v>
      </c>
      <c r="V27" s="61" t="n">
        <v>1.3</v>
      </c>
      <c r="W27" s="62" t="n">
        <f aca="false">IFERROR((S27*30%)/V27,0)</f>
        <v>243127013.781653</v>
      </c>
      <c r="X27" s="63" t="n">
        <f aca="false">IFERROR(N27/W27,0)</f>
        <v>0</v>
      </c>
      <c r="Y27" s="68"/>
      <c r="Z27" s="57"/>
      <c r="AA27" s="69" t="str">
        <f aca="false">IF(OR(U27="",Y27="",Z27=""),"",IF(AND(U27&gt;Y27,-U27&lt;Z27),"Ok","Not Ok"))</f>
        <v/>
      </c>
      <c r="AB27" s="70"/>
    </row>
    <row r="28" customFormat="false" ht="12.8" hidden="false" customHeight="false" outlineLevel="0" collapsed="false">
      <c r="A28" s="48" t="str">
        <f aca="false">TB_audited!A11</f>
        <v>Cash and cash equivalent</v>
      </c>
      <c r="B28" s="49"/>
      <c r="C28" s="50"/>
      <c r="D28" s="51" t="n">
        <f aca="false">TB_audited!B11</f>
        <v>11105</v>
      </c>
      <c r="E28" s="52" t="str">
        <f aca="false">TB_audited!C11</f>
        <v>120/0100</v>
      </c>
      <c r="F28" s="53" t="str">
        <f aca="false">TB_audited!D11</f>
        <v>CASH AT BANK-MANDIRI A/C : 1180007MANDIRI A/C : 1180007832388 USD2</v>
      </c>
      <c r="G28" s="54" t="n">
        <f aca="false">IF($D$8="Interim",TB_audited!G11,TB_audited!E11)</f>
        <v>0</v>
      </c>
      <c r="H28" s="55" t="str">
        <f aca="false">IFERROR(VLOOKUP($A28,RA_result!$B$3:$N$62,11,0),"")</f>
        <v/>
      </c>
      <c r="I28" s="55" t="str">
        <f aca="false">IFERROR(VLOOKUP($A28,RA_result!$B$3:$N$62,12,0),"")</f>
        <v>Ya</v>
      </c>
      <c r="J28" s="55" t="str">
        <f aca="false">IFERROR(VLOOKUP($A28,RA_result!$B$3:$N$62,13,0),"")</f>
        <v>YE</v>
      </c>
      <c r="K28" s="56" t="s">
        <v>54</v>
      </c>
      <c r="L28" s="56" t="s">
        <v>53</v>
      </c>
      <c r="M28" s="57" t="n">
        <v>0</v>
      </c>
      <c r="N28" s="54" t="n">
        <f aca="false">G28-M28</f>
        <v>0</v>
      </c>
      <c r="O28" s="55" t="str">
        <f aca="false">IFERROR(VLOOKUP($A28,RA_result!$B$3:$N$62,7,0),"")</f>
        <v>M</v>
      </c>
      <c r="P28" s="52" t="str">
        <f aca="false">IFERROR(VLOOKUP($A28,RA_result!$B$3:$N$62,9,0),"")</f>
        <v>L</v>
      </c>
      <c r="Q28" s="52" t="str">
        <f aca="false">IFERROR(VLOOKUP($A28,RA_result!$B$3:$N$62,10,0),"")</f>
        <v/>
      </c>
      <c r="R28" s="58" t="s">
        <v>55</v>
      </c>
      <c r="S28" s="59" t="n">
        <f aca="false">IFERROR(VLOOKUP($A28,RA_result!$B$3:$N$62,4,0),"")</f>
        <v>1053550393.05383</v>
      </c>
      <c r="T28" s="60" t="n">
        <v>0.9</v>
      </c>
      <c r="U28" s="59" t="n">
        <f aca="false">IFERROR(IF(VLOOKUP($A28,RA_result!$B$3:$N$62,6,0)="",S28*T28,VLOOKUP($A28,RA_result!$B$3:$N$62,6,0)),"")</f>
        <v>948195353.748447</v>
      </c>
      <c r="V28" s="61" t="n">
        <v>1.3</v>
      </c>
      <c r="W28" s="62" t="n">
        <f aca="false">IFERROR((S28*30%)/V28,0)</f>
        <v>243127013.781653</v>
      </c>
      <c r="X28" s="63" t="n">
        <f aca="false">IFERROR(N28/W28,0)</f>
        <v>0</v>
      </c>
      <c r="Y28" s="68"/>
      <c r="Z28" s="57"/>
      <c r="AA28" s="69" t="str">
        <f aca="false">IF(OR(U28="",Y28="",Z28=""),"",IF(AND(U28&gt;Y28,-U28&lt;Z28),"Ok","Not Ok"))</f>
        <v/>
      </c>
      <c r="AB28" s="70"/>
    </row>
    <row r="29" customFormat="false" ht="12.8" hidden="false" customHeight="false" outlineLevel="0" collapsed="false">
      <c r="A29" s="48" t="str">
        <f aca="false">TB_audited!A12</f>
        <v>Cash and cash equivalent</v>
      </c>
      <c r="B29" s="49"/>
      <c r="C29" s="50"/>
      <c r="D29" s="51" t="n">
        <f aca="false">TB_audited!B12</f>
        <v>11106</v>
      </c>
      <c r="E29" s="52" t="str">
        <f aca="false">TB_audited!C12</f>
        <v>120/0140</v>
      </c>
      <c r="F29" s="53" t="str">
        <f aca="false">TB_audited!D12</f>
        <v>CASH AT BANK-BNI A/C:855771775</v>
      </c>
      <c r="G29" s="54" t="n">
        <f aca="false">IF($D$8="Interim",TB_audited!G12,TB_audited!E12)</f>
        <v>905130602</v>
      </c>
      <c r="H29" s="55" t="str">
        <f aca="false">IFERROR(VLOOKUP($A29,RA_result!$B$3:$N$62,11,0),"")</f>
        <v/>
      </c>
      <c r="I29" s="55" t="str">
        <f aca="false">IFERROR(VLOOKUP($A29,RA_result!$B$3:$N$62,12,0),"")</f>
        <v>Ya</v>
      </c>
      <c r="J29" s="55" t="str">
        <f aca="false">IFERROR(VLOOKUP($A29,RA_result!$B$3:$N$62,13,0),"")</f>
        <v>YE</v>
      </c>
      <c r="K29" s="56" t="s">
        <v>54</v>
      </c>
      <c r="L29" s="56" t="s">
        <v>53</v>
      </c>
      <c r="M29" s="57" t="n">
        <v>905130602</v>
      </c>
      <c r="N29" s="54" t="n">
        <f aca="false">G29-M29</f>
        <v>0</v>
      </c>
      <c r="O29" s="55" t="str">
        <f aca="false">IFERROR(VLOOKUP($A29,RA_result!$B$3:$N$62,7,0),"")</f>
        <v>M</v>
      </c>
      <c r="P29" s="52" t="str">
        <f aca="false">IFERROR(VLOOKUP($A29,RA_result!$B$3:$N$62,9,0),"")</f>
        <v>L</v>
      </c>
      <c r="Q29" s="52" t="str">
        <f aca="false">IFERROR(VLOOKUP($A29,RA_result!$B$3:$N$62,10,0),"")</f>
        <v/>
      </c>
      <c r="R29" s="58" t="s">
        <v>55</v>
      </c>
      <c r="S29" s="59" t="n">
        <f aca="false">IFERROR(VLOOKUP($A29,RA_result!$B$3:$N$62,4,0),"")</f>
        <v>1053550393.05383</v>
      </c>
      <c r="T29" s="60" t="n">
        <v>0.9</v>
      </c>
      <c r="U29" s="59" t="n">
        <f aca="false">IFERROR(IF(VLOOKUP($A29,RA_result!$B$3:$N$62,6,0)="",S29*T29,VLOOKUP($A29,RA_result!$B$3:$N$62,6,0)),"")</f>
        <v>948195353.748447</v>
      </c>
      <c r="V29" s="61" t="n">
        <v>1.3</v>
      </c>
      <c r="W29" s="62" t="n">
        <f aca="false">IFERROR((S29*30%)/V29,0)</f>
        <v>243127013.781653</v>
      </c>
      <c r="X29" s="63" t="n">
        <f aca="false">IFERROR(N29/W29,0)</f>
        <v>0</v>
      </c>
      <c r="Y29" s="68"/>
      <c r="Z29" s="57"/>
      <c r="AA29" s="69" t="str">
        <f aca="false">IF(OR(U29="",Y29="",Z29=""),"",IF(AND(U29&gt;Y29,-U29&lt;Z29),"Ok","Not Ok"))</f>
        <v/>
      </c>
      <c r="AB29" s="70"/>
    </row>
    <row r="30" customFormat="false" ht="12.8" hidden="false" customHeight="false" outlineLevel="0" collapsed="false">
      <c r="A30" s="48" t="str">
        <f aca="false">TB_audited!A13</f>
        <v>Inventory</v>
      </c>
      <c r="B30" s="49"/>
      <c r="C30" s="50"/>
      <c r="D30" s="51" t="n">
        <f aca="false">TB_audited!B13</f>
        <v>11601</v>
      </c>
      <c r="E30" s="52" t="str">
        <f aca="false">TB_audited!C13</f>
        <v>126/1000</v>
      </c>
      <c r="F30" s="53" t="str">
        <f aca="false">TB_audited!D13</f>
        <v>INVENTORY-MACHINE</v>
      </c>
      <c r="G30" s="54" t="n">
        <f aca="false">IF($D$8="Interim",TB_audited!G13,TB_audited!E13)</f>
        <v>333000000</v>
      </c>
      <c r="H30" s="55" t="str">
        <f aca="false">IFERROR(VLOOKUP($A30,RA_result!$B$3:$N$62,11,0),"")</f>
        <v/>
      </c>
      <c r="I30" s="55" t="str">
        <f aca="false">IFERROR(VLOOKUP($A30,RA_result!$B$3:$N$62,12,0),"")</f>
        <v>Ya</v>
      </c>
      <c r="J30" s="55" t="str">
        <f aca="false">IFERROR(VLOOKUP($A30,RA_result!$B$3:$N$62,13,0),"")</f>
        <v>YE</v>
      </c>
      <c r="K30" s="56" t="s">
        <v>53</v>
      </c>
      <c r="L30" s="56" t="s">
        <v>54</v>
      </c>
      <c r="M30" s="57" t="n">
        <v>333000000</v>
      </c>
      <c r="N30" s="54" t="n">
        <f aca="false">G30-M30</f>
        <v>0</v>
      </c>
      <c r="O30" s="55" t="str">
        <f aca="false">IFERROR(VLOOKUP($A30,RA_result!$B$3:$N$62,7,0),"")</f>
        <v>M</v>
      </c>
      <c r="P30" s="52" t="str">
        <f aca="false">IFERROR(VLOOKUP($A30,RA_result!$B$3:$N$62,9,0),"")</f>
        <v>L</v>
      </c>
      <c r="Q30" s="52" t="str">
        <f aca="false">IFERROR(VLOOKUP($A30,RA_result!$B$3:$N$62,10,0),"")</f>
        <v/>
      </c>
      <c r="R30" s="58" t="s">
        <v>55</v>
      </c>
      <c r="S30" s="59" t="n">
        <f aca="false">IFERROR(VLOOKUP($A30,RA_result!$B$3:$N$62,4,0),"")</f>
        <v>1053550393.05383</v>
      </c>
      <c r="T30" s="60" t="n">
        <v>0.9</v>
      </c>
      <c r="U30" s="59" t="n">
        <f aca="false">IFERROR(IF(VLOOKUP($A30,RA_result!$B$3:$N$62,6,0)="",S30*T30,VLOOKUP($A30,RA_result!$B$3:$N$62,6,0)),"")</f>
        <v>948195353.748447</v>
      </c>
      <c r="V30" s="61" t="n">
        <v>1.3</v>
      </c>
      <c r="W30" s="62" t="n">
        <f aca="false">IFERROR((S30*30%)/V30,0)</f>
        <v>243127013.781653</v>
      </c>
      <c r="X30" s="63" t="n">
        <f aca="false">IFERROR(N30/W30,0)</f>
        <v>0</v>
      </c>
      <c r="Y30" s="68"/>
      <c r="Z30" s="57"/>
      <c r="AA30" s="69" t="str">
        <f aca="false">IF(OR(U30="",Y30="",Z30=""),"",IF(AND(U30&gt;Y30,-U30&lt;Z30),"Ok","Not Ok"))</f>
        <v/>
      </c>
      <c r="AB30" s="70"/>
    </row>
    <row r="31" customFormat="false" ht="12.8" hidden="false" customHeight="false" outlineLevel="0" collapsed="false">
      <c r="A31" s="48" t="str">
        <f aca="false">TB_audited!A14</f>
        <v>Inventory</v>
      </c>
      <c r="B31" s="49"/>
      <c r="C31" s="50"/>
      <c r="D31" s="51" t="n">
        <f aca="false">TB_audited!B14</f>
        <v>11602</v>
      </c>
      <c r="E31" s="52" t="str">
        <f aca="false">TB_audited!C14</f>
        <v>126/2000</v>
      </c>
      <c r="F31" s="53" t="str">
        <f aca="false">TB_audited!D14</f>
        <v>INVENTORY-SPAREPARTS</v>
      </c>
      <c r="G31" s="54" t="n">
        <f aca="false">IF($D$8="Interim",TB_audited!G14,TB_audited!E14)</f>
        <v>13896502774.06</v>
      </c>
      <c r="H31" s="55" t="str">
        <f aca="false">IFERROR(VLOOKUP($A31,RA_result!$B$3:$N$62,11,0),"")</f>
        <v/>
      </c>
      <c r="I31" s="55" t="str">
        <f aca="false">IFERROR(VLOOKUP($A31,RA_result!$B$3:$N$62,12,0),"")</f>
        <v>Ya</v>
      </c>
      <c r="J31" s="55" t="str">
        <f aca="false">IFERROR(VLOOKUP($A31,RA_result!$B$3:$N$62,13,0),"")</f>
        <v>YE</v>
      </c>
      <c r="K31" s="56" t="s">
        <v>54</v>
      </c>
      <c r="L31" s="56" t="s">
        <v>53</v>
      </c>
      <c r="M31" s="57" t="n">
        <v>13896502774.06</v>
      </c>
      <c r="N31" s="54" t="n">
        <f aca="false">G31-M31</f>
        <v>0</v>
      </c>
      <c r="O31" s="55" t="str">
        <f aca="false">IFERROR(VLOOKUP($A31,RA_result!$B$3:$N$62,7,0),"")</f>
        <v>M</v>
      </c>
      <c r="P31" s="52" t="str">
        <f aca="false">IFERROR(VLOOKUP($A31,RA_result!$B$3:$N$62,9,0),"")</f>
        <v>L</v>
      </c>
      <c r="Q31" s="52" t="str">
        <f aca="false">IFERROR(VLOOKUP($A31,RA_result!$B$3:$N$62,10,0),"")</f>
        <v/>
      </c>
      <c r="R31" s="58" t="s">
        <v>55</v>
      </c>
      <c r="S31" s="59" t="n">
        <f aca="false">IFERROR(VLOOKUP($A31,RA_result!$B$3:$N$62,4,0),"")</f>
        <v>1053550393.05383</v>
      </c>
      <c r="T31" s="60" t="n">
        <v>0.9</v>
      </c>
      <c r="U31" s="59" t="n">
        <f aca="false">IFERROR(IF(VLOOKUP($A31,RA_result!$B$3:$N$62,6,0)="",S31*T31,VLOOKUP($A31,RA_result!$B$3:$N$62,6,0)),"")</f>
        <v>948195353.748447</v>
      </c>
      <c r="V31" s="61" t="n">
        <v>1.3</v>
      </c>
      <c r="W31" s="62" t="n">
        <f aca="false">IFERROR((S31*30%)/V31,0)</f>
        <v>243127013.781653</v>
      </c>
      <c r="X31" s="63" t="n">
        <f aca="false">IFERROR(N31/W31,0)</f>
        <v>0</v>
      </c>
      <c r="Y31" s="68"/>
      <c r="Z31" s="57"/>
      <c r="AA31" s="69" t="str">
        <f aca="false">IF(OR(U31="",Y31="",Z31=""),"",IF(AND(U31&gt;Y31,-U31&lt;Z31),"Ok","Not Ok"))</f>
        <v/>
      </c>
      <c r="AB31" s="70"/>
    </row>
    <row r="32" customFormat="false" ht="12.8" hidden="false" customHeight="false" outlineLevel="0" collapsed="false">
      <c r="A32" s="48" t="str">
        <f aca="false">TB_audited!A15</f>
        <v>Other current asset</v>
      </c>
      <c r="B32" s="49"/>
      <c r="C32" s="50"/>
      <c r="D32" s="51" t="n">
        <f aca="false">TB_audited!B15</f>
        <v>11903</v>
      </c>
      <c r="E32" s="52" t="str">
        <f aca="false">TB_audited!C15</f>
        <v>130/0060</v>
      </c>
      <c r="F32" s="53" t="str">
        <f aca="false">TB_audited!D15</f>
        <v>ADE IRAWAN</v>
      </c>
      <c r="G32" s="54" t="n">
        <f aca="false">IF($D$8="Interim",TB_audited!G15,TB_audited!E15)</f>
        <v>1500000</v>
      </c>
      <c r="H32" s="55" t="str">
        <f aca="false">IFERROR(VLOOKUP($A32,RA_result!$B$3:$N$62,11,0),"")</f>
        <v/>
      </c>
      <c r="I32" s="55" t="str">
        <f aca="false">IFERROR(VLOOKUP($A32,RA_result!$B$3:$N$62,12,0),"")</f>
        <v/>
      </c>
      <c r="J32" s="55" t="str">
        <f aca="false">IFERROR(VLOOKUP($A32,RA_result!$B$3:$N$62,13,0),"")</f>
        <v/>
      </c>
      <c r="K32" s="56"/>
      <c r="L32" s="56"/>
      <c r="M32" s="57" t="n">
        <v>1500000</v>
      </c>
      <c r="N32" s="54" t="n">
        <f aca="false">G32-M32</f>
        <v>0</v>
      </c>
      <c r="O32" s="55" t="str">
        <f aca="false">IFERROR(VLOOKUP($A32,RA_result!$B$3:$N$62,7,0),"")</f>
        <v>TM</v>
      </c>
      <c r="P32" s="52" t="str">
        <f aca="false">IFERROR(VLOOKUP($A32,RA_result!$B$3:$N$62,9,0),"")</f>
        <v>L</v>
      </c>
      <c r="Q32" s="52" t="str">
        <f aca="false">IFERROR(VLOOKUP($A32,RA_result!$B$3:$N$62,10,0),"")</f>
        <v/>
      </c>
      <c r="R32" s="58" t="s">
        <v>55</v>
      </c>
      <c r="S32" s="59" t="n">
        <f aca="false">IFERROR(VLOOKUP($A32,RA_result!$B$3:$N$62,4,0),"")</f>
        <v>1053550393.05383</v>
      </c>
      <c r="T32" s="60" t="n">
        <v>0.9</v>
      </c>
      <c r="U32" s="59" t="n">
        <f aca="false">IFERROR(IF(VLOOKUP($A32,RA_result!$B$3:$N$62,6,0)="",S32*T32,VLOOKUP($A32,RA_result!$B$3:$N$62,6,0)),"")</f>
        <v>948195353.748447</v>
      </c>
      <c r="V32" s="61" t="s">
        <v>56</v>
      </c>
      <c r="W32" s="62" t="n">
        <f aca="false">IFERROR((S32*30%)/V32,0)</f>
        <v>0</v>
      </c>
      <c r="X32" s="63" t="n">
        <f aca="false">IFERROR(N32/W32,0)</f>
        <v>0</v>
      </c>
      <c r="Y32" s="68"/>
      <c r="Z32" s="57"/>
      <c r="AA32" s="69" t="str">
        <f aca="false">IF(OR(U32="",Y32="",Z32=""),"",IF(AND(U32&gt;Y32,-U32&lt;Z32),"Ok","Not Ok"))</f>
        <v/>
      </c>
      <c r="AB32" s="70"/>
    </row>
    <row r="33" customFormat="false" ht="12.8" hidden="false" customHeight="false" outlineLevel="0" collapsed="false">
      <c r="A33" s="48" t="str">
        <f aca="false">TB_audited!A16</f>
        <v>Other current asset</v>
      </c>
      <c r="B33" s="49"/>
      <c r="C33" s="50"/>
      <c r="D33" s="51" t="n">
        <f aca="false">TB_audited!B16</f>
        <v>11904</v>
      </c>
      <c r="E33" s="52" t="str">
        <f aca="false">TB_audited!C16</f>
        <v>130/0090</v>
      </c>
      <c r="F33" s="53" t="str">
        <f aca="false">TB_audited!D16</f>
        <v>NURDIN ANDRIANSYAH</v>
      </c>
      <c r="G33" s="54" t="n">
        <f aca="false">IF($D$8="Interim",TB_audited!G16,TB_audited!E16)</f>
        <v>0</v>
      </c>
      <c r="H33" s="55" t="str">
        <f aca="false">IFERROR(VLOOKUP($A33,RA_result!$B$3:$N$62,11,0),"")</f>
        <v/>
      </c>
      <c r="I33" s="55" t="str">
        <f aca="false">IFERROR(VLOOKUP($A33,RA_result!$B$3:$N$62,12,0),"")</f>
        <v/>
      </c>
      <c r="J33" s="55" t="str">
        <f aca="false">IFERROR(VLOOKUP($A33,RA_result!$B$3:$N$62,13,0),"")</f>
        <v/>
      </c>
      <c r="K33" s="56"/>
      <c r="L33" s="56"/>
      <c r="M33" s="57" t="n">
        <v>0</v>
      </c>
      <c r="N33" s="54" t="n">
        <f aca="false">G33-M33</f>
        <v>0</v>
      </c>
      <c r="O33" s="55" t="str">
        <f aca="false">IFERROR(VLOOKUP($A33,RA_result!$B$3:$N$62,7,0),"")</f>
        <v>TM</v>
      </c>
      <c r="P33" s="52" t="str">
        <f aca="false">IFERROR(VLOOKUP($A33,RA_result!$B$3:$N$62,9,0),"")</f>
        <v>L</v>
      </c>
      <c r="Q33" s="52" t="str">
        <f aca="false">IFERROR(VLOOKUP($A33,RA_result!$B$3:$N$62,10,0),"")</f>
        <v/>
      </c>
      <c r="R33" s="58" t="s">
        <v>55</v>
      </c>
      <c r="S33" s="59" t="n">
        <f aca="false">IFERROR(VLOOKUP($A33,RA_result!$B$3:$N$62,4,0),"")</f>
        <v>1053550393.05383</v>
      </c>
      <c r="T33" s="60" t="n">
        <v>0.9</v>
      </c>
      <c r="U33" s="59" t="n">
        <f aca="false">IFERROR(IF(VLOOKUP($A33,RA_result!$B$3:$N$62,6,0)="",S33*T33,VLOOKUP($A33,RA_result!$B$3:$N$62,6,0)),"")</f>
        <v>948195353.748447</v>
      </c>
      <c r="V33" s="61" t="s">
        <v>56</v>
      </c>
      <c r="W33" s="62" t="n">
        <f aca="false">IFERROR((S33*30%)/V33,0)</f>
        <v>0</v>
      </c>
      <c r="X33" s="63" t="n">
        <f aca="false">IFERROR(N33/W33,0)</f>
        <v>0</v>
      </c>
      <c r="Y33" s="68"/>
      <c r="Z33" s="57"/>
      <c r="AA33" s="69" t="str">
        <f aca="false">IF(OR(U33="",Y33="",Z33=""),"",IF(AND(U33&gt;Y33,-U33&lt;Z33),"Ok","Not Ok"))</f>
        <v/>
      </c>
      <c r="AB33" s="70"/>
    </row>
    <row r="34" customFormat="false" ht="12.8" hidden="false" customHeight="false" outlineLevel="0" collapsed="false">
      <c r="A34" s="48" t="str">
        <f aca="false">TB_audited!A17</f>
        <v>Other current asset</v>
      </c>
      <c r="B34" s="49"/>
      <c r="C34" s="50"/>
      <c r="D34" s="51" t="n">
        <f aca="false">TB_audited!B17</f>
        <v>11905</v>
      </c>
      <c r="E34" s="52" t="str">
        <f aca="false">TB_audited!C17</f>
        <v>130/0120</v>
      </c>
      <c r="F34" s="53" t="str">
        <f aca="false">TB_audited!D17</f>
        <v>HUSNI APENDI</v>
      </c>
      <c r="G34" s="54" t="n">
        <f aca="false">IF($D$8="Interim",TB_audited!G17,TB_audited!E17)</f>
        <v>0</v>
      </c>
      <c r="H34" s="55" t="str">
        <f aca="false">IFERROR(VLOOKUP($A34,RA_result!$B$3:$N$62,11,0),"")</f>
        <v/>
      </c>
      <c r="I34" s="55" t="str">
        <f aca="false">IFERROR(VLOOKUP($A34,RA_result!$B$3:$N$62,12,0),"")</f>
        <v/>
      </c>
      <c r="J34" s="55" t="str">
        <f aca="false">IFERROR(VLOOKUP($A34,RA_result!$B$3:$N$62,13,0),"")</f>
        <v/>
      </c>
      <c r="K34" s="56"/>
      <c r="L34" s="56"/>
      <c r="M34" s="57" t="n">
        <v>0</v>
      </c>
      <c r="N34" s="54" t="n">
        <f aca="false">G34-M34</f>
        <v>0</v>
      </c>
      <c r="O34" s="55" t="str">
        <f aca="false">IFERROR(VLOOKUP($A34,RA_result!$B$3:$N$62,7,0),"")</f>
        <v>TM</v>
      </c>
      <c r="P34" s="52" t="str">
        <f aca="false">IFERROR(VLOOKUP($A34,RA_result!$B$3:$N$62,9,0),"")</f>
        <v>L</v>
      </c>
      <c r="Q34" s="52" t="str">
        <f aca="false">IFERROR(VLOOKUP($A34,RA_result!$B$3:$N$62,10,0),"")</f>
        <v/>
      </c>
      <c r="R34" s="58" t="s">
        <v>55</v>
      </c>
      <c r="S34" s="59" t="n">
        <f aca="false">IFERROR(VLOOKUP($A34,RA_result!$B$3:$N$62,4,0),"")</f>
        <v>1053550393.05383</v>
      </c>
      <c r="T34" s="60" t="n">
        <v>0.9</v>
      </c>
      <c r="U34" s="59" t="n">
        <f aca="false">IFERROR(IF(VLOOKUP($A34,RA_result!$B$3:$N$62,6,0)="",S34*T34,VLOOKUP($A34,RA_result!$B$3:$N$62,6,0)),"")</f>
        <v>948195353.748447</v>
      </c>
      <c r="V34" s="61" t="s">
        <v>56</v>
      </c>
      <c r="W34" s="62" t="n">
        <f aca="false">IFERROR((S34*30%)/V34,0)</f>
        <v>0</v>
      </c>
      <c r="X34" s="63" t="n">
        <f aca="false">IFERROR(N34/W34,0)</f>
        <v>0</v>
      </c>
      <c r="Y34" s="68"/>
      <c r="Z34" s="57"/>
      <c r="AA34" s="69" t="str">
        <f aca="false">IF(OR(U34="",Y34="",Z34=""),"",IF(AND(U34&gt;Y34,-U34&lt;Z34),"Ok","Not Ok"))</f>
        <v/>
      </c>
      <c r="AB34" s="70"/>
    </row>
    <row r="35" customFormat="false" ht="12.8" hidden="false" customHeight="false" outlineLevel="0" collapsed="false">
      <c r="A35" s="48" t="str">
        <f aca="false">TB_audited!A18</f>
        <v>Other current asset</v>
      </c>
      <c r="B35" s="49"/>
      <c r="C35" s="50"/>
      <c r="D35" s="51" t="n">
        <f aca="false">TB_audited!B18</f>
        <v>11906</v>
      </c>
      <c r="E35" s="52" t="str">
        <f aca="false">TB_audited!C18</f>
        <v>130/0180</v>
      </c>
      <c r="F35" s="53" t="str">
        <f aca="false">TB_audited!D18</f>
        <v>OKTA SANDRIAWAN</v>
      </c>
      <c r="G35" s="54" t="n">
        <f aca="false">IF($D$8="Interim",TB_audited!G18,TB_audited!E18)</f>
        <v>0</v>
      </c>
      <c r="H35" s="55" t="str">
        <f aca="false">IFERROR(VLOOKUP($A35,RA_result!$B$3:$N$62,11,0),"")</f>
        <v/>
      </c>
      <c r="I35" s="55" t="str">
        <f aca="false">IFERROR(VLOOKUP($A35,RA_result!$B$3:$N$62,12,0),"")</f>
        <v/>
      </c>
      <c r="J35" s="55" t="str">
        <f aca="false">IFERROR(VLOOKUP($A35,RA_result!$B$3:$N$62,13,0),"")</f>
        <v/>
      </c>
      <c r="K35" s="56"/>
      <c r="L35" s="56"/>
      <c r="M35" s="57" t="n">
        <v>0</v>
      </c>
      <c r="N35" s="54" t="n">
        <f aca="false">G35-M35</f>
        <v>0</v>
      </c>
      <c r="O35" s="55" t="str">
        <f aca="false">IFERROR(VLOOKUP($A35,RA_result!$B$3:$N$62,7,0),"")</f>
        <v>TM</v>
      </c>
      <c r="P35" s="52" t="str">
        <f aca="false">IFERROR(VLOOKUP($A35,RA_result!$B$3:$N$62,9,0),"")</f>
        <v>L</v>
      </c>
      <c r="Q35" s="52" t="str">
        <f aca="false">IFERROR(VLOOKUP($A35,RA_result!$B$3:$N$62,10,0),"")</f>
        <v/>
      </c>
      <c r="R35" s="58" t="s">
        <v>55</v>
      </c>
      <c r="S35" s="59" t="n">
        <f aca="false">IFERROR(VLOOKUP($A35,RA_result!$B$3:$N$62,4,0),"")</f>
        <v>1053550393.05383</v>
      </c>
      <c r="T35" s="60" t="n">
        <v>0.9</v>
      </c>
      <c r="U35" s="59" t="n">
        <f aca="false">IFERROR(IF(VLOOKUP($A35,RA_result!$B$3:$N$62,6,0)="",S35*T35,VLOOKUP($A35,RA_result!$B$3:$N$62,6,0)),"")</f>
        <v>948195353.748447</v>
      </c>
      <c r="V35" s="61" t="s">
        <v>56</v>
      </c>
      <c r="W35" s="62" t="n">
        <f aca="false">IFERROR((S35*30%)/V35,0)</f>
        <v>0</v>
      </c>
      <c r="X35" s="63" t="n">
        <f aca="false">IFERROR(N35/W35,0)</f>
        <v>0</v>
      </c>
      <c r="Y35" s="68"/>
      <c r="Z35" s="57"/>
      <c r="AA35" s="69" t="str">
        <f aca="false">IF(OR(U35="",Y35="",Z35=""),"",IF(AND(U35&gt;Y35,-U35&lt;Z35),"Ok","Not Ok"))</f>
        <v/>
      </c>
      <c r="AB35" s="70"/>
    </row>
    <row r="36" customFormat="false" ht="12.8" hidden="false" customHeight="false" outlineLevel="0" collapsed="false">
      <c r="A36" s="48" t="str">
        <f aca="false">TB_audited!A19</f>
        <v>Other current asset</v>
      </c>
      <c r="B36" s="49"/>
      <c r="C36" s="50"/>
      <c r="D36" s="51" t="n">
        <f aca="false">TB_audited!B19</f>
        <v>11907</v>
      </c>
      <c r="E36" s="52" t="str">
        <f aca="false">TB_audited!C19</f>
        <v>130/0200</v>
      </c>
      <c r="F36" s="53" t="str">
        <f aca="false">TB_audited!D19</f>
        <v>IRWAN YUWONO</v>
      </c>
      <c r="G36" s="54" t="n">
        <f aca="false">IF($D$8="Interim",TB_audited!G19,TB_audited!E19)</f>
        <v>2400000</v>
      </c>
      <c r="H36" s="55" t="str">
        <f aca="false">IFERROR(VLOOKUP($A36,RA_result!$B$3:$N$62,11,0),"")</f>
        <v/>
      </c>
      <c r="I36" s="55" t="str">
        <f aca="false">IFERROR(VLOOKUP($A36,RA_result!$B$3:$N$62,12,0),"")</f>
        <v/>
      </c>
      <c r="J36" s="55" t="str">
        <f aca="false">IFERROR(VLOOKUP($A36,RA_result!$B$3:$N$62,13,0),"")</f>
        <v/>
      </c>
      <c r="K36" s="56"/>
      <c r="L36" s="56"/>
      <c r="M36" s="57" t="n">
        <v>2400000</v>
      </c>
      <c r="N36" s="54" t="n">
        <f aca="false">G36-M36</f>
        <v>0</v>
      </c>
      <c r="O36" s="55" t="str">
        <f aca="false">IFERROR(VLOOKUP($A36,RA_result!$B$3:$N$62,7,0),"")</f>
        <v>TM</v>
      </c>
      <c r="P36" s="52" t="str">
        <f aca="false">IFERROR(VLOOKUP($A36,RA_result!$B$3:$N$62,9,0),"")</f>
        <v>L</v>
      </c>
      <c r="Q36" s="52" t="str">
        <f aca="false">IFERROR(VLOOKUP($A36,RA_result!$B$3:$N$62,10,0),"")</f>
        <v/>
      </c>
      <c r="R36" s="58" t="s">
        <v>55</v>
      </c>
      <c r="S36" s="59" t="n">
        <f aca="false">IFERROR(VLOOKUP($A36,RA_result!$B$3:$N$62,4,0),"")</f>
        <v>1053550393.05383</v>
      </c>
      <c r="T36" s="60" t="n">
        <v>0.9</v>
      </c>
      <c r="U36" s="59" t="n">
        <f aca="false">IFERROR(IF(VLOOKUP($A36,RA_result!$B$3:$N$62,6,0)="",S36*T36,VLOOKUP($A36,RA_result!$B$3:$N$62,6,0)),"")</f>
        <v>948195353.748447</v>
      </c>
      <c r="V36" s="61" t="s">
        <v>56</v>
      </c>
      <c r="W36" s="62" t="n">
        <f aca="false">IFERROR((S36*30%)/V36,0)</f>
        <v>0</v>
      </c>
      <c r="X36" s="63" t="n">
        <f aca="false">IFERROR(N36/W36,0)</f>
        <v>0</v>
      </c>
      <c r="Y36" s="68"/>
      <c r="Z36" s="57"/>
      <c r="AA36" s="69" t="str">
        <f aca="false">IF(OR(U36="",Y36="",Z36=""),"",IF(AND(U36&gt;Y36,-U36&lt;Z36),"Ok","Not Ok"))</f>
        <v/>
      </c>
      <c r="AB36" s="70"/>
    </row>
    <row r="37" customFormat="false" ht="12.8" hidden="false" customHeight="false" outlineLevel="0" collapsed="false">
      <c r="A37" s="48" t="str">
        <f aca="false">TB_audited!A20</f>
        <v>Other current asset</v>
      </c>
      <c r="B37" s="49"/>
      <c r="C37" s="50"/>
      <c r="D37" s="51" t="n">
        <f aca="false">TB_audited!B20</f>
        <v>11908</v>
      </c>
      <c r="E37" s="52" t="str">
        <f aca="false">TB_audited!C20</f>
        <v>130/0210</v>
      </c>
      <c r="F37" s="53" t="str">
        <f aca="false">TB_audited!D20</f>
        <v>BAHRUDIN</v>
      </c>
      <c r="G37" s="54" t="n">
        <f aca="false">IF($D$8="Interim",TB_audited!G20,TB_audited!E20)</f>
        <v>0</v>
      </c>
      <c r="H37" s="55" t="str">
        <f aca="false">IFERROR(VLOOKUP($A37,RA_result!$B$3:$N$62,11,0),"")</f>
        <v/>
      </c>
      <c r="I37" s="55" t="str">
        <f aca="false">IFERROR(VLOOKUP($A37,RA_result!$B$3:$N$62,12,0),"")</f>
        <v/>
      </c>
      <c r="J37" s="55" t="str">
        <f aca="false">IFERROR(VLOOKUP($A37,RA_result!$B$3:$N$62,13,0),"")</f>
        <v/>
      </c>
      <c r="K37" s="56"/>
      <c r="L37" s="56"/>
      <c r="M37" s="57" t="n">
        <v>0</v>
      </c>
      <c r="N37" s="54" t="n">
        <f aca="false">G37-M37</f>
        <v>0</v>
      </c>
      <c r="O37" s="55" t="str">
        <f aca="false">IFERROR(VLOOKUP($A37,RA_result!$B$3:$N$62,7,0),"")</f>
        <v>TM</v>
      </c>
      <c r="P37" s="52" t="str">
        <f aca="false">IFERROR(VLOOKUP($A37,RA_result!$B$3:$N$62,9,0),"")</f>
        <v>L</v>
      </c>
      <c r="Q37" s="52" t="str">
        <f aca="false">IFERROR(VLOOKUP($A37,RA_result!$B$3:$N$62,10,0),"")</f>
        <v/>
      </c>
      <c r="R37" s="58" t="s">
        <v>55</v>
      </c>
      <c r="S37" s="59" t="n">
        <f aca="false">IFERROR(VLOOKUP($A37,RA_result!$B$3:$N$62,4,0),"")</f>
        <v>1053550393.05383</v>
      </c>
      <c r="T37" s="60" t="n">
        <v>0.9</v>
      </c>
      <c r="U37" s="59" t="n">
        <f aca="false">IFERROR(IF(VLOOKUP($A37,RA_result!$B$3:$N$62,6,0)="",S37*T37,VLOOKUP($A37,RA_result!$B$3:$N$62,6,0)),"")</f>
        <v>948195353.748447</v>
      </c>
      <c r="V37" s="61" t="s">
        <v>56</v>
      </c>
      <c r="W37" s="62" t="n">
        <f aca="false">IFERROR((S37*30%)/V37,0)</f>
        <v>0</v>
      </c>
      <c r="X37" s="63" t="n">
        <f aca="false">IFERROR(N37/W37,0)</f>
        <v>0</v>
      </c>
      <c r="Y37" s="68"/>
      <c r="Z37" s="57"/>
      <c r="AA37" s="69" t="str">
        <f aca="false">IF(OR(U37="",Y37="",Z37=""),"",IF(AND(U37&gt;Y37,-U37&lt;Z37),"Ok","Not Ok"))</f>
        <v/>
      </c>
      <c r="AB37" s="70"/>
    </row>
    <row r="38" customFormat="false" ht="12.8" hidden="false" customHeight="false" outlineLevel="0" collapsed="false">
      <c r="A38" s="48" t="str">
        <f aca="false">TB_audited!A21</f>
        <v>Other current asset</v>
      </c>
      <c r="B38" s="49"/>
      <c r="C38" s="50"/>
      <c r="D38" s="51" t="n">
        <f aca="false">TB_audited!B21</f>
        <v>11909</v>
      </c>
      <c r="E38" s="52" t="str">
        <f aca="false">TB_audited!C21</f>
        <v>130/0220</v>
      </c>
      <c r="F38" s="53" t="str">
        <f aca="false">TB_audited!D21</f>
        <v>DEDI RIYADI</v>
      </c>
      <c r="G38" s="54" t="n">
        <f aca="false">IF($D$8="Interim",TB_audited!G21,TB_audited!E21)</f>
        <v>0</v>
      </c>
      <c r="H38" s="55" t="str">
        <f aca="false">IFERROR(VLOOKUP($A38,RA_result!$B$3:$N$62,11,0),"")</f>
        <v/>
      </c>
      <c r="I38" s="55" t="str">
        <f aca="false">IFERROR(VLOOKUP($A38,RA_result!$B$3:$N$62,12,0),"")</f>
        <v/>
      </c>
      <c r="J38" s="55" t="str">
        <f aca="false">IFERROR(VLOOKUP($A38,RA_result!$B$3:$N$62,13,0),"")</f>
        <v/>
      </c>
      <c r="K38" s="56"/>
      <c r="L38" s="56"/>
      <c r="M38" s="57" t="n">
        <v>0</v>
      </c>
      <c r="N38" s="54" t="n">
        <f aca="false">G38-M38</f>
        <v>0</v>
      </c>
      <c r="O38" s="55" t="str">
        <f aca="false">IFERROR(VLOOKUP($A38,RA_result!$B$3:$N$62,7,0),"")</f>
        <v>TM</v>
      </c>
      <c r="P38" s="52" t="str">
        <f aca="false">IFERROR(VLOOKUP($A38,RA_result!$B$3:$N$62,9,0),"")</f>
        <v>L</v>
      </c>
      <c r="Q38" s="52" t="str">
        <f aca="false">IFERROR(VLOOKUP($A38,RA_result!$B$3:$N$62,10,0),"")</f>
        <v/>
      </c>
      <c r="R38" s="58" t="s">
        <v>55</v>
      </c>
      <c r="S38" s="59" t="n">
        <f aca="false">IFERROR(VLOOKUP($A38,RA_result!$B$3:$N$62,4,0),"")</f>
        <v>1053550393.05383</v>
      </c>
      <c r="T38" s="60" t="n">
        <v>0.9</v>
      </c>
      <c r="U38" s="59" t="n">
        <f aca="false">IFERROR(IF(VLOOKUP($A38,RA_result!$B$3:$N$62,6,0)="",S38*T38,VLOOKUP($A38,RA_result!$B$3:$N$62,6,0)),"")</f>
        <v>948195353.748447</v>
      </c>
      <c r="V38" s="61" t="s">
        <v>56</v>
      </c>
      <c r="W38" s="62" t="n">
        <f aca="false">IFERROR((S38*30%)/V38,0)</f>
        <v>0</v>
      </c>
      <c r="X38" s="63" t="n">
        <f aca="false">IFERROR(N38/W38,0)</f>
        <v>0</v>
      </c>
      <c r="Y38" s="68"/>
      <c r="Z38" s="57"/>
      <c r="AA38" s="69" t="str">
        <f aca="false">IF(OR(U38="",Y38="",Z38=""),"",IF(AND(U38&gt;Y38,-U38&lt;Z38),"Ok","Not Ok"))</f>
        <v/>
      </c>
      <c r="AB38" s="70"/>
    </row>
    <row r="39" customFormat="false" ht="12.8" hidden="false" customHeight="false" outlineLevel="0" collapsed="false">
      <c r="A39" s="48" t="str">
        <f aca="false">TB_audited!A22</f>
        <v>Other current asset</v>
      </c>
      <c r="B39" s="49"/>
      <c r="C39" s="50"/>
      <c r="D39" s="51" t="n">
        <f aca="false">TB_audited!B22</f>
        <v>11910</v>
      </c>
      <c r="E39" s="52" t="str">
        <f aca="false">TB_audited!C22</f>
        <v>130/0230</v>
      </c>
      <c r="F39" s="53" t="str">
        <f aca="false">TB_audited!D22</f>
        <v>HARVY WAHYU PERDANA</v>
      </c>
      <c r="G39" s="54" t="n">
        <f aca="false">IF($D$8="Interim",TB_audited!G22,TB_audited!E22)</f>
        <v>0</v>
      </c>
      <c r="H39" s="55" t="str">
        <f aca="false">IFERROR(VLOOKUP($A39,RA_result!$B$3:$N$62,11,0),"")</f>
        <v/>
      </c>
      <c r="I39" s="55" t="str">
        <f aca="false">IFERROR(VLOOKUP($A39,RA_result!$B$3:$N$62,12,0),"")</f>
        <v/>
      </c>
      <c r="J39" s="55" t="str">
        <f aca="false">IFERROR(VLOOKUP($A39,RA_result!$B$3:$N$62,13,0),"")</f>
        <v/>
      </c>
      <c r="K39" s="56"/>
      <c r="L39" s="56"/>
      <c r="M39" s="57" t="n">
        <v>0</v>
      </c>
      <c r="N39" s="54" t="n">
        <f aca="false">G39-M39</f>
        <v>0</v>
      </c>
      <c r="O39" s="55" t="str">
        <f aca="false">IFERROR(VLOOKUP($A39,RA_result!$B$3:$N$62,7,0),"")</f>
        <v>TM</v>
      </c>
      <c r="P39" s="52" t="str">
        <f aca="false">IFERROR(VLOOKUP($A39,RA_result!$B$3:$N$62,9,0),"")</f>
        <v>L</v>
      </c>
      <c r="Q39" s="52" t="str">
        <f aca="false">IFERROR(VLOOKUP($A39,RA_result!$B$3:$N$62,10,0),"")</f>
        <v/>
      </c>
      <c r="R39" s="58" t="s">
        <v>55</v>
      </c>
      <c r="S39" s="59" t="n">
        <f aca="false">IFERROR(VLOOKUP($A39,RA_result!$B$3:$N$62,4,0),"")</f>
        <v>1053550393.05383</v>
      </c>
      <c r="T39" s="60" t="n">
        <v>0.9</v>
      </c>
      <c r="U39" s="59" t="n">
        <f aca="false">IFERROR(IF(VLOOKUP($A39,RA_result!$B$3:$N$62,6,0)="",S39*T39,VLOOKUP($A39,RA_result!$B$3:$N$62,6,0)),"")</f>
        <v>948195353.748447</v>
      </c>
      <c r="V39" s="61" t="s">
        <v>56</v>
      </c>
      <c r="W39" s="62" t="n">
        <f aca="false">IFERROR((S39*30%)/V39,0)</f>
        <v>0</v>
      </c>
      <c r="X39" s="63" t="n">
        <f aca="false">IFERROR(N39/W39,0)</f>
        <v>0</v>
      </c>
      <c r="Y39" s="68"/>
      <c r="Z39" s="57"/>
      <c r="AA39" s="69" t="str">
        <f aca="false">IF(OR(U39="",Y39="",Z39=""),"",IF(AND(U39&gt;Y39,-U39&lt;Z39),"Ok","Not Ok"))</f>
        <v/>
      </c>
      <c r="AB39" s="70"/>
    </row>
    <row r="40" customFormat="false" ht="12.8" hidden="false" customHeight="false" outlineLevel="0" collapsed="false">
      <c r="A40" s="48" t="str">
        <f aca="false">TB_audited!A23</f>
        <v>Other current asset</v>
      </c>
      <c r="B40" s="49"/>
      <c r="C40" s="50"/>
      <c r="D40" s="51" t="n">
        <f aca="false">TB_audited!B23</f>
        <v>11911</v>
      </c>
      <c r="E40" s="52" t="str">
        <f aca="false">TB_audited!C23</f>
        <v>130/0250</v>
      </c>
      <c r="F40" s="53" t="str">
        <f aca="false">TB_audited!D23</f>
        <v>TOMI HARIYANTO</v>
      </c>
      <c r="G40" s="54" t="n">
        <f aca="false">IF($D$8="Interim",TB_audited!G23,TB_audited!E23)</f>
        <v>4500000</v>
      </c>
      <c r="H40" s="55" t="str">
        <f aca="false">IFERROR(VLOOKUP($A40,RA_result!$B$3:$N$62,11,0),"")</f>
        <v/>
      </c>
      <c r="I40" s="55" t="str">
        <f aca="false">IFERROR(VLOOKUP($A40,RA_result!$B$3:$N$62,12,0),"")</f>
        <v/>
      </c>
      <c r="J40" s="55" t="str">
        <f aca="false">IFERROR(VLOOKUP($A40,RA_result!$B$3:$N$62,13,0),"")</f>
        <v/>
      </c>
      <c r="K40" s="56"/>
      <c r="L40" s="56"/>
      <c r="M40" s="57" t="n">
        <v>4500000</v>
      </c>
      <c r="N40" s="54" t="n">
        <f aca="false">G40-M40</f>
        <v>0</v>
      </c>
      <c r="O40" s="55" t="str">
        <f aca="false">IFERROR(VLOOKUP($A40,RA_result!$B$3:$N$62,7,0),"")</f>
        <v>TM</v>
      </c>
      <c r="P40" s="52" t="str">
        <f aca="false">IFERROR(VLOOKUP($A40,RA_result!$B$3:$N$62,9,0),"")</f>
        <v>L</v>
      </c>
      <c r="Q40" s="52" t="str">
        <f aca="false">IFERROR(VLOOKUP($A40,RA_result!$B$3:$N$62,10,0),"")</f>
        <v/>
      </c>
      <c r="R40" s="58" t="s">
        <v>55</v>
      </c>
      <c r="S40" s="59" t="n">
        <f aca="false">IFERROR(VLOOKUP($A40,RA_result!$B$3:$N$62,4,0),"")</f>
        <v>1053550393.05383</v>
      </c>
      <c r="T40" s="60" t="n">
        <v>0.9</v>
      </c>
      <c r="U40" s="59" t="n">
        <f aca="false">IFERROR(IF(VLOOKUP($A40,RA_result!$B$3:$N$62,6,0)="",S40*T40,VLOOKUP($A40,RA_result!$B$3:$N$62,6,0)),"")</f>
        <v>948195353.748447</v>
      </c>
      <c r="V40" s="61" t="s">
        <v>56</v>
      </c>
      <c r="W40" s="62" t="n">
        <f aca="false">IFERROR((S40*30%)/V40,0)</f>
        <v>0</v>
      </c>
      <c r="X40" s="63" t="n">
        <f aca="false">IFERROR(N40/W40,0)</f>
        <v>0</v>
      </c>
      <c r="Y40" s="68"/>
      <c r="Z40" s="57"/>
      <c r="AA40" s="69" t="str">
        <f aca="false">IF(OR(U40="",Y40="",Z40=""),"",IF(AND(U40&gt;Y40,-U40&lt;Z40),"Ok","Not Ok"))</f>
        <v/>
      </c>
      <c r="AB40" s="70"/>
    </row>
    <row r="41" customFormat="false" ht="12.8" hidden="false" customHeight="false" outlineLevel="0" collapsed="false">
      <c r="A41" s="48" t="str">
        <f aca="false">TB_audited!A24</f>
        <v>Other current asset</v>
      </c>
      <c r="B41" s="49"/>
      <c r="C41" s="50"/>
      <c r="D41" s="51" t="n">
        <f aca="false">TB_audited!B24</f>
        <v>11912</v>
      </c>
      <c r="E41" s="52" t="str">
        <f aca="false">TB_audited!C24</f>
        <v>130/0260</v>
      </c>
      <c r="F41" s="53" t="str">
        <f aca="false">TB_audited!D24</f>
        <v>SUHARTOYO</v>
      </c>
      <c r="G41" s="54" t="n">
        <f aca="false">IF($D$8="Interim",TB_audited!G24,TB_audited!E24)</f>
        <v>0</v>
      </c>
      <c r="H41" s="55" t="str">
        <f aca="false">IFERROR(VLOOKUP($A41,RA_result!$B$3:$N$62,11,0),"")</f>
        <v/>
      </c>
      <c r="I41" s="55" t="str">
        <f aca="false">IFERROR(VLOOKUP($A41,RA_result!$B$3:$N$62,12,0),"")</f>
        <v/>
      </c>
      <c r="J41" s="55" t="str">
        <f aca="false">IFERROR(VLOOKUP($A41,RA_result!$B$3:$N$62,13,0),"")</f>
        <v/>
      </c>
      <c r="K41" s="56"/>
      <c r="L41" s="56"/>
      <c r="M41" s="57" t="n">
        <v>0</v>
      </c>
      <c r="N41" s="54" t="n">
        <f aca="false">G41-M41</f>
        <v>0</v>
      </c>
      <c r="O41" s="55" t="str">
        <f aca="false">IFERROR(VLOOKUP($A41,RA_result!$B$3:$N$62,7,0),"")</f>
        <v>TM</v>
      </c>
      <c r="P41" s="52" t="str">
        <f aca="false">IFERROR(VLOOKUP($A41,RA_result!$B$3:$N$62,9,0),"")</f>
        <v>L</v>
      </c>
      <c r="Q41" s="52" t="str">
        <f aca="false">IFERROR(VLOOKUP($A41,RA_result!$B$3:$N$62,10,0),"")</f>
        <v/>
      </c>
      <c r="R41" s="58" t="s">
        <v>55</v>
      </c>
      <c r="S41" s="59" t="n">
        <f aca="false">IFERROR(VLOOKUP($A41,RA_result!$B$3:$N$62,4,0),"")</f>
        <v>1053550393.05383</v>
      </c>
      <c r="T41" s="60" t="n">
        <v>0.9</v>
      </c>
      <c r="U41" s="59" t="n">
        <f aca="false">IFERROR(IF(VLOOKUP($A41,RA_result!$B$3:$N$62,6,0)="",S41*T41,VLOOKUP($A41,RA_result!$B$3:$N$62,6,0)),"")</f>
        <v>948195353.748447</v>
      </c>
      <c r="V41" s="61" t="s">
        <v>56</v>
      </c>
      <c r="W41" s="62" t="n">
        <f aca="false">IFERROR((S41*30%)/V41,0)</f>
        <v>0</v>
      </c>
      <c r="X41" s="63" t="n">
        <f aca="false">IFERROR(N41/W41,0)</f>
        <v>0</v>
      </c>
      <c r="Y41" s="68"/>
      <c r="Z41" s="57"/>
      <c r="AA41" s="69" t="str">
        <f aca="false">IF(OR(U41="",Y41="",Z41=""),"",IF(AND(U41&gt;Y41,-U41&lt;Z41),"Ok","Not Ok"))</f>
        <v/>
      </c>
      <c r="AB41" s="70"/>
    </row>
    <row r="42" customFormat="false" ht="12.8" hidden="false" customHeight="false" outlineLevel="0" collapsed="false">
      <c r="A42" s="48" t="str">
        <f aca="false">TB_audited!A25</f>
        <v>Other current asset</v>
      </c>
      <c r="B42" s="49"/>
      <c r="C42" s="50"/>
      <c r="D42" s="51" t="n">
        <f aca="false">TB_audited!B25</f>
        <v>11913</v>
      </c>
      <c r="E42" s="52" t="str">
        <f aca="false">TB_audited!C25</f>
        <v>140/0050</v>
      </c>
      <c r="F42" s="53" t="str">
        <f aca="false">TB_audited!D25</f>
        <v>IRWAN YUWONO</v>
      </c>
      <c r="G42" s="54" t="n">
        <f aca="false">IF($D$8="Interim",TB_audited!G25,TB_audited!E25)</f>
        <v>6600000</v>
      </c>
      <c r="H42" s="55" t="str">
        <f aca="false">IFERROR(VLOOKUP($A42,RA_result!$B$3:$N$62,11,0),"")</f>
        <v/>
      </c>
      <c r="I42" s="55" t="str">
        <f aca="false">IFERROR(VLOOKUP($A42,RA_result!$B$3:$N$62,12,0),"")</f>
        <v/>
      </c>
      <c r="J42" s="55" t="str">
        <f aca="false">IFERROR(VLOOKUP($A42,RA_result!$B$3:$N$62,13,0),"")</f>
        <v/>
      </c>
      <c r="K42" s="56"/>
      <c r="L42" s="56"/>
      <c r="M42" s="57" t="n">
        <v>6600000</v>
      </c>
      <c r="N42" s="54" t="n">
        <f aca="false">G42-M42</f>
        <v>0</v>
      </c>
      <c r="O42" s="55" t="str">
        <f aca="false">IFERROR(VLOOKUP($A42,RA_result!$B$3:$N$62,7,0),"")</f>
        <v>TM</v>
      </c>
      <c r="P42" s="52" t="str">
        <f aca="false">IFERROR(VLOOKUP($A42,RA_result!$B$3:$N$62,9,0),"")</f>
        <v>L</v>
      </c>
      <c r="Q42" s="52" t="str">
        <f aca="false">IFERROR(VLOOKUP($A42,RA_result!$B$3:$N$62,10,0),"")</f>
        <v/>
      </c>
      <c r="R42" s="58" t="s">
        <v>55</v>
      </c>
      <c r="S42" s="59" t="n">
        <f aca="false">IFERROR(VLOOKUP($A42,RA_result!$B$3:$N$62,4,0),"")</f>
        <v>1053550393.05383</v>
      </c>
      <c r="T42" s="60" t="n">
        <v>0.9</v>
      </c>
      <c r="U42" s="59" t="n">
        <f aca="false">IFERROR(IF(VLOOKUP($A42,RA_result!$B$3:$N$62,6,0)="",S42*T42,VLOOKUP($A42,RA_result!$B$3:$N$62,6,0)),"")</f>
        <v>948195353.748447</v>
      </c>
      <c r="V42" s="61" t="s">
        <v>56</v>
      </c>
      <c r="W42" s="62" t="n">
        <f aca="false">IFERROR((S42*30%)/V42,0)</f>
        <v>0</v>
      </c>
      <c r="X42" s="63" t="n">
        <f aca="false">IFERROR(N42/W42,0)</f>
        <v>0</v>
      </c>
      <c r="Y42" s="68"/>
      <c r="Z42" s="57"/>
      <c r="AA42" s="69" t="str">
        <f aca="false">IF(OR(U42="",Y42="",Z42=""),"",IF(AND(U42&gt;Y42,-U42&lt;Z42),"Ok","Not Ok"))</f>
        <v/>
      </c>
      <c r="AB42" s="70"/>
    </row>
    <row r="43" customFormat="false" ht="12.8" hidden="false" customHeight="false" outlineLevel="0" collapsed="false">
      <c r="A43" s="48" t="str">
        <f aca="false">TB_audited!A26</f>
        <v>Other current asset</v>
      </c>
      <c r="B43" s="49"/>
      <c r="C43" s="50"/>
      <c r="D43" s="51" t="n">
        <f aca="false">TB_audited!B26</f>
        <v>11914</v>
      </c>
      <c r="E43" s="52" t="str">
        <f aca="false">TB_audited!C26</f>
        <v>140/0370</v>
      </c>
      <c r="F43" s="53" t="str">
        <f aca="false">TB_audited!D26</f>
        <v>SUHARTOYO</v>
      </c>
      <c r="G43" s="54" t="n">
        <f aca="false">IF($D$8="Interim",TB_audited!G26,TB_audited!E26)</f>
        <v>7100000</v>
      </c>
      <c r="H43" s="55" t="str">
        <f aca="false">IFERROR(VLOOKUP($A43,RA_result!$B$3:$N$62,11,0),"")</f>
        <v/>
      </c>
      <c r="I43" s="55" t="str">
        <f aca="false">IFERROR(VLOOKUP($A43,RA_result!$B$3:$N$62,12,0),"")</f>
        <v/>
      </c>
      <c r="J43" s="55" t="str">
        <f aca="false">IFERROR(VLOOKUP($A43,RA_result!$B$3:$N$62,13,0),"")</f>
        <v/>
      </c>
      <c r="K43" s="56"/>
      <c r="L43" s="56"/>
      <c r="M43" s="57" t="n">
        <v>7100000</v>
      </c>
      <c r="N43" s="54" t="n">
        <f aca="false">G43-M43</f>
        <v>0</v>
      </c>
      <c r="O43" s="55" t="str">
        <f aca="false">IFERROR(VLOOKUP($A43,RA_result!$B$3:$N$62,7,0),"")</f>
        <v>TM</v>
      </c>
      <c r="P43" s="52" t="str">
        <f aca="false">IFERROR(VLOOKUP($A43,RA_result!$B$3:$N$62,9,0),"")</f>
        <v>L</v>
      </c>
      <c r="Q43" s="52" t="str">
        <f aca="false">IFERROR(VLOOKUP($A43,RA_result!$B$3:$N$62,10,0),"")</f>
        <v/>
      </c>
      <c r="R43" s="58" t="s">
        <v>55</v>
      </c>
      <c r="S43" s="59" t="n">
        <f aca="false">IFERROR(VLOOKUP($A43,RA_result!$B$3:$N$62,4,0),"")</f>
        <v>1053550393.05383</v>
      </c>
      <c r="T43" s="60" t="n">
        <v>0.9</v>
      </c>
      <c r="U43" s="59" t="n">
        <f aca="false">IFERROR(IF(VLOOKUP($A43,RA_result!$B$3:$N$62,6,0)="",S43*T43,VLOOKUP($A43,RA_result!$B$3:$N$62,6,0)),"")</f>
        <v>948195353.748447</v>
      </c>
      <c r="V43" s="61" t="s">
        <v>56</v>
      </c>
      <c r="W43" s="62" t="n">
        <f aca="false">IFERROR((S43*30%)/V43,0)</f>
        <v>0</v>
      </c>
      <c r="X43" s="63" t="n">
        <f aca="false">IFERROR(N43/W43,0)</f>
        <v>0</v>
      </c>
      <c r="Y43" s="68"/>
      <c r="Z43" s="57"/>
      <c r="AA43" s="69" t="str">
        <f aca="false">IF(OR(U43="",Y43="",Z43=""),"",IF(AND(U43&gt;Y43,-U43&lt;Z43),"Ok","Not Ok"))</f>
        <v/>
      </c>
      <c r="AB43" s="70"/>
    </row>
    <row r="44" customFormat="false" ht="12.8" hidden="false" customHeight="false" outlineLevel="0" collapsed="false">
      <c r="A44" s="48" t="str">
        <f aca="false">TB_audited!A27</f>
        <v>Other current asset</v>
      </c>
      <c r="B44" s="49"/>
      <c r="C44" s="50"/>
      <c r="D44" s="51" t="n">
        <f aca="false">TB_audited!B27</f>
        <v>11915</v>
      </c>
      <c r="E44" s="52" t="str">
        <f aca="false">TB_audited!C27</f>
        <v>140/0430</v>
      </c>
      <c r="F44" s="53" t="str">
        <f aca="false">TB_audited!D27</f>
        <v>DEDI RIYADI</v>
      </c>
      <c r="G44" s="54" t="n">
        <f aca="false">IF($D$8="Interim",TB_audited!G27,TB_audited!E27)</f>
        <v>6200000</v>
      </c>
      <c r="H44" s="55" t="str">
        <f aca="false">IFERROR(VLOOKUP($A44,RA_result!$B$3:$N$62,11,0),"")</f>
        <v/>
      </c>
      <c r="I44" s="55" t="str">
        <f aca="false">IFERROR(VLOOKUP($A44,RA_result!$B$3:$N$62,12,0),"")</f>
        <v/>
      </c>
      <c r="J44" s="55" t="str">
        <f aca="false">IFERROR(VLOOKUP($A44,RA_result!$B$3:$N$62,13,0),"")</f>
        <v/>
      </c>
      <c r="K44" s="56"/>
      <c r="L44" s="56"/>
      <c r="M44" s="57" t="n">
        <v>6200000</v>
      </c>
      <c r="N44" s="54" t="n">
        <f aca="false">G44-M44</f>
        <v>0</v>
      </c>
      <c r="O44" s="55" t="str">
        <f aca="false">IFERROR(VLOOKUP($A44,RA_result!$B$3:$N$62,7,0),"")</f>
        <v>TM</v>
      </c>
      <c r="P44" s="52" t="str">
        <f aca="false">IFERROR(VLOOKUP($A44,RA_result!$B$3:$N$62,9,0),"")</f>
        <v>L</v>
      </c>
      <c r="Q44" s="52" t="str">
        <f aca="false">IFERROR(VLOOKUP($A44,RA_result!$B$3:$N$62,10,0),"")</f>
        <v/>
      </c>
      <c r="R44" s="58" t="s">
        <v>55</v>
      </c>
      <c r="S44" s="59" t="n">
        <f aca="false">IFERROR(VLOOKUP($A44,RA_result!$B$3:$N$62,4,0),"")</f>
        <v>1053550393.05383</v>
      </c>
      <c r="T44" s="60" t="n">
        <v>0.9</v>
      </c>
      <c r="U44" s="59" t="n">
        <f aca="false">IFERROR(IF(VLOOKUP($A44,RA_result!$B$3:$N$62,6,0)="",S44*T44,VLOOKUP($A44,RA_result!$B$3:$N$62,6,0)),"")</f>
        <v>948195353.748447</v>
      </c>
      <c r="V44" s="61" t="s">
        <v>56</v>
      </c>
      <c r="W44" s="62" t="n">
        <f aca="false">IFERROR((S44*30%)/V44,0)</f>
        <v>0</v>
      </c>
      <c r="X44" s="63" t="n">
        <f aca="false">IFERROR(N44/W44,0)</f>
        <v>0</v>
      </c>
      <c r="Y44" s="68"/>
      <c r="Z44" s="57"/>
      <c r="AA44" s="69" t="str">
        <f aca="false">IF(OR(U44="",Y44="",Z44=""),"",IF(AND(U44&gt;Y44,-U44&lt;Z44),"Ok","Not Ok"))</f>
        <v/>
      </c>
      <c r="AB44" s="70"/>
    </row>
    <row r="45" customFormat="false" ht="12.8" hidden="false" customHeight="false" outlineLevel="0" collapsed="false">
      <c r="A45" s="48" t="str">
        <f aca="false">TB_audited!A28</f>
        <v>Other current asset</v>
      </c>
      <c r="B45" s="49"/>
      <c r="C45" s="50"/>
      <c r="D45" s="51" t="n">
        <f aca="false">TB_audited!B28</f>
        <v>11916</v>
      </c>
      <c r="E45" s="52" t="str">
        <f aca="false">TB_audited!C28</f>
        <v>140/0503</v>
      </c>
      <c r="F45" s="53" t="str">
        <f aca="false">TB_audited!D28</f>
        <v>ALFI FADLI RUFI AZI</v>
      </c>
      <c r="G45" s="54" t="n">
        <f aca="false">IF($D$8="Interim",TB_audited!G28,TB_audited!E28)</f>
        <v>6900000</v>
      </c>
      <c r="H45" s="55" t="str">
        <f aca="false">IFERROR(VLOOKUP($A45,RA_result!$B$3:$N$62,11,0),"")</f>
        <v/>
      </c>
      <c r="I45" s="55" t="str">
        <f aca="false">IFERROR(VLOOKUP($A45,RA_result!$B$3:$N$62,12,0),"")</f>
        <v/>
      </c>
      <c r="J45" s="55" t="str">
        <f aca="false">IFERROR(VLOOKUP($A45,RA_result!$B$3:$N$62,13,0),"")</f>
        <v/>
      </c>
      <c r="K45" s="56"/>
      <c r="L45" s="56"/>
      <c r="M45" s="57" t="n">
        <v>6900000</v>
      </c>
      <c r="N45" s="54" t="n">
        <f aca="false">G45-M45</f>
        <v>0</v>
      </c>
      <c r="O45" s="55" t="str">
        <f aca="false">IFERROR(VLOOKUP($A45,RA_result!$B$3:$N$62,7,0),"")</f>
        <v>TM</v>
      </c>
      <c r="P45" s="52" t="str">
        <f aca="false">IFERROR(VLOOKUP($A45,RA_result!$B$3:$N$62,9,0),"")</f>
        <v>L</v>
      </c>
      <c r="Q45" s="52" t="str">
        <f aca="false">IFERROR(VLOOKUP($A45,RA_result!$B$3:$N$62,10,0),"")</f>
        <v/>
      </c>
      <c r="R45" s="58" t="s">
        <v>55</v>
      </c>
      <c r="S45" s="59" t="n">
        <f aca="false">IFERROR(VLOOKUP($A45,RA_result!$B$3:$N$62,4,0),"")</f>
        <v>1053550393.05383</v>
      </c>
      <c r="T45" s="60" t="n">
        <v>0.9</v>
      </c>
      <c r="U45" s="59" t="n">
        <f aca="false">IFERROR(IF(VLOOKUP($A45,RA_result!$B$3:$N$62,6,0)="",S45*T45,VLOOKUP($A45,RA_result!$B$3:$N$62,6,0)),"")</f>
        <v>948195353.748447</v>
      </c>
      <c r="V45" s="61" t="s">
        <v>56</v>
      </c>
      <c r="W45" s="62" t="n">
        <f aca="false">IFERROR((S45*30%)/V45,0)</f>
        <v>0</v>
      </c>
      <c r="X45" s="63" t="n">
        <f aca="false">IFERROR(N45/W45,0)</f>
        <v>0</v>
      </c>
      <c r="Y45" s="68"/>
      <c r="Z45" s="57"/>
      <c r="AA45" s="69" t="str">
        <f aca="false">IF(OR(U45="",Y45="",Z45=""),"",IF(AND(U45&gt;Y45,-U45&lt;Z45),"Ok","Not Ok"))</f>
        <v/>
      </c>
      <c r="AB45" s="70"/>
    </row>
    <row r="46" customFormat="false" ht="12.8" hidden="false" customHeight="false" outlineLevel="0" collapsed="false">
      <c r="A46" s="48" t="str">
        <f aca="false">TB_audited!A29</f>
        <v>Prepayment</v>
      </c>
      <c r="B46" s="49"/>
      <c r="C46" s="50"/>
      <c r="D46" s="51" t="n">
        <f aca="false">TB_audited!B29</f>
        <v>11701</v>
      </c>
      <c r="E46" s="52" t="str">
        <f aca="false">TB_audited!C29</f>
        <v>170/0010</v>
      </c>
      <c r="F46" s="53" t="str">
        <f aca="false">TB_audited!D29</f>
        <v>DEPOSITS-RENTAL OF PHOTOCOPY</v>
      </c>
      <c r="G46" s="54" t="n">
        <f aca="false">IF($D$8="Interim",TB_audited!G29,TB_audited!E29)</f>
        <v>250000</v>
      </c>
      <c r="H46" s="55" t="str">
        <f aca="false">IFERROR(VLOOKUP($A46,RA_result!$B$3:$N$62,11,0),"")</f>
        <v>Ya</v>
      </c>
      <c r="I46" s="55" t="str">
        <f aca="false">IFERROR(VLOOKUP($A46,RA_result!$B$3:$N$62,12,0),"")</f>
        <v>Ya</v>
      </c>
      <c r="J46" s="55" t="str">
        <f aca="false">IFERROR(VLOOKUP($A46,RA_result!$B$3:$N$62,13,0),"")</f>
        <v>YE</v>
      </c>
      <c r="K46" s="56" t="s">
        <v>54</v>
      </c>
      <c r="L46" s="56" t="s">
        <v>53</v>
      </c>
      <c r="M46" s="57" t="n">
        <v>250000</v>
      </c>
      <c r="N46" s="54" t="n">
        <f aca="false">G46-M46</f>
        <v>0</v>
      </c>
      <c r="O46" s="55" t="str">
        <f aca="false">IFERROR(VLOOKUP($A46,RA_result!$B$3:$N$62,7,0),"")</f>
        <v>M</v>
      </c>
      <c r="P46" s="52" t="str">
        <f aca="false">IFERROR(VLOOKUP($A46,RA_result!$B$3:$N$62,9,0),"")</f>
        <v>M</v>
      </c>
      <c r="Q46" s="52" t="str">
        <f aca="false">IFERROR(VLOOKUP($A46,RA_result!$B$3:$N$62,10,0),"")</f>
        <v/>
      </c>
      <c r="R46" s="58" t="s">
        <v>55</v>
      </c>
      <c r="S46" s="59" t="n">
        <f aca="false">IFERROR(VLOOKUP($A46,RA_result!$B$3:$N$62,4,0),"")</f>
        <v>1053550393.05383</v>
      </c>
      <c r="T46" s="60" t="n">
        <v>0.65</v>
      </c>
      <c r="U46" s="59" t="n">
        <f aca="false">IFERROR(IF(VLOOKUP($A46,RA_result!$B$3:$N$62,6,0)="",S46*T46,VLOOKUP($A46,RA_result!$B$3:$N$62,6,0)),"")</f>
        <v>684807755.48499</v>
      </c>
      <c r="V46" s="61" t="n">
        <v>1.3</v>
      </c>
      <c r="W46" s="62" t="n">
        <f aca="false">IFERROR((S46*30%)/V46,0)</f>
        <v>243127013.781653</v>
      </c>
      <c r="X46" s="63" t="n">
        <f aca="false">IFERROR(N46/W46,0)</f>
        <v>0</v>
      </c>
      <c r="Y46" s="68"/>
      <c r="Z46" s="57"/>
      <c r="AA46" s="69" t="str">
        <f aca="false">IF(OR(U46="",Y46="",Z46=""),"",IF(AND(U46&gt;Y46,-U46&lt;Z46),"Ok","Not Ok"))</f>
        <v/>
      </c>
      <c r="AB46" s="70"/>
    </row>
    <row r="47" customFormat="false" ht="12.8" hidden="false" customHeight="false" outlineLevel="0" collapsed="false">
      <c r="A47" s="48" t="str">
        <f aca="false">TB_audited!A30</f>
        <v>Prepayment</v>
      </c>
      <c r="B47" s="49"/>
      <c r="C47" s="50"/>
      <c r="D47" s="51" t="n">
        <f aca="false">TB_audited!B30</f>
        <v>11702</v>
      </c>
      <c r="E47" s="52" t="str">
        <f aca="false">TB_audited!C30</f>
        <v>170/0090</v>
      </c>
      <c r="F47" s="53" t="str">
        <f aca="false">TB_audited!D30</f>
        <v>PREPAYMENT-INSURANCE</v>
      </c>
      <c r="G47" s="54" t="n">
        <f aca="false">IF($D$8="Interim",TB_audited!G30,TB_audited!E30)</f>
        <v>7681826</v>
      </c>
      <c r="H47" s="55" t="str">
        <f aca="false">IFERROR(VLOOKUP($A47,RA_result!$B$3:$N$62,11,0),"")</f>
        <v>Ya</v>
      </c>
      <c r="I47" s="55" t="str">
        <f aca="false">IFERROR(VLOOKUP($A47,RA_result!$B$3:$N$62,12,0),"")</f>
        <v>Ya</v>
      </c>
      <c r="J47" s="55" t="str">
        <f aca="false">IFERROR(VLOOKUP($A47,RA_result!$B$3:$N$62,13,0),"")</f>
        <v>YE</v>
      </c>
      <c r="K47" s="56" t="s">
        <v>54</v>
      </c>
      <c r="L47" s="56" t="s">
        <v>53</v>
      </c>
      <c r="M47" s="57" t="n">
        <v>7681826</v>
      </c>
      <c r="N47" s="54" t="n">
        <f aca="false">G47-M47</f>
        <v>0</v>
      </c>
      <c r="O47" s="55" t="str">
        <f aca="false">IFERROR(VLOOKUP($A47,RA_result!$B$3:$N$62,7,0),"")</f>
        <v>M</v>
      </c>
      <c r="P47" s="52" t="str">
        <f aca="false">IFERROR(VLOOKUP($A47,RA_result!$B$3:$N$62,9,0),"")</f>
        <v>M</v>
      </c>
      <c r="Q47" s="52" t="str">
        <f aca="false">IFERROR(VLOOKUP($A47,RA_result!$B$3:$N$62,10,0),"")</f>
        <v/>
      </c>
      <c r="R47" s="58" t="s">
        <v>55</v>
      </c>
      <c r="S47" s="59" t="n">
        <f aca="false">IFERROR(VLOOKUP($A47,RA_result!$B$3:$N$62,4,0),"")</f>
        <v>1053550393.05383</v>
      </c>
      <c r="T47" s="60" t="n">
        <v>0.65</v>
      </c>
      <c r="U47" s="59" t="n">
        <f aca="false">IFERROR(IF(VLOOKUP($A47,RA_result!$B$3:$N$62,6,0)="",S47*T47,VLOOKUP($A47,RA_result!$B$3:$N$62,6,0)),"")</f>
        <v>684807755.48499</v>
      </c>
      <c r="V47" s="61" t="n">
        <v>1.3</v>
      </c>
      <c r="W47" s="62" t="n">
        <f aca="false">IFERROR((S47*30%)/V47,0)</f>
        <v>243127013.781653</v>
      </c>
      <c r="X47" s="63" t="n">
        <f aca="false">IFERROR(N47/W47,0)</f>
        <v>0</v>
      </c>
      <c r="Y47" s="68"/>
      <c r="Z47" s="57"/>
      <c r="AA47" s="69" t="str">
        <f aca="false">IF(OR(U47="",Y47="",Z47=""),"",IF(AND(U47&gt;Y47,-U47&lt;Z47),"Ok","Not Ok"))</f>
        <v/>
      </c>
      <c r="AB47" s="70"/>
    </row>
    <row r="48" customFormat="false" ht="12.8" hidden="false" customHeight="false" outlineLevel="0" collapsed="false">
      <c r="A48" s="48" t="str">
        <f aca="false">TB_audited!A31</f>
        <v>Prepayment</v>
      </c>
      <c r="B48" s="49"/>
      <c r="C48" s="50"/>
      <c r="D48" s="51" t="n">
        <f aca="false">TB_audited!B31</f>
        <v>11703</v>
      </c>
      <c r="E48" s="52" t="str">
        <f aca="false">TB_audited!C31</f>
        <v>170/0200</v>
      </c>
      <c r="F48" s="53" t="str">
        <f aca="false">TB_audited!D31</f>
        <v>DOWN PAYMENT PROJECT CBU</v>
      </c>
      <c r="G48" s="54" t="n">
        <f aca="false">IF($D$8="Interim",TB_audited!G31,TB_audited!E31)</f>
        <v>5312723044</v>
      </c>
      <c r="H48" s="55" t="str">
        <f aca="false">IFERROR(VLOOKUP($A48,RA_result!$B$3:$N$62,11,0),"")</f>
        <v>Ya</v>
      </c>
      <c r="I48" s="55" t="str">
        <f aca="false">IFERROR(VLOOKUP($A48,RA_result!$B$3:$N$62,12,0),"")</f>
        <v>Ya</v>
      </c>
      <c r="J48" s="55" t="str">
        <f aca="false">IFERROR(VLOOKUP($A48,RA_result!$B$3:$N$62,13,0),"")</f>
        <v>YE</v>
      </c>
      <c r="K48" s="56" t="s">
        <v>54</v>
      </c>
      <c r="L48" s="56" t="s">
        <v>53</v>
      </c>
      <c r="M48" s="57" t="n">
        <v>5312723044</v>
      </c>
      <c r="N48" s="54" t="n">
        <f aca="false">G48-M48</f>
        <v>0</v>
      </c>
      <c r="O48" s="55" t="str">
        <f aca="false">IFERROR(VLOOKUP($A48,RA_result!$B$3:$N$62,7,0),"")</f>
        <v>M</v>
      </c>
      <c r="P48" s="52" t="str">
        <f aca="false">IFERROR(VLOOKUP($A48,RA_result!$B$3:$N$62,9,0),"")</f>
        <v>M</v>
      </c>
      <c r="Q48" s="52" t="str">
        <f aca="false">IFERROR(VLOOKUP($A48,RA_result!$B$3:$N$62,10,0),"")</f>
        <v/>
      </c>
      <c r="R48" s="58" t="s">
        <v>55</v>
      </c>
      <c r="S48" s="59" t="n">
        <f aca="false">IFERROR(VLOOKUP($A48,RA_result!$B$3:$N$62,4,0),"")</f>
        <v>1053550393.05383</v>
      </c>
      <c r="T48" s="60" t="n">
        <v>0.65</v>
      </c>
      <c r="U48" s="59" t="n">
        <f aca="false">IFERROR(IF(VLOOKUP($A48,RA_result!$B$3:$N$62,6,0)="",S48*T48,VLOOKUP($A48,RA_result!$B$3:$N$62,6,0)),"")</f>
        <v>684807755.48499</v>
      </c>
      <c r="V48" s="61" t="n">
        <v>1.3</v>
      </c>
      <c r="W48" s="62" t="n">
        <f aca="false">IFERROR((S48*30%)/V48,0)</f>
        <v>243127013.781653</v>
      </c>
      <c r="X48" s="63" t="n">
        <f aca="false">IFERROR(N48/W48,0)</f>
        <v>0</v>
      </c>
      <c r="Y48" s="68"/>
      <c r="Z48" s="57"/>
      <c r="AA48" s="69" t="str">
        <f aca="false">IF(OR(U48="",Y48="",Z48=""),"",IF(AND(U48&gt;Y48,-U48&lt;Z48),"Ok","Not Ok"))</f>
        <v/>
      </c>
      <c r="AB48" s="70"/>
    </row>
    <row r="49" customFormat="false" ht="12.8" hidden="false" customHeight="false" outlineLevel="0" collapsed="false">
      <c r="A49" s="48" t="str">
        <f aca="false">TB_audited!A32</f>
        <v>Prepayment</v>
      </c>
      <c r="B49" s="49"/>
      <c r="C49" s="50"/>
      <c r="D49" s="51" t="n">
        <f aca="false">TB_audited!B32</f>
        <v>11704</v>
      </c>
      <c r="E49" s="52" t="str">
        <f aca="false">TB_audited!C32</f>
        <v>170/0700</v>
      </c>
      <c r="F49" s="53" t="str">
        <f aca="false">TB_audited!D32</f>
        <v>DOWN PAYMENT PROJECT GHOM/MOM</v>
      </c>
      <c r="G49" s="54" t="n">
        <f aca="false">IF($D$8="Interim",TB_audited!G32,TB_audited!E32)</f>
        <v>0</v>
      </c>
      <c r="H49" s="55" t="str">
        <f aca="false">IFERROR(VLOOKUP($A49,RA_result!$B$3:$N$62,11,0),"")</f>
        <v>Ya</v>
      </c>
      <c r="I49" s="55" t="str">
        <f aca="false">IFERROR(VLOOKUP($A49,RA_result!$B$3:$N$62,12,0),"")</f>
        <v>Ya</v>
      </c>
      <c r="J49" s="55" t="str">
        <f aca="false">IFERROR(VLOOKUP($A49,RA_result!$B$3:$N$62,13,0),"")</f>
        <v>YE</v>
      </c>
      <c r="K49" s="56" t="s">
        <v>54</v>
      </c>
      <c r="L49" s="56" t="s">
        <v>53</v>
      </c>
      <c r="M49" s="57" t="n">
        <v>0</v>
      </c>
      <c r="N49" s="54" t="n">
        <f aca="false">G49-M49</f>
        <v>0</v>
      </c>
      <c r="O49" s="55" t="str">
        <f aca="false">IFERROR(VLOOKUP($A49,RA_result!$B$3:$N$62,7,0),"")</f>
        <v>M</v>
      </c>
      <c r="P49" s="52" t="str">
        <f aca="false">IFERROR(VLOOKUP($A49,RA_result!$B$3:$N$62,9,0),"")</f>
        <v>M</v>
      </c>
      <c r="Q49" s="52" t="str">
        <f aca="false">IFERROR(VLOOKUP($A49,RA_result!$B$3:$N$62,10,0),"")</f>
        <v/>
      </c>
      <c r="R49" s="58" t="s">
        <v>55</v>
      </c>
      <c r="S49" s="59" t="n">
        <f aca="false">IFERROR(VLOOKUP($A49,RA_result!$B$3:$N$62,4,0),"")</f>
        <v>1053550393.05383</v>
      </c>
      <c r="T49" s="60" t="n">
        <v>0.65</v>
      </c>
      <c r="U49" s="59" t="n">
        <f aca="false">IFERROR(IF(VLOOKUP($A49,RA_result!$B$3:$N$62,6,0)="",S49*T49,VLOOKUP($A49,RA_result!$B$3:$N$62,6,0)),"")</f>
        <v>684807755.48499</v>
      </c>
      <c r="V49" s="61" t="n">
        <v>1.3</v>
      </c>
      <c r="W49" s="62" t="n">
        <f aca="false">IFERROR((S49*30%)/V49,0)</f>
        <v>243127013.781653</v>
      </c>
      <c r="X49" s="63" t="n">
        <f aca="false">IFERROR(N49/W49,0)</f>
        <v>0</v>
      </c>
      <c r="Y49" s="68"/>
      <c r="Z49" s="57"/>
      <c r="AA49" s="69" t="str">
        <f aca="false">IF(OR(U49="",Y49="",Z49=""),"",IF(AND(U49&gt;Y49,-U49&lt;Z49),"Ok","Not Ok"))</f>
        <v/>
      </c>
      <c r="AB49" s="70"/>
    </row>
    <row r="50" customFormat="false" ht="12.8" hidden="false" customHeight="false" outlineLevel="0" collapsed="false">
      <c r="A50" s="48" t="str">
        <f aca="false">TB_audited!A33</f>
        <v>Prepayment</v>
      </c>
      <c r="B50" s="49"/>
      <c r="C50" s="50"/>
      <c r="D50" s="51" t="n">
        <f aca="false">TB_audited!B33</f>
        <v>11705</v>
      </c>
      <c r="E50" s="52" t="str">
        <f aca="false">TB_audited!C33</f>
        <v>170/0201</v>
      </c>
      <c r="F50" s="53" t="str">
        <f aca="false">TB_audited!D33</f>
        <v>Provision impairmanet cash advance</v>
      </c>
      <c r="G50" s="54" t="n">
        <f aca="false">IF($D$8="Interim",TB_audited!G33,TB_audited!E33)</f>
        <v>-3187633826</v>
      </c>
      <c r="H50" s="55" t="str">
        <f aca="false">IFERROR(VLOOKUP($A50,RA_result!$B$3:$N$62,11,0),"")</f>
        <v>Ya</v>
      </c>
      <c r="I50" s="55" t="str">
        <f aca="false">IFERROR(VLOOKUP($A50,RA_result!$B$3:$N$62,12,0),"")</f>
        <v>Ya</v>
      </c>
      <c r="J50" s="55" t="str">
        <f aca="false">IFERROR(VLOOKUP($A50,RA_result!$B$3:$N$62,13,0),"")</f>
        <v>YE</v>
      </c>
      <c r="K50" s="56"/>
      <c r="L50" s="56"/>
      <c r="M50" s="57" t="n">
        <v>-3187633826</v>
      </c>
      <c r="N50" s="54" t="n">
        <f aca="false">G50-M50</f>
        <v>0</v>
      </c>
      <c r="O50" s="55" t="str">
        <f aca="false">IFERROR(VLOOKUP($A50,RA_result!$B$3:$N$62,7,0),"")</f>
        <v>M</v>
      </c>
      <c r="P50" s="52" t="str">
        <f aca="false">IFERROR(VLOOKUP($A50,RA_result!$B$3:$N$62,9,0),"")</f>
        <v>M</v>
      </c>
      <c r="Q50" s="52" t="str">
        <f aca="false">IFERROR(VLOOKUP($A50,RA_result!$B$3:$N$62,10,0),"")</f>
        <v/>
      </c>
      <c r="R50" s="58" t="s">
        <v>55</v>
      </c>
      <c r="S50" s="59" t="n">
        <f aca="false">IFERROR(VLOOKUP($A50,RA_result!$B$3:$N$62,4,0),"")</f>
        <v>1053550393.05383</v>
      </c>
      <c r="T50" s="60" t="n">
        <v>0.65</v>
      </c>
      <c r="U50" s="59" t="n">
        <f aca="false">IFERROR(IF(VLOOKUP($A50,RA_result!$B$3:$N$62,6,0)="",S50*T50,VLOOKUP($A50,RA_result!$B$3:$N$62,6,0)),"")</f>
        <v>684807755.48499</v>
      </c>
      <c r="V50" s="61" t="n">
        <v>1.3</v>
      </c>
      <c r="W50" s="62" t="n">
        <f aca="false">IFERROR((S50*30%)/V50,0)</f>
        <v>243127013.781653</v>
      </c>
      <c r="X50" s="63" t="n">
        <f aca="false">IFERROR(N50/W50,0)</f>
        <v>0</v>
      </c>
      <c r="Y50" s="68"/>
      <c r="Z50" s="57"/>
      <c r="AA50" s="69" t="str">
        <f aca="false">IF(OR(U50="",Y50="",Z50=""),"",IF(AND(U50&gt;Y50,-U50&lt;Z50),"Ok","Not Ok"))</f>
        <v/>
      </c>
      <c r="AB50" s="70"/>
    </row>
    <row r="51" customFormat="false" ht="12.8" hidden="false" customHeight="false" outlineLevel="0" collapsed="false">
      <c r="A51" s="48" t="str">
        <f aca="false">TB_audited!A34</f>
        <v>Prepaid tax</v>
      </c>
      <c r="B51" s="49"/>
      <c r="C51" s="50"/>
      <c r="D51" s="51" t="n">
        <f aca="false">TB_audited!B34</f>
        <v>11801</v>
      </c>
      <c r="E51" s="52" t="str">
        <f aca="false">TB_audited!C34</f>
        <v>180/0050</v>
      </c>
      <c r="F51" s="53" t="str">
        <f aca="false">TB_audited!D34</f>
        <v>PPH PASAL 21 ( PCB )</v>
      </c>
      <c r="G51" s="54" t="n">
        <f aca="false">IF($D$8="Interim",TB_audited!G34,TB_audited!E34)</f>
        <v>32847583</v>
      </c>
      <c r="H51" s="55" t="str">
        <f aca="false">IFERROR(VLOOKUP($A51,RA_result!$B$3:$N$62,11,0),"")</f>
        <v/>
      </c>
      <c r="I51" s="55" t="str">
        <f aca="false">IFERROR(VLOOKUP($A51,RA_result!$B$3:$N$62,12,0),"")</f>
        <v>Ya</v>
      </c>
      <c r="J51" s="55" t="str">
        <f aca="false">IFERROR(VLOOKUP($A51,RA_result!$B$3:$N$62,13,0),"")</f>
        <v>YE</v>
      </c>
      <c r="K51" s="56" t="s">
        <v>54</v>
      </c>
      <c r="L51" s="56" t="s">
        <v>53</v>
      </c>
      <c r="M51" s="57" t="n">
        <v>32847583</v>
      </c>
      <c r="N51" s="54" t="n">
        <f aca="false">G51-M51</f>
        <v>0</v>
      </c>
      <c r="O51" s="55" t="str">
        <f aca="false">IFERROR(VLOOKUP($A51,RA_result!$B$3:$N$62,7,0),"")</f>
        <v>M</v>
      </c>
      <c r="P51" s="52" t="str">
        <f aca="false">IFERROR(VLOOKUP($A51,RA_result!$B$3:$N$62,9,0),"")</f>
        <v>L</v>
      </c>
      <c r="Q51" s="52" t="str">
        <f aca="false">IFERROR(VLOOKUP($A51,RA_result!$B$3:$N$62,10,0),"")</f>
        <v/>
      </c>
      <c r="R51" s="58" t="s">
        <v>55</v>
      </c>
      <c r="S51" s="59" t="n">
        <f aca="false">IFERROR(VLOOKUP($A51,RA_result!$B$3:$N$62,4,0),"")</f>
        <v>1053550393.05383</v>
      </c>
      <c r="T51" s="60" t="n">
        <v>0.9</v>
      </c>
      <c r="U51" s="59" t="n">
        <f aca="false">IFERROR(IF(VLOOKUP($A51,RA_result!$B$3:$N$62,6,0)="",S51*T51,VLOOKUP($A51,RA_result!$B$3:$N$62,6,0)),"")</f>
        <v>294994110.055072</v>
      </c>
      <c r="V51" s="61" t="n">
        <v>1.3</v>
      </c>
      <c r="W51" s="62" t="n">
        <f aca="false">IFERROR((S51*30%)/V51,0)</f>
        <v>243127013.781653</v>
      </c>
      <c r="X51" s="63" t="n">
        <f aca="false">IFERROR(N51/W51,0)</f>
        <v>0</v>
      </c>
      <c r="Y51" s="68"/>
      <c r="Z51" s="57"/>
      <c r="AA51" s="69" t="str">
        <f aca="false">IF(OR(U51="",Y51="",Z51=""),"",IF(AND(U51&gt;Y51,-U51&lt;Z51),"Ok","Not Ok"))</f>
        <v/>
      </c>
      <c r="AB51" s="70"/>
    </row>
    <row r="52" customFormat="false" ht="12.8" hidden="false" customHeight="false" outlineLevel="0" collapsed="false">
      <c r="A52" s="48" t="str">
        <f aca="false">TB_audited!A35</f>
        <v>Prepaid tax</v>
      </c>
      <c r="B52" s="49"/>
      <c r="C52" s="50"/>
      <c r="D52" s="51" t="n">
        <f aca="false">TB_audited!B35</f>
        <v>11802</v>
      </c>
      <c r="E52" s="52" t="str">
        <f aca="false">TB_audited!C35</f>
        <v>180/0074</v>
      </c>
      <c r="F52" s="53" t="str">
        <f aca="false">TB_audited!D35</f>
        <v>PPH PASAL 28A (2024)</v>
      </c>
      <c r="G52" s="54" t="n">
        <f aca="false">IF($D$8="Interim",TB_audited!G35,TB_audited!E35)</f>
        <v>466204786</v>
      </c>
      <c r="H52" s="55" t="str">
        <f aca="false">IFERROR(VLOOKUP($A52,RA_result!$B$3:$N$62,11,0),"")</f>
        <v/>
      </c>
      <c r="I52" s="55" t="str">
        <f aca="false">IFERROR(VLOOKUP($A52,RA_result!$B$3:$N$62,12,0),"")</f>
        <v>Ya</v>
      </c>
      <c r="J52" s="55" t="str">
        <f aca="false">IFERROR(VLOOKUP($A52,RA_result!$B$3:$N$62,13,0),"")</f>
        <v>YE</v>
      </c>
      <c r="K52" s="56" t="s">
        <v>54</v>
      </c>
      <c r="L52" s="56" t="s">
        <v>53</v>
      </c>
      <c r="M52" s="57" t="n">
        <v>484076706</v>
      </c>
      <c r="N52" s="54" t="n">
        <f aca="false">G52-M52</f>
        <v>-17871920</v>
      </c>
      <c r="O52" s="55" t="str">
        <f aca="false">IFERROR(VLOOKUP($A52,RA_result!$B$3:$N$62,7,0),"")</f>
        <v>M</v>
      </c>
      <c r="P52" s="52" t="str">
        <f aca="false">IFERROR(VLOOKUP($A52,RA_result!$B$3:$N$62,9,0),"")</f>
        <v>L</v>
      </c>
      <c r="Q52" s="52" t="str">
        <f aca="false">IFERROR(VLOOKUP($A52,RA_result!$B$3:$N$62,10,0),"")</f>
        <v/>
      </c>
      <c r="R52" s="58" t="s">
        <v>55</v>
      </c>
      <c r="S52" s="59" t="n">
        <f aca="false">IFERROR(VLOOKUP($A52,RA_result!$B$3:$N$62,4,0),"")</f>
        <v>1053550393.05383</v>
      </c>
      <c r="T52" s="60" t="n">
        <v>0.9</v>
      </c>
      <c r="U52" s="59" t="n">
        <f aca="false">IFERROR(IF(VLOOKUP($A52,RA_result!$B$3:$N$62,6,0)="",S52*T52,VLOOKUP($A52,RA_result!$B$3:$N$62,6,0)),"")</f>
        <v>294994110.055072</v>
      </c>
      <c r="V52" s="61" t="n">
        <v>1.3</v>
      </c>
      <c r="W52" s="62" t="n">
        <f aca="false">IFERROR((S52*30%)/V52,0)</f>
        <v>243127013.781653</v>
      </c>
      <c r="X52" s="63" t="n">
        <f aca="false">IFERROR(N52/W52,0)</f>
        <v>-0.0735085736546346</v>
      </c>
      <c r="Y52" s="68"/>
      <c r="Z52" s="57"/>
      <c r="AA52" s="69" t="str">
        <f aca="false">IF(OR(U52="",Y52="",Z52=""),"",IF(AND(U52&gt;Y52,-U52&lt;Z52),"Ok","Not Ok"))</f>
        <v/>
      </c>
      <c r="AB52" s="70"/>
    </row>
    <row r="53" customFormat="false" ht="12.8" hidden="false" customHeight="false" outlineLevel="0" collapsed="false">
      <c r="A53" s="48" t="str">
        <f aca="false">TB_audited!A36</f>
        <v>Fixed asset</v>
      </c>
      <c r="B53" s="49"/>
      <c r="C53" s="50"/>
      <c r="D53" s="51" t="n">
        <f aca="false">TB_audited!B36</f>
        <v>12501</v>
      </c>
      <c r="E53" s="52" t="str">
        <f aca="false">TB_audited!C36</f>
        <v>200/0100</v>
      </c>
      <c r="F53" s="53" t="str">
        <f aca="false">TB_audited!D36</f>
        <v>FREEHOLD LAND</v>
      </c>
      <c r="G53" s="54" t="n">
        <f aca="false">IF($D$8="Interim",TB_audited!G36,TB_audited!E36)</f>
        <v>2351082000</v>
      </c>
      <c r="H53" s="55" t="str">
        <f aca="false">IFERROR(VLOOKUP($A53,RA_result!$B$3:$N$62,11,0),"")</f>
        <v>Ya</v>
      </c>
      <c r="I53" s="55" t="str">
        <f aca="false">IFERROR(VLOOKUP($A53,RA_result!$B$3:$N$62,12,0),"")</f>
        <v>Ya</v>
      </c>
      <c r="J53" s="55" t="str">
        <f aca="false">IFERROR(VLOOKUP($A53,RA_result!$B$3:$N$62,13,0),"")</f>
        <v>YE</v>
      </c>
      <c r="K53" s="56" t="s">
        <v>54</v>
      </c>
      <c r="L53" s="56" t="s">
        <v>53</v>
      </c>
      <c r="M53" s="57" t="n">
        <v>2351082000</v>
      </c>
      <c r="N53" s="54" t="n">
        <f aca="false">G53-M53</f>
        <v>0</v>
      </c>
      <c r="O53" s="55" t="str">
        <f aca="false">IFERROR(VLOOKUP($A53,RA_result!$B$3:$N$62,7,0),"")</f>
        <v>M</v>
      </c>
      <c r="P53" s="52" t="str">
        <f aca="false">IFERROR(VLOOKUP($A53,RA_result!$B$3:$N$62,9,0),"")</f>
        <v>L</v>
      </c>
      <c r="Q53" s="52" t="str">
        <f aca="false">IFERROR(VLOOKUP($A53,RA_result!$B$3:$N$62,10,0),"")</f>
        <v/>
      </c>
      <c r="R53" s="58" t="s">
        <v>55</v>
      </c>
      <c r="S53" s="59" t="n">
        <f aca="false">IFERROR(VLOOKUP($A53,RA_result!$B$3:$N$62,4,0),"")</f>
        <v>1053550393.05383</v>
      </c>
      <c r="T53" s="60" t="n">
        <v>0.9</v>
      </c>
      <c r="U53" s="59" t="n">
        <f aca="false">IFERROR(IF(VLOOKUP($A53,RA_result!$B$3:$N$62,6,0)="",S53*T53,VLOOKUP($A53,RA_result!$B$3:$N$62,6,0)),"")</f>
        <v>948195353.748447</v>
      </c>
      <c r="V53" s="61" t="n">
        <v>1.3</v>
      </c>
      <c r="W53" s="62" t="n">
        <f aca="false">IFERROR((S53*30%)/V53,0)</f>
        <v>243127013.781653</v>
      </c>
      <c r="X53" s="63" t="n">
        <f aca="false">IFERROR(N53/W53,0)</f>
        <v>0</v>
      </c>
      <c r="Y53" s="68"/>
      <c r="Z53" s="57"/>
      <c r="AA53" s="69" t="str">
        <f aca="false">IF(OR(U53="",Y53="",Z53=""),"",IF(AND(U53&gt;Y53,-U53&lt;Z53),"Ok","Not Ok"))</f>
        <v/>
      </c>
      <c r="AB53" s="70"/>
    </row>
    <row r="54" customFormat="false" ht="12.8" hidden="false" customHeight="false" outlineLevel="0" collapsed="false">
      <c r="A54" s="48" t="str">
        <f aca="false">TB_audited!A37</f>
        <v>Fixed asset</v>
      </c>
      <c r="B54" s="49"/>
      <c r="C54" s="50"/>
      <c r="D54" s="51" t="n">
        <f aca="false">TB_audited!B37</f>
        <v>12502</v>
      </c>
      <c r="E54" s="52" t="str">
        <f aca="false">TB_audited!C37</f>
        <v>200/0300</v>
      </c>
      <c r="F54" s="53" t="str">
        <f aca="false">TB_audited!D37</f>
        <v>WAREHOUSE</v>
      </c>
      <c r="G54" s="54" t="n">
        <f aca="false">IF($D$8="Interim",TB_audited!G37,TB_audited!E37)</f>
        <v>9427534194</v>
      </c>
      <c r="H54" s="55" t="str">
        <f aca="false">IFERROR(VLOOKUP($A54,RA_result!$B$3:$N$62,11,0),"")</f>
        <v>Ya</v>
      </c>
      <c r="I54" s="55" t="str">
        <f aca="false">IFERROR(VLOOKUP($A54,RA_result!$B$3:$N$62,12,0),"")</f>
        <v>Ya</v>
      </c>
      <c r="J54" s="55" t="str">
        <f aca="false">IFERROR(VLOOKUP($A54,RA_result!$B$3:$N$62,13,0),"")</f>
        <v>YE</v>
      </c>
      <c r="K54" s="56" t="s">
        <v>54</v>
      </c>
      <c r="L54" s="56" t="s">
        <v>53</v>
      </c>
      <c r="M54" s="57" t="n">
        <v>9427534194</v>
      </c>
      <c r="N54" s="54" t="n">
        <f aca="false">G54-M54</f>
        <v>0</v>
      </c>
      <c r="O54" s="55" t="str">
        <f aca="false">IFERROR(VLOOKUP($A54,RA_result!$B$3:$N$62,7,0),"")</f>
        <v>M</v>
      </c>
      <c r="P54" s="52" t="str">
        <f aca="false">IFERROR(VLOOKUP($A54,RA_result!$B$3:$N$62,9,0),"")</f>
        <v>L</v>
      </c>
      <c r="Q54" s="52" t="str">
        <f aca="false">IFERROR(VLOOKUP($A54,RA_result!$B$3:$N$62,10,0),"")</f>
        <v/>
      </c>
      <c r="R54" s="58" t="s">
        <v>55</v>
      </c>
      <c r="S54" s="59" t="n">
        <f aca="false">IFERROR(VLOOKUP($A54,RA_result!$B$3:$N$62,4,0),"")</f>
        <v>1053550393.05383</v>
      </c>
      <c r="T54" s="60" t="n">
        <v>0.9</v>
      </c>
      <c r="U54" s="59" t="n">
        <f aca="false">IFERROR(IF(VLOOKUP($A54,RA_result!$B$3:$N$62,6,0)="",S54*T54,VLOOKUP($A54,RA_result!$B$3:$N$62,6,0)),"")</f>
        <v>948195353.748447</v>
      </c>
      <c r="V54" s="61" t="n">
        <v>1.3</v>
      </c>
      <c r="W54" s="62" t="n">
        <f aca="false">IFERROR((S54*30%)/V54,0)</f>
        <v>243127013.781653</v>
      </c>
      <c r="X54" s="63" t="n">
        <f aca="false">IFERROR(N54/W54,0)</f>
        <v>0</v>
      </c>
      <c r="Y54" s="68"/>
      <c r="Z54" s="57"/>
      <c r="AA54" s="69" t="str">
        <f aca="false">IF(OR(U54="",Y54="",Z54=""),"",IF(AND(U54&gt;Y54,-U54&lt;Z54),"Ok","Not Ok"))</f>
        <v/>
      </c>
      <c r="AB54" s="70"/>
    </row>
    <row r="55" customFormat="false" ht="12.8" hidden="false" customHeight="false" outlineLevel="0" collapsed="false">
      <c r="A55" s="48" t="str">
        <f aca="false">TB_audited!A38</f>
        <v>Fixed asset</v>
      </c>
      <c r="B55" s="49"/>
      <c r="C55" s="50"/>
      <c r="D55" s="51" t="n">
        <f aca="false">TB_audited!B38</f>
        <v>12503</v>
      </c>
      <c r="E55" s="52" t="str">
        <f aca="false">TB_audited!C38</f>
        <v>200/0305</v>
      </c>
      <c r="F55" s="53" t="str">
        <f aca="false">TB_audited!D38</f>
        <v>ACCUM. DEPRN. WAREHOUSE</v>
      </c>
      <c r="G55" s="54" t="n">
        <f aca="false">IF($D$8="Interim",TB_audited!G38,TB_audited!E38)</f>
        <v>-4050622029</v>
      </c>
      <c r="H55" s="55" t="str">
        <f aca="false">IFERROR(VLOOKUP($A55,RA_result!$B$3:$N$62,11,0),"")</f>
        <v>Ya</v>
      </c>
      <c r="I55" s="55" t="str">
        <f aca="false">IFERROR(VLOOKUP($A55,RA_result!$B$3:$N$62,12,0),"")</f>
        <v>Ya</v>
      </c>
      <c r="J55" s="55" t="str">
        <f aca="false">IFERROR(VLOOKUP($A55,RA_result!$B$3:$N$62,13,0),"")</f>
        <v>YE</v>
      </c>
      <c r="K55" s="56"/>
      <c r="L55" s="56"/>
      <c r="M55" s="57" t="n">
        <v>-4050622029</v>
      </c>
      <c r="N55" s="54" t="n">
        <f aca="false">G55-M55</f>
        <v>0</v>
      </c>
      <c r="O55" s="55" t="str">
        <f aca="false">IFERROR(VLOOKUP($A55,RA_result!$B$3:$N$62,7,0),"")</f>
        <v>M</v>
      </c>
      <c r="P55" s="52" t="str">
        <f aca="false">IFERROR(VLOOKUP($A55,RA_result!$B$3:$N$62,9,0),"")</f>
        <v>L</v>
      </c>
      <c r="Q55" s="52" t="str">
        <f aca="false">IFERROR(VLOOKUP($A55,RA_result!$B$3:$N$62,10,0),"")</f>
        <v/>
      </c>
      <c r="R55" s="58" t="s">
        <v>55</v>
      </c>
      <c r="S55" s="59" t="n">
        <f aca="false">IFERROR(VLOOKUP($A55,RA_result!$B$3:$N$62,4,0),"")</f>
        <v>1053550393.05383</v>
      </c>
      <c r="T55" s="60" t="n">
        <v>0.9</v>
      </c>
      <c r="U55" s="59" t="n">
        <f aca="false">IFERROR(IF(VLOOKUP($A55,RA_result!$B$3:$N$62,6,0)="",S55*T55,VLOOKUP($A55,RA_result!$B$3:$N$62,6,0)),"")</f>
        <v>948195353.748447</v>
      </c>
      <c r="V55" s="61" t="n">
        <v>1.3</v>
      </c>
      <c r="W55" s="62" t="n">
        <f aca="false">IFERROR((S55*30%)/V55,0)</f>
        <v>243127013.781653</v>
      </c>
      <c r="X55" s="63" t="n">
        <f aca="false">IFERROR(N55/W55,0)</f>
        <v>0</v>
      </c>
      <c r="Y55" s="68"/>
      <c r="Z55" s="57"/>
      <c r="AA55" s="69" t="str">
        <f aca="false">IF(OR(U55="",Y55="",Z55=""),"",IF(AND(U55&gt;Y55,-U55&lt;Z55),"Ok","Not Ok"))</f>
        <v/>
      </c>
      <c r="AB55" s="70"/>
    </row>
    <row r="56" customFormat="false" ht="12.8" hidden="false" customHeight="false" outlineLevel="0" collapsed="false">
      <c r="A56" s="48" t="str">
        <f aca="false">TB_audited!A39</f>
        <v>Fixed asset</v>
      </c>
      <c r="B56" s="49"/>
      <c r="C56" s="50"/>
      <c r="D56" s="51" t="n">
        <f aca="false">TB_audited!B39</f>
        <v>12504</v>
      </c>
      <c r="E56" s="52" t="str">
        <f aca="false">TB_audited!C39</f>
        <v>200/0500</v>
      </c>
      <c r="F56" s="53" t="str">
        <f aca="false">TB_audited!D39</f>
        <v>OFFICE EQUIPMENT</v>
      </c>
      <c r="G56" s="54" t="n">
        <f aca="false">IF($D$8="Interim",TB_audited!G39,TB_audited!E39)</f>
        <v>707586797</v>
      </c>
      <c r="H56" s="55" t="str">
        <f aca="false">IFERROR(VLOOKUP($A56,RA_result!$B$3:$N$62,11,0),"")</f>
        <v>Ya</v>
      </c>
      <c r="I56" s="55" t="str">
        <f aca="false">IFERROR(VLOOKUP($A56,RA_result!$B$3:$N$62,12,0),"")</f>
        <v>Ya</v>
      </c>
      <c r="J56" s="55" t="str">
        <f aca="false">IFERROR(VLOOKUP($A56,RA_result!$B$3:$N$62,13,0),"")</f>
        <v>YE</v>
      </c>
      <c r="K56" s="56" t="s">
        <v>54</v>
      </c>
      <c r="L56" s="56" t="s">
        <v>53</v>
      </c>
      <c r="M56" s="57" t="n">
        <v>707586797</v>
      </c>
      <c r="N56" s="54" t="n">
        <f aca="false">G56-M56</f>
        <v>0</v>
      </c>
      <c r="O56" s="55" t="str">
        <f aca="false">IFERROR(VLOOKUP($A56,RA_result!$B$3:$N$62,7,0),"")</f>
        <v>M</v>
      </c>
      <c r="P56" s="52" t="str">
        <f aca="false">IFERROR(VLOOKUP($A56,RA_result!$B$3:$N$62,9,0),"")</f>
        <v>L</v>
      </c>
      <c r="Q56" s="52" t="str">
        <f aca="false">IFERROR(VLOOKUP($A56,RA_result!$B$3:$N$62,10,0),"")</f>
        <v/>
      </c>
      <c r="R56" s="58" t="s">
        <v>55</v>
      </c>
      <c r="S56" s="59" t="n">
        <f aca="false">IFERROR(VLOOKUP($A56,RA_result!$B$3:$N$62,4,0),"")</f>
        <v>1053550393.05383</v>
      </c>
      <c r="T56" s="60" t="n">
        <v>0.9</v>
      </c>
      <c r="U56" s="59" t="n">
        <f aca="false">IFERROR(IF(VLOOKUP($A56,RA_result!$B$3:$N$62,6,0)="",S56*T56,VLOOKUP($A56,RA_result!$B$3:$N$62,6,0)),"")</f>
        <v>948195353.748447</v>
      </c>
      <c r="V56" s="61" t="n">
        <v>1.3</v>
      </c>
      <c r="W56" s="62" t="n">
        <f aca="false">IFERROR((S56*30%)/V56,0)</f>
        <v>243127013.781653</v>
      </c>
      <c r="X56" s="63" t="n">
        <f aca="false">IFERROR(N56/W56,0)</f>
        <v>0</v>
      </c>
      <c r="Y56" s="68"/>
      <c r="Z56" s="57"/>
      <c r="AA56" s="69" t="str">
        <f aca="false">IF(OR(U56="",Y56="",Z56=""),"",IF(AND(U56&gt;Y56,-U56&lt;Z56),"Ok","Not Ok"))</f>
        <v/>
      </c>
      <c r="AB56" s="70"/>
    </row>
    <row r="57" customFormat="false" ht="12.8" hidden="false" customHeight="false" outlineLevel="0" collapsed="false">
      <c r="A57" s="48" t="str">
        <f aca="false">TB_audited!A40</f>
        <v>Fixed asset</v>
      </c>
      <c r="B57" s="49"/>
      <c r="C57" s="50"/>
      <c r="D57" s="51" t="n">
        <f aca="false">TB_audited!B40</f>
        <v>12505</v>
      </c>
      <c r="E57" s="52" t="str">
        <f aca="false">TB_audited!C40</f>
        <v>200/0505</v>
      </c>
      <c r="F57" s="53" t="str">
        <f aca="false">TB_audited!D40</f>
        <v>ACCUM. DEPRN. OFFICE EQUIPMENT</v>
      </c>
      <c r="G57" s="54" t="n">
        <f aca="false">IF($D$8="Interim",TB_audited!G40,TB_audited!E40)</f>
        <v>-668924449</v>
      </c>
      <c r="H57" s="55" t="str">
        <f aca="false">IFERROR(VLOOKUP($A57,RA_result!$B$3:$N$62,11,0),"")</f>
        <v>Ya</v>
      </c>
      <c r="I57" s="55" t="str">
        <f aca="false">IFERROR(VLOOKUP($A57,RA_result!$B$3:$N$62,12,0),"")</f>
        <v>Ya</v>
      </c>
      <c r="J57" s="55" t="str">
        <f aca="false">IFERROR(VLOOKUP($A57,RA_result!$B$3:$N$62,13,0),"")</f>
        <v>YE</v>
      </c>
      <c r="K57" s="56"/>
      <c r="L57" s="56"/>
      <c r="M57" s="57" t="n">
        <v>-668924449</v>
      </c>
      <c r="N57" s="54" t="n">
        <f aca="false">G57-M57</f>
        <v>0</v>
      </c>
      <c r="O57" s="55" t="str">
        <f aca="false">IFERROR(VLOOKUP($A57,RA_result!$B$3:$N$62,7,0),"")</f>
        <v>M</v>
      </c>
      <c r="P57" s="52" t="str">
        <f aca="false">IFERROR(VLOOKUP($A57,RA_result!$B$3:$N$62,9,0),"")</f>
        <v>L</v>
      </c>
      <c r="Q57" s="52" t="str">
        <f aca="false">IFERROR(VLOOKUP($A57,RA_result!$B$3:$N$62,10,0),"")</f>
        <v/>
      </c>
      <c r="R57" s="58" t="s">
        <v>55</v>
      </c>
      <c r="S57" s="59" t="n">
        <f aca="false">IFERROR(VLOOKUP($A57,RA_result!$B$3:$N$62,4,0),"")</f>
        <v>1053550393.05383</v>
      </c>
      <c r="T57" s="60" t="n">
        <v>0.9</v>
      </c>
      <c r="U57" s="59" t="n">
        <f aca="false">IFERROR(IF(VLOOKUP($A57,RA_result!$B$3:$N$62,6,0)="",S57*T57,VLOOKUP($A57,RA_result!$B$3:$N$62,6,0)),"")</f>
        <v>948195353.748447</v>
      </c>
      <c r="V57" s="61" t="n">
        <v>1.3</v>
      </c>
      <c r="W57" s="62" t="n">
        <f aca="false">IFERROR((S57*30%)/V57,0)</f>
        <v>243127013.781653</v>
      </c>
      <c r="X57" s="63" t="n">
        <f aca="false">IFERROR(N57/W57,0)</f>
        <v>0</v>
      </c>
      <c r="Y57" s="68"/>
      <c r="Z57" s="57"/>
      <c r="AA57" s="69" t="str">
        <f aca="false">IF(OR(U57="",Y57="",Z57=""),"",IF(AND(U57&gt;Y57,-U57&lt;Z57),"Ok","Not Ok"))</f>
        <v/>
      </c>
      <c r="AB57" s="70"/>
    </row>
    <row r="58" customFormat="false" ht="12.8" hidden="false" customHeight="false" outlineLevel="0" collapsed="false">
      <c r="A58" s="48" t="str">
        <f aca="false">TB_audited!A41</f>
        <v>Fixed asset</v>
      </c>
      <c r="B58" s="49"/>
      <c r="C58" s="50"/>
      <c r="D58" s="51" t="n">
        <f aca="false">TB_audited!B41</f>
        <v>12506</v>
      </c>
      <c r="E58" s="52" t="str">
        <f aca="false">TB_audited!C41</f>
        <v>200/0600</v>
      </c>
      <c r="F58" s="53" t="str">
        <f aca="false">TB_audited!D41</f>
        <v>MOTOR VEHICLE</v>
      </c>
      <c r="G58" s="54" t="n">
        <f aca="false">IF($D$8="Interim",TB_audited!G41,TB_audited!E41)</f>
        <v>361959091</v>
      </c>
      <c r="H58" s="55" t="str">
        <f aca="false">IFERROR(VLOOKUP($A58,RA_result!$B$3:$N$62,11,0),"")</f>
        <v>Ya</v>
      </c>
      <c r="I58" s="55" t="str">
        <f aca="false">IFERROR(VLOOKUP($A58,RA_result!$B$3:$N$62,12,0),"")</f>
        <v>Ya</v>
      </c>
      <c r="J58" s="55" t="str">
        <f aca="false">IFERROR(VLOOKUP($A58,RA_result!$B$3:$N$62,13,0),"")</f>
        <v>YE</v>
      </c>
      <c r="K58" s="56" t="s">
        <v>54</v>
      </c>
      <c r="L58" s="56" t="s">
        <v>53</v>
      </c>
      <c r="M58" s="57" t="n">
        <v>361959091</v>
      </c>
      <c r="N58" s="54" t="n">
        <f aca="false">G58-M58</f>
        <v>0</v>
      </c>
      <c r="O58" s="55" t="str">
        <f aca="false">IFERROR(VLOOKUP($A58,RA_result!$B$3:$N$62,7,0),"")</f>
        <v>M</v>
      </c>
      <c r="P58" s="52" t="str">
        <f aca="false">IFERROR(VLOOKUP($A58,RA_result!$B$3:$N$62,9,0),"")</f>
        <v>L</v>
      </c>
      <c r="Q58" s="52" t="str">
        <f aca="false">IFERROR(VLOOKUP($A58,RA_result!$B$3:$N$62,10,0),"")</f>
        <v/>
      </c>
      <c r="R58" s="58" t="s">
        <v>55</v>
      </c>
      <c r="S58" s="59" t="n">
        <f aca="false">IFERROR(VLOOKUP($A58,RA_result!$B$3:$N$62,4,0),"")</f>
        <v>1053550393.05383</v>
      </c>
      <c r="T58" s="60" t="n">
        <v>0.9</v>
      </c>
      <c r="U58" s="59" t="n">
        <f aca="false">IFERROR(IF(VLOOKUP($A58,RA_result!$B$3:$N$62,6,0)="",S58*T58,VLOOKUP($A58,RA_result!$B$3:$N$62,6,0)),"")</f>
        <v>948195353.748447</v>
      </c>
      <c r="V58" s="61" t="n">
        <v>1.3</v>
      </c>
      <c r="W58" s="62" t="n">
        <f aca="false">IFERROR((S58*30%)/V58,0)</f>
        <v>243127013.781653</v>
      </c>
      <c r="X58" s="63" t="n">
        <f aca="false">IFERROR(N58/W58,0)</f>
        <v>0</v>
      </c>
      <c r="Y58" s="68"/>
      <c r="Z58" s="57"/>
      <c r="AA58" s="69" t="str">
        <f aca="false">IF(OR(U58="",Y58="",Z58=""),"",IF(AND(U58&gt;Y58,-U58&lt;Z58),"Ok","Not Ok"))</f>
        <v/>
      </c>
      <c r="AB58" s="70"/>
    </row>
    <row r="59" customFormat="false" ht="12.8" hidden="false" customHeight="false" outlineLevel="0" collapsed="false">
      <c r="A59" s="48" t="str">
        <f aca="false">TB_audited!A42</f>
        <v>Fixed asset</v>
      </c>
      <c r="B59" s="49"/>
      <c r="C59" s="50"/>
      <c r="D59" s="51" t="n">
        <f aca="false">TB_audited!B42</f>
        <v>12507</v>
      </c>
      <c r="E59" s="52" t="str">
        <f aca="false">TB_audited!C42</f>
        <v>200/0605</v>
      </c>
      <c r="F59" s="53" t="str">
        <f aca="false">TB_audited!D42</f>
        <v>ACCUM. DEPRN. MOTOR VEHICLE</v>
      </c>
      <c r="G59" s="54" t="n">
        <f aca="false">IF($D$8="Interim",TB_audited!G42,TB_audited!E42)</f>
        <v>-361959091</v>
      </c>
      <c r="H59" s="55" t="str">
        <f aca="false">IFERROR(VLOOKUP($A59,RA_result!$B$3:$N$62,11,0),"")</f>
        <v>Ya</v>
      </c>
      <c r="I59" s="55" t="str">
        <f aca="false">IFERROR(VLOOKUP($A59,RA_result!$B$3:$N$62,12,0),"")</f>
        <v>Ya</v>
      </c>
      <c r="J59" s="55" t="str">
        <f aca="false">IFERROR(VLOOKUP($A59,RA_result!$B$3:$N$62,13,0),"")</f>
        <v>YE</v>
      </c>
      <c r="K59" s="56"/>
      <c r="L59" s="56"/>
      <c r="M59" s="57" t="n">
        <v>-361959091</v>
      </c>
      <c r="N59" s="54" t="n">
        <f aca="false">G59-M59</f>
        <v>0</v>
      </c>
      <c r="O59" s="55" t="str">
        <f aca="false">IFERROR(VLOOKUP($A59,RA_result!$B$3:$N$62,7,0),"")</f>
        <v>M</v>
      </c>
      <c r="P59" s="52" t="str">
        <f aca="false">IFERROR(VLOOKUP($A59,RA_result!$B$3:$N$62,9,0),"")</f>
        <v>L</v>
      </c>
      <c r="Q59" s="52" t="str">
        <f aca="false">IFERROR(VLOOKUP($A59,RA_result!$B$3:$N$62,10,0),"")</f>
        <v/>
      </c>
      <c r="R59" s="58" t="s">
        <v>55</v>
      </c>
      <c r="S59" s="59" t="n">
        <f aca="false">IFERROR(VLOOKUP($A59,RA_result!$B$3:$N$62,4,0),"")</f>
        <v>1053550393.05383</v>
      </c>
      <c r="T59" s="60" t="n">
        <v>0.9</v>
      </c>
      <c r="U59" s="59" t="n">
        <f aca="false">IFERROR(IF(VLOOKUP($A59,RA_result!$B$3:$N$62,6,0)="",S59*T59,VLOOKUP($A59,RA_result!$B$3:$N$62,6,0)),"")</f>
        <v>948195353.748447</v>
      </c>
      <c r="V59" s="61" t="n">
        <v>1.3</v>
      </c>
      <c r="W59" s="62" t="n">
        <f aca="false">IFERROR((S59*30%)/V59,0)</f>
        <v>243127013.781653</v>
      </c>
      <c r="X59" s="63" t="n">
        <f aca="false">IFERROR(N59/W59,0)</f>
        <v>0</v>
      </c>
      <c r="Y59" s="68"/>
      <c r="Z59" s="57"/>
      <c r="AA59" s="69" t="str">
        <f aca="false">IF(OR(U59="",Y59="",Z59=""),"",IF(AND(U59&gt;Y59,-U59&lt;Z59),"Ok","Not Ok"))</f>
        <v/>
      </c>
      <c r="AB59" s="70"/>
    </row>
    <row r="60" customFormat="false" ht="12.8" hidden="false" customHeight="false" outlineLevel="0" collapsed="false">
      <c r="A60" s="48" t="str">
        <f aca="false">TB_audited!A43</f>
        <v>Fixed asset</v>
      </c>
      <c r="B60" s="49"/>
      <c r="C60" s="50"/>
      <c r="D60" s="51" t="n">
        <f aca="false">TB_audited!B43</f>
        <v>12508</v>
      </c>
      <c r="E60" s="52" t="str">
        <f aca="false">TB_audited!C43</f>
        <v>200/0700</v>
      </c>
      <c r="F60" s="53" t="str">
        <f aca="false">TB_audited!D43</f>
        <v>MACHINERY AND EQUIPMENT</v>
      </c>
      <c r="G60" s="54" t="n">
        <f aca="false">IF($D$8="Interim",TB_audited!G43,TB_audited!E43)</f>
        <v>72082517</v>
      </c>
      <c r="H60" s="55" t="str">
        <f aca="false">IFERROR(VLOOKUP($A60,RA_result!$B$3:$N$62,11,0),"")</f>
        <v>Ya</v>
      </c>
      <c r="I60" s="55" t="str">
        <f aca="false">IFERROR(VLOOKUP($A60,RA_result!$B$3:$N$62,12,0),"")</f>
        <v>Ya</v>
      </c>
      <c r="J60" s="55" t="str">
        <f aca="false">IFERROR(VLOOKUP($A60,RA_result!$B$3:$N$62,13,0),"")</f>
        <v>YE</v>
      </c>
      <c r="K60" s="56" t="s">
        <v>54</v>
      </c>
      <c r="L60" s="56" t="s">
        <v>53</v>
      </c>
      <c r="M60" s="57" t="n">
        <v>72082517</v>
      </c>
      <c r="N60" s="54" t="n">
        <f aca="false">G60-M60</f>
        <v>0</v>
      </c>
      <c r="O60" s="55" t="str">
        <f aca="false">IFERROR(VLOOKUP($A60,RA_result!$B$3:$N$62,7,0),"")</f>
        <v>M</v>
      </c>
      <c r="P60" s="52" t="str">
        <f aca="false">IFERROR(VLOOKUP($A60,RA_result!$B$3:$N$62,9,0),"")</f>
        <v>L</v>
      </c>
      <c r="Q60" s="52" t="str">
        <f aca="false">IFERROR(VLOOKUP($A60,RA_result!$B$3:$N$62,10,0),"")</f>
        <v/>
      </c>
      <c r="R60" s="58" t="s">
        <v>55</v>
      </c>
      <c r="S60" s="59" t="n">
        <f aca="false">IFERROR(VLOOKUP($A60,RA_result!$B$3:$N$62,4,0),"")</f>
        <v>1053550393.05383</v>
      </c>
      <c r="T60" s="60" t="n">
        <v>0.9</v>
      </c>
      <c r="U60" s="59" t="n">
        <f aca="false">IFERROR(IF(VLOOKUP($A60,RA_result!$B$3:$N$62,6,0)="",S60*T60,VLOOKUP($A60,RA_result!$B$3:$N$62,6,0)),"")</f>
        <v>948195353.748447</v>
      </c>
      <c r="V60" s="61" t="n">
        <v>1.3</v>
      </c>
      <c r="W60" s="62" t="n">
        <f aca="false">IFERROR((S60*30%)/V60,0)</f>
        <v>243127013.781653</v>
      </c>
      <c r="X60" s="63" t="n">
        <f aca="false">IFERROR(N60/W60,0)</f>
        <v>0</v>
      </c>
      <c r="Y60" s="68"/>
      <c r="Z60" s="57"/>
      <c r="AA60" s="69" t="str">
        <f aca="false">IF(OR(U60="",Y60="",Z60=""),"",IF(AND(U60&gt;Y60,-U60&lt;Z60),"Ok","Not Ok"))</f>
        <v/>
      </c>
      <c r="AB60" s="70"/>
    </row>
    <row r="61" customFormat="false" ht="12.8" hidden="false" customHeight="false" outlineLevel="0" collapsed="false">
      <c r="A61" s="48" t="str">
        <f aca="false">TB_audited!A44</f>
        <v>Fixed asset</v>
      </c>
      <c r="B61" s="49"/>
      <c r="C61" s="50"/>
      <c r="D61" s="51" t="n">
        <f aca="false">TB_audited!B44</f>
        <v>12509</v>
      </c>
      <c r="E61" s="52" t="str">
        <f aca="false">TB_audited!C44</f>
        <v>200/0705</v>
      </c>
      <c r="F61" s="53" t="str">
        <f aca="false">TB_audited!D44</f>
        <v>ACCUM. DEPRN. MACHINERY AND EQUIPMENT</v>
      </c>
      <c r="G61" s="54" t="n">
        <f aca="false">IF($D$8="Interim",TB_audited!G44,TB_audited!E44)</f>
        <v>-61811793</v>
      </c>
      <c r="H61" s="55" t="str">
        <f aca="false">IFERROR(VLOOKUP($A61,RA_result!$B$3:$N$62,11,0),"")</f>
        <v>Ya</v>
      </c>
      <c r="I61" s="55" t="str">
        <f aca="false">IFERROR(VLOOKUP($A61,RA_result!$B$3:$N$62,12,0),"")</f>
        <v>Ya</v>
      </c>
      <c r="J61" s="55" t="str">
        <f aca="false">IFERROR(VLOOKUP($A61,RA_result!$B$3:$N$62,13,0),"")</f>
        <v>YE</v>
      </c>
      <c r="K61" s="56"/>
      <c r="L61" s="56"/>
      <c r="M61" s="57" t="n">
        <v>-61811793</v>
      </c>
      <c r="N61" s="54" t="n">
        <f aca="false">G61-M61</f>
        <v>0</v>
      </c>
      <c r="O61" s="55" t="str">
        <f aca="false">IFERROR(VLOOKUP($A61,RA_result!$B$3:$N$62,7,0),"")</f>
        <v>M</v>
      </c>
      <c r="P61" s="52" t="str">
        <f aca="false">IFERROR(VLOOKUP($A61,RA_result!$B$3:$N$62,9,0),"")</f>
        <v>L</v>
      </c>
      <c r="Q61" s="52" t="str">
        <f aca="false">IFERROR(VLOOKUP($A61,RA_result!$B$3:$N$62,10,0),"")</f>
        <v/>
      </c>
      <c r="R61" s="58" t="s">
        <v>55</v>
      </c>
      <c r="S61" s="59" t="n">
        <f aca="false">IFERROR(VLOOKUP($A61,RA_result!$B$3:$N$62,4,0),"")</f>
        <v>1053550393.05383</v>
      </c>
      <c r="T61" s="60" t="n">
        <v>0.9</v>
      </c>
      <c r="U61" s="59" t="n">
        <f aca="false">IFERROR(IF(VLOOKUP($A61,RA_result!$B$3:$N$62,6,0)="",S61*T61,VLOOKUP($A61,RA_result!$B$3:$N$62,6,0)),"")</f>
        <v>948195353.748447</v>
      </c>
      <c r="V61" s="61" t="n">
        <v>1.3</v>
      </c>
      <c r="W61" s="62" t="n">
        <f aca="false">IFERROR((S61*30%)/V61,0)</f>
        <v>243127013.781653</v>
      </c>
      <c r="X61" s="63" t="n">
        <f aca="false">IFERROR(N61/W61,0)</f>
        <v>0</v>
      </c>
      <c r="Y61" s="68"/>
      <c r="Z61" s="57"/>
      <c r="AA61" s="69" t="str">
        <f aca="false">IF(OR(U61="",Y61="",Z61=""),"",IF(AND(U61&gt;Y61,-U61&lt;Z61),"Ok","Not Ok"))</f>
        <v/>
      </c>
      <c r="AB61" s="70"/>
    </row>
    <row r="62" customFormat="false" ht="12.8" hidden="false" customHeight="false" outlineLevel="0" collapsed="false">
      <c r="A62" s="48" t="str">
        <f aca="false">TB_audited!A45</f>
        <v>Intangible asset</v>
      </c>
      <c r="B62" s="49"/>
      <c r="C62" s="50"/>
      <c r="D62" s="51" t="n">
        <f aca="false">TB_audited!B45</f>
        <v>12701</v>
      </c>
      <c r="E62" s="52" t="str">
        <f aca="false">TB_audited!C45</f>
        <v>250/0100</v>
      </c>
      <c r="F62" s="53" t="str">
        <f aca="false">TB_audited!D45</f>
        <v>INTANGIBLE ASSETS</v>
      </c>
      <c r="G62" s="54" t="n">
        <f aca="false">IF($D$8="Interim",TB_audited!G45,TB_audited!E45)</f>
        <v>115843336</v>
      </c>
      <c r="H62" s="55" t="str">
        <f aca="false">IFERROR(VLOOKUP($A62,RA_result!$B$3:$N$62,11,0),"")</f>
        <v/>
      </c>
      <c r="I62" s="55" t="str">
        <f aca="false">IFERROR(VLOOKUP($A62,RA_result!$B$3:$N$62,12,0),"")</f>
        <v/>
      </c>
      <c r="J62" s="55" t="str">
        <f aca="false">IFERROR(VLOOKUP($A62,RA_result!$B$3:$N$62,13,0),"")</f>
        <v/>
      </c>
      <c r="K62" s="56"/>
      <c r="L62" s="56"/>
      <c r="M62" s="57" t="n">
        <v>115843336</v>
      </c>
      <c r="N62" s="54" t="n">
        <f aca="false">G62-M62</f>
        <v>0</v>
      </c>
      <c r="O62" s="55" t="str">
        <f aca="false">IFERROR(VLOOKUP($A62,RA_result!$B$3:$N$62,7,0),"")</f>
        <v>TM</v>
      </c>
      <c r="P62" s="52" t="str">
        <f aca="false">IFERROR(VLOOKUP($A62,RA_result!$B$3:$N$62,9,0),"")</f>
        <v>L</v>
      </c>
      <c r="Q62" s="52" t="str">
        <f aca="false">IFERROR(VLOOKUP($A62,RA_result!$B$3:$N$62,10,0),"")</f>
        <v/>
      </c>
      <c r="R62" s="58" t="s">
        <v>55</v>
      </c>
      <c r="S62" s="59" t="n">
        <f aca="false">IFERROR(VLOOKUP($A62,RA_result!$B$3:$N$62,4,0),"")</f>
        <v>1053550393.05383</v>
      </c>
      <c r="T62" s="60" t="n">
        <v>0.9</v>
      </c>
      <c r="U62" s="59" t="n">
        <f aca="false">IFERROR(IF(VLOOKUP($A62,RA_result!$B$3:$N$62,6,0)="",S62*T62,VLOOKUP($A62,RA_result!$B$3:$N$62,6,0)),"")</f>
        <v>948195353.748447</v>
      </c>
      <c r="V62" s="61" t="s">
        <v>56</v>
      </c>
      <c r="W62" s="62" t="n">
        <f aca="false">IFERROR((S62*30%)/V62,0)</f>
        <v>0</v>
      </c>
      <c r="X62" s="63" t="n">
        <f aca="false">IFERROR(N62/W62,0)</f>
        <v>0</v>
      </c>
      <c r="Y62" s="68"/>
      <c r="Z62" s="57"/>
      <c r="AA62" s="69" t="str">
        <f aca="false">IF(OR(U62="",Y62="",Z62=""),"",IF(AND(U62&gt;Y62,-U62&lt;Z62),"Ok","Not Ok"))</f>
        <v/>
      </c>
      <c r="AB62" s="70"/>
    </row>
    <row r="63" customFormat="false" ht="12.8" hidden="false" customHeight="false" outlineLevel="0" collapsed="false">
      <c r="A63" s="48" t="str">
        <f aca="false">TB_audited!A46</f>
        <v>Intangible asset</v>
      </c>
      <c r="B63" s="49"/>
      <c r="C63" s="50"/>
      <c r="D63" s="51" t="n">
        <f aca="false">TB_audited!B46</f>
        <v>12702</v>
      </c>
      <c r="E63" s="52" t="str">
        <f aca="false">TB_audited!C46</f>
        <v>250/0105</v>
      </c>
      <c r="F63" s="53" t="str">
        <f aca="false">TB_audited!D46</f>
        <v>ACCUM. DEPRN. INTANGIBLE ASSETS</v>
      </c>
      <c r="G63" s="54" t="n">
        <f aca="false">IF($D$8="Interim",TB_audited!G46,TB_audited!E46)</f>
        <v>-115843336</v>
      </c>
      <c r="H63" s="55" t="str">
        <f aca="false">IFERROR(VLOOKUP($A63,RA_result!$B$3:$N$62,11,0),"")</f>
        <v/>
      </c>
      <c r="I63" s="55" t="str">
        <f aca="false">IFERROR(VLOOKUP($A63,RA_result!$B$3:$N$62,12,0),"")</f>
        <v/>
      </c>
      <c r="J63" s="55" t="str">
        <f aca="false">IFERROR(VLOOKUP($A63,RA_result!$B$3:$N$62,13,0),"")</f>
        <v/>
      </c>
      <c r="K63" s="56"/>
      <c r="L63" s="56"/>
      <c r="M63" s="57" t="n">
        <v>-115843336</v>
      </c>
      <c r="N63" s="54" t="n">
        <f aca="false">G63-M63</f>
        <v>0</v>
      </c>
      <c r="O63" s="55" t="str">
        <f aca="false">IFERROR(VLOOKUP($A63,RA_result!$B$3:$N$62,7,0),"")</f>
        <v>TM</v>
      </c>
      <c r="P63" s="52" t="str">
        <f aca="false">IFERROR(VLOOKUP($A63,RA_result!$B$3:$N$62,9,0),"")</f>
        <v>L</v>
      </c>
      <c r="Q63" s="52" t="str">
        <f aca="false">IFERROR(VLOOKUP($A63,RA_result!$B$3:$N$62,10,0),"")</f>
        <v/>
      </c>
      <c r="R63" s="58" t="s">
        <v>55</v>
      </c>
      <c r="S63" s="59" t="n">
        <f aca="false">IFERROR(VLOOKUP($A63,RA_result!$B$3:$N$62,4,0),"")</f>
        <v>1053550393.05383</v>
      </c>
      <c r="T63" s="60" t="n">
        <v>0.9</v>
      </c>
      <c r="U63" s="59" t="n">
        <f aca="false">IFERROR(IF(VLOOKUP($A63,RA_result!$B$3:$N$62,6,0)="",S63*T63,VLOOKUP($A63,RA_result!$B$3:$N$62,6,0)),"")</f>
        <v>948195353.748447</v>
      </c>
      <c r="V63" s="61" t="s">
        <v>56</v>
      </c>
      <c r="W63" s="62" t="n">
        <f aca="false">IFERROR((S63*30%)/V63,0)</f>
        <v>0</v>
      </c>
      <c r="X63" s="63" t="n">
        <f aca="false">IFERROR(N63/W63,0)</f>
        <v>0</v>
      </c>
      <c r="Y63" s="68"/>
      <c r="Z63" s="57"/>
      <c r="AA63" s="69" t="str">
        <f aca="false">IF(OR(U63="",Y63="",Z63=""),"",IF(AND(U63&gt;Y63,-U63&lt;Z63),"Ok","Not Ok"))</f>
        <v/>
      </c>
      <c r="AB63" s="70"/>
    </row>
    <row r="64" customFormat="false" ht="12.8" hidden="false" customHeight="false" outlineLevel="0" collapsed="false">
      <c r="A64" s="48" t="str">
        <f aca="false">TB_audited!A47</f>
        <v>Trade payable</v>
      </c>
      <c r="B64" s="49"/>
      <c r="C64" s="50"/>
      <c r="D64" s="51" t="n">
        <f aca="false">TB_audited!B47</f>
        <v>21101</v>
      </c>
      <c r="E64" s="52" t="str">
        <f aca="false">TB_audited!C47</f>
        <v>300/0000</v>
      </c>
      <c r="F64" s="53" t="str">
        <f aca="false">TB_audited!D47</f>
        <v>TRADE CREDITORS-IDR</v>
      </c>
      <c r="G64" s="54" t="n">
        <f aca="false">IF($D$8="Interim",TB_audited!G47,TB_audited!E47)</f>
        <v>3612199904</v>
      </c>
      <c r="H64" s="55" t="str">
        <f aca="false">IFERROR(VLOOKUP($A64,RA_result!$B$3:$N$62,11,0),"")</f>
        <v/>
      </c>
      <c r="I64" s="55" t="str">
        <f aca="false">IFERROR(VLOOKUP($A64,RA_result!$B$3:$N$62,12,0),"")</f>
        <v>Ya</v>
      </c>
      <c r="J64" s="55" t="str">
        <f aca="false">IFERROR(VLOOKUP($A64,RA_result!$B$3:$N$62,13,0),"")</f>
        <v>YE</v>
      </c>
      <c r="K64" s="56" t="s">
        <v>53</v>
      </c>
      <c r="L64" s="56" t="s">
        <v>54</v>
      </c>
      <c r="M64" s="57" t="n">
        <v>2976706028</v>
      </c>
      <c r="N64" s="54" t="n">
        <f aca="false">G64-M64</f>
        <v>635493876</v>
      </c>
      <c r="O64" s="55" t="str">
        <f aca="false">IFERROR(VLOOKUP($A64,RA_result!$B$3:$N$62,7,0),"")</f>
        <v>M</v>
      </c>
      <c r="P64" s="52" t="str">
        <f aca="false">IFERROR(VLOOKUP($A64,RA_result!$B$3:$N$62,9,0),"")</f>
        <v>L</v>
      </c>
      <c r="Q64" s="52" t="str">
        <f aca="false">IFERROR(VLOOKUP($A64,RA_result!$B$3:$N$62,10,0),"")</f>
        <v/>
      </c>
      <c r="R64" s="58" t="s">
        <v>55</v>
      </c>
      <c r="S64" s="59" t="n">
        <f aca="false">IFERROR(VLOOKUP($A64,RA_result!$B$3:$N$62,4,0),"")</f>
        <v>1053550393.05383</v>
      </c>
      <c r="T64" s="60" t="n">
        <v>0.8</v>
      </c>
      <c r="U64" s="59" t="n">
        <f aca="false">IFERROR(IF(VLOOKUP($A64,RA_result!$B$3:$N$62,6,0)="",S64*T64,VLOOKUP($A64,RA_result!$B$3:$N$62,6,0)),"")</f>
        <v>842840314.443064</v>
      </c>
      <c r="V64" s="61" t="n">
        <v>1.4</v>
      </c>
      <c r="W64" s="62" t="n">
        <f aca="false">IFERROR((S64*30%)/V64,0)</f>
        <v>225760798.511535</v>
      </c>
      <c r="X64" s="63" t="n">
        <f aca="false">IFERROR(N64/W64,0)</f>
        <v>2.8148991330199</v>
      </c>
      <c r="Y64" s="68" t="n">
        <v>69268832.484</v>
      </c>
      <c r="Z64" s="57" t="n">
        <v>-69268832.484</v>
      </c>
      <c r="AA64" s="69" t="str">
        <f aca="false">IF(OR(U64="",Y64="",Z64=""),"",IF(AND(U64&gt;Y64,-U64&lt;Z64),"Ok","Not Ok"))</f>
        <v>Ok</v>
      </c>
      <c r="AB64" s="70"/>
    </row>
    <row r="65" customFormat="false" ht="12.8" hidden="false" customHeight="false" outlineLevel="0" collapsed="false">
      <c r="A65" s="48" t="str">
        <f aca="false">TB_audited!A48</f>
        <v>Trade payable</v>
      </c>
      <c r="B65" s="49"/>
      <c r="C65" s="50"/>
      <c r="D65" s="51" t="n">
        <f aca="false">TB_audited!B48</f>
        <v>21102</v>
      </c>
      <c r="E65" s="52" t="str">
        <f aca="false">TB_audited!C48</f>
        <v>301/0000</v>
      </c>
      <c r="F65" s="53" t="str">
        <f aca="false">TB_audited!D48</f>
        <v>TRADE CREDITORS-RM</v>
      </c>
      <c r="G65" s="54" t="n">
        <f aca="false">IF($D$8="Interim",TB_audited!G48,TB_audited!E48)</f>
        <v>9083541748.31</v>
      </c>
      <c r="H65" s="55" t="str">
        <f aca="false">IFERROR(VLOOKUP($A65,RA_result!$B$3:$N$62,11,0),"")</f>
        <v/>
      </c>
      <c r="I65" s="55" t="str">
        <f aca="false">IFERROR(VLOOKUP($A65,RA_result!$B$3:$N$62,12,0),"")</f>
        <v>Ya</v>
      </c>
      <c r="J65" s="55" t="str">
        <f aca="false">IFERROR(VLOOKUP($A65,RA_result!$B$3:$N$62,13,0),"")</f>
        <v>YE</v>
      </c>
      <c r="K65" s="56" t="s">
        <v>54</v>
      </c>
      <c r="L65" s="56" t="s">
        <v>53</v>
      </c>
      <c r="M65" s="57" t="n">
        <v>9083541748.31</v>
      </c>
      <c r="N65" s="54" t="n">
        <f aca="false">G65-M65</f>
        <v>0</v>
      </c>
      <c r="O65" s="55" t="str">
        <f aca="false">IFERROR(VLOOKUP($A65,RA_result!$B$3:$N$62,7,0),"")</f>
        <v>M</v>
      </c>
      <c r="P65" s="52" t="str">
        <f aca="false">IFERROR(VLOOKUP($A65,RA_result!$B$3:$N$62,9,0),"")</f>
        <v>L</v>
      </c>
      <c r="Q65" s="52" t="str">
        <f aca="false">IFERROR(VLOOKUP($A65,RA_result!$B$3:$N$62,10,0),"")</f>
        <v/>
      </c>
      <c r="R65" s="58" t="s">
        <v>55</v>
      </c>
      <c r="S65" s="59" t="n">
        <f aca="false">IFERROR(VLOOKUP($A65,RA_result!$B$3:$N$62,4,0),"")</f>
        <v>1053550393.05383</v>
      </c>
      <c r="T65" s="60" t="n">
        <v>0.9</v>
      </c>
      <c r="U65" s="59" t="n">
        <f aca="false">IFERROR(IF(VLOOKUP($A65,RA_result!$B$3:$N$62,6,0)="",S65*T65,VLOOKUP($A65,RA_result!$B$3:$N$62,6,0)),"")</f>
        <v>948195353.748447</v>
      </c>
      <c r="V65" s="61" t="n">
        <v>1.3</v>
      </c>
      <c r="W65" s="62" t="n">
        <f aca="false">IFERROR((S65*30%)/V65,0)</f>
        <v>243127013.781653</v>
      </c>
      <c r="X65" s="63" t="n">
        <f aca="false">IFERROR(N65/W65,0)</f>
        <v>0</v>
      </c>
      <c r="Y65" s="68"/>
      <c r="Z65" s="57"/>
      <c r="AA65" s="69" t="str">
        <f aca="false">IF(OR(U65="",Y65="",Z65=""),"",IF(AND(U65&gt;Y65,-U65&lt;Z65),"Ok","Not Ok"))</f>
        <v/>
      </c>
      <c r="AB65" s="70"/>
    </row>
    <row r="66" customFormat="false" ht="12.8" hidden="false" customHeight="false" outlineLevel="0" collapsed="false">
      <c r="A66" s="48" t="str">
        <f aca="false">TB_audited!A49</f>
        <v>Accruals and other payable</v>
      </c>
      <c r="B66" s="49"/>
      <c r="C66" s="50"/>
      <c r="D66" s="51" t="n">
        <f aca="false">TB_audited!B49</f>
        <v>21201</v>
      </c>
      <c r="E66" s="52" t="str">
        <f aca="false">TB_audited!C49</f>
        <v>310/0000</v>
      </c>
      <c r="F66" s="53" t="str">
        <f aca="false">TB_audited!D49</f>
        <v>ACCRUALS</v>
      </c>
      <c r="G66" s="54" t="n">
        <f aca="false">IF($D$8="Interim",TB_audited!G49,TB_audited!E49)</f>
        <v>14686300</v>
      </c>
      <c r="H66" s="55" t="str">
        <f aca="false">IFERROR(VLOOKUP($A66,RA_result!$B$3:$N$62,11,0),"")</f>
        <v/>
      </c>
      <c r="I66" s="55" t="str">
        <f aca="false">IFERROR(VLOOKUP($A66,RA_result!$B$3:$N$62,12,0),"")</f>
        <v/>
      </c>
      <c r="J66" s="55" t="str">
        <f aca="false">IFERROR(VLOOKUP($A66,RA_result!$B$3:$N$62,13,0),"")</f>
        <v/>
      </c>
      <c r="K66" s="56"/>
      <c r="L66" s="56"/>
      <c r="M66" s="57" t="n">
        <v>14686300</v>
      </c>
      <c r="N66" s="54" t="n">
        <f aca="false">G66-M66</f>
        <v>0</v>
      </c>
      <c r="O66" s="55" t="str">
        <f aca="false">IFERROR(VLOOKUP($A66,RA_result!$B$3:$N$62,7,0),"")</f>
        <v>TM</v>
      </c>
      <c r="P66" s="52" t="str">
        <f aca="false">IFERROR(VLOOKUP($A66,RA_result!$B$3:$N$62,9,0),"")</f>
        <v>L</v>
      </c>
      <c r="Q66" s="52" t="str">
        <f aca="false">IFERROR(VLOOKUP($A66,RA_result!$B$3:$N$62,10,0),"")</f>
        <v/>
      </c>
      <c r="R66" s="58" t="s">
        <v>55</v>
      </c>
      <c r="S66" s="59" t="n">
        <f aca="false">IFERROR(VLOOKUP($A66,RA_result!$B$3:$N$62,4,0),"")</f>
        <v>1053550393.05383</v>
      </c>
      <c r="T66" s="60" t="n">
        <v>0.9</v>
      </c>
      <c r="U66" s="59" t="n">
        <f aca="false">IFERROR(IF(VLOOKUP($A66,RA_result!$B$3:$N$62,6,0)="",S66*T66,VLOOKUP($A66,RA_result!$B$3:$N$62,6,0)),"")</f>
        <v>948195353.748447</v>
      </c>
      <c r="V66" s="61" t="s">
        <v>56</v>
      </c>
      <c r="W66" s="62" t="n">
        <f aca="false">IFERROR((S66*30%)/V66,0)</f>
        <v>0</v>
      </c>
      <c r="X66" s="63" t="n">
        <f aca="false">IFERROR(N66/W66,0)</f>
        <v>0</v>
      </c>
      <c r="Y66" s="68"/>
      <c r="Z66" s="57"/>
      <c r="AA66" s="69" t="str">
        <f aca="false">IF(OR(U66="",Y66="",Z66=""),"",IF(AND(U66&gt;Y66,-U66&lt;Z66),"Ok","Not Ok"))</f>
        <v/>
      </c>
      <c r="AB66" s="70"/>
    </row>
    <row r="67" customFormat="false" ht="12.8" hidden="false" customHeight="false" outlineLevel="0" collapsed="false">
      <c r="A67" s="48" t="str">
        <f aca="false">TB_audited!A50</f>
        <v>Accruals and other payable</v>
      </c>
      <c r="B67" s="49"/>
      <c r="C67" s="50"/>
      <c r="D67" s="51" t="n">
        <f aca="false">TB_audited!B50</f>
        <v>21202</v>
      </c>
      <c r="E67" s="52" t="str">
        <f aca="false">TB_audited!C50</f>
        <v>311/0000</v>
      </c>
      <c r="F67" s="53" t="str">
        <f aca="false">TB_audited!D50</f>
        <v>OTHER CURRENT LIABILITIES</v>
      </c>
      <c r="G67" s="54" t="n">
        <f aca="false">IF($D$8="Interim",TB_audited!G50,TB_audited!E50)</f>
        <v>1186894</v>
      </c>
      <c r="H67" s="55" t="str">
        <f aca="false">IFERROR(VLOOKUP($A67,RA_result!$B$3:$N$62,11,0),"")</f>
        <v/>
      </c>
      <c r="I67" s="55" t="str">
        <f aca="false">IFERROR(VLOOKUP($A67,RA_result!$B$3:$N$62,12,0),"")</f>
        <v/>
      </c>
      <c r="J67" s="55" t="str">
        <f aca="false">IFERROR(VLOOKUP($A67,RA_result!$B$3:$N$62,13,0),"")</f>
        <v/>
      </c>
      <c r="K67" s="56"/>
      <c r="L67" s="56"/>
      <c r="M67" s="57" t="n">
        <v>1186894</v>
      </c>
      <c r="N67" s="54" t="n">
        <f aca="false">G67-M67</f>
        <v>0</v>
      </c>
      <c r="O67" s="55" t="str">
        <f aca="false">IFERROR(VLOOKUP($A67,RA_result!$B$3:$N$62,7,0),"")</f>
        <v>TM</v>
      </c>
      <c r="P67" s="52" t="str">
        <f aca="false">IFERROR(VLOOKUP($A67,RA_result!$B$3:$N$62,9,0),"")</f>
        <v>L</v>
      </c>
      <c r="Q67" s="52" t="str">
        <f aca="false">IFERROR(VLOOKUP($A67,RA_result!$B$3:$N$62,10,0),"")</f>
        <v/>
      </c>
      <c r="R67" s="58" t="s">
        <v>55</v>
      </c>
      <c r="S67" s="59" t="n">
        <f aca="false">IFERROR(VLOOKUP($A67,RA_result!$B$3:$N$62,4,0),"")</f>
        <v>1053550393.05383</v>
      </c>
      <c r="T67" s="60" t="n">
        <v>0.9</v>
      </c>
      <c r="U67" s="59" t="n">
        <f aca="false">IFERROR(IF(VLOOKUP($A67,RA_result!$B$3:$N$62,6,0)="",S67*T67,VLOOKUP($A67,RA_result!$B$3:$N$62,6,0)),"")</f>
        <v>948195353.748447</v>
      </c>
      <c r="V67" s="61" t="s">
        <v>56</v>
      </c>
      <c r="W67" s="62" t="n">
        <f aca="false">IFERROR((S67*30%)/V67,0)</f>
        <v>0</v>
      </c>
      <c r="X67" s="63" t="n">
        <f aca="false">IFERROR(N67/W67,0)</f>
        <v>0</v>
      </c>
      <c r="Y67" s="68"/>
      <c r="Z67" s="57"/>
      <c r="AA67" s="69" t="str">
        <f aca="false">IF(OR(U67="",Y67="",Z67=""),"",IF(AND(U67&gt;Y67,-U67&lt;Z67),"Ok","Not Ok"))</f>
        <v/>
      </c>
      <c r="AB67" s="70"/>
    </row>
    <row r="68" customFormat="false" ht="12.8" hidden="false" customHeight="false" outlineLevel="0" collapsed="false">
      <c r="A68" s="48" t="str">
        <f aca="false">TB_audited!A51</f>
        <v>Short-term employee benefit liability</v>
      </c>
      <c r="B68" s="49"/>
      <c r="C68" s="50"/>
      <c r="D68" s="51" t="n">
        <f aca="false">TB_audited!B51</f>
        <v>21601</v>
      </c>
      <c r="E68" s="52" t="str">
        <f aca="false">TB_audited!C51</f>
        <v>315/0000</v>
      </c>
      <c r="F68" s="53" t="str">
        <f aca="false">TB_audited!D51</f>
        <v>POST EMPLOYEE BENEFIT</v>
      </c>
      <c r="G68" s="54" t="n">
        <f aca="false">IF($D$8="Interim",TB_audited!G51,TB_audited!E51)</f>
        <v>1247188889</v>
      </c>
      <c r="H68" s="55" t="str">
        <f aca="false">IFERROR(VLOOKUP($A68,RA_result!$B$3:$N$62,11,0),"")</f>
        <v/>
      </c>
      <c r="I68" s="55" t="str">
        <f aca="false">IFERROR(VLOOKUP($A68,RA_result!$B$3:$N$62,12,0),"")</f>
        <v>Ya</v>
      </c>
      <c r="J68" s="55" t="str">
        <f aca="false">IFERROR(VLOOKUP($A68,RA_result!$B$3:$N$62,13,0),"")</f>
        <v>YE</v>
      </c>
      <c r="K68" s="56" t="s">
        <v>54</v>
      </c>
      <c r="L68" s="56" t="s">
        <v>53</v>
      </c>
      <c r="M68" s="57" t="n">
        <v>1243215461</v>
      </c>
      <c r="N68" s="54" t="n">
        <f aca="false">G68-M68</f>
        <v>3973428</v>
      </c>
      <c r="O68" s="55" t="str">
        <f aca="false">IFERROR(VLOOKUP($A68,RA_result!$B$3:$N$62,7,0),"")</f>
        <v>M</v>
      </c>
      <c r="P68" s="52" t="str">
        <f aca="false">IFERROR(VLOOKUP($A68,RA_result!$B$3:$N$62,9,0),"")</f>
        <v>L</v>
      </c>
      <c r="Q68" s="52" t="str">
        <f aca="false">IFERROR(VLOOKUP($A68,RA_result!$B$3:$N$62,10,0),"")</f>
        <v/>
      </c>
      <c r="R68" s="58" t="s">
        <v>55</v>
      </c>
      <c r="S68" s="59" t="n">
        <f aca="false">IFERROR(VLOOKUP($A68,RA_result!$B$3:$N$62,4,0),"")</f>
        <v>1053550393.05383</v>
      </c>
      <c r="T68" s="60" t="n">
        <v>0.9</v>
      </c>
      <c r="U68" s="59" t="n">
        <f aca="false">IFERROR(IF(VLOOKUP($A68,RA_result!$B$3:$N$62,6,0)="",S68*T68,VLOOKUP($A68,RA_result!$B$3:$N$62,6,0)),"")</f>
        <v>948195353.748447</v>
      </c>
      <c r="V68" s="61" t="n">
        <v>1.3</v>
      </c>
      <c r="W68" s="62" t="n">
        <f aca="false">IFERROR((S68*30%)/V68,0)</f>
        <v>243127013.781653</v>
      </c>
      <c r="X68" s="63" t="n">
        <f aca="false">IFERROR(N68/W68,0)</f>
        <v>0.0163430132184671</v>
      </c>
      <c r="Y68" s="68"/>
      <c r="Z68" s="57"/>
      <c r="AA68" s="69" t="str">
        <f aca="false">IF(OR(U68="",Y68="",Z68=""),"",IF(AND(U68&gt;Y68,-U68&lt;Z68),"Ok","Not Ok"))</f>
        <v/>
      </c>
      <c r="AB68" s="70"/>
    </row>
    <row r="69" customFormat="false" ht="12.8" hidden="false" customHeight="false" outlineLevel="0" collapsed="false">
      <c r="A69" s="48" t="str">
        <f aca="false">TB_audited!A52</f>
        <v>Other long-term liability</v>
      </c>
      <c r="B69" s="49"/>
      <c r="C69" s="50"/>
      <c r="D69" s="51" t="n">
        <f aca="false">TB_audited!B52</f>
        <v>22901</v>
      </c>
      <c r="E69" s="52" t="str">
        <f aca="false">TB_audited!C52</f>
        <v>350/0400</v>
      </c>
      <c r="F69" s="53" t="str">
        <f aca="false">TB_audited!D52</f>
        <v>SALES DOWN PAYMENT (DEPOSIT IDR)</v>
      </c>
      <c r="G69" s="54" t="n">
        <f aca="false">IF($D$8="Interim",TB_audited!G52,TB_audited!E52)</f>
        <v>2775984576</v>
      </c>
      <c r="H69" s="55" t="str">
        <f aca="false">IFERROR(VLOOKUP($A69,RA_result!$B$3:$N$62,11,0),"")</f>
        <v/>
      </c>
      <c r="I69" s="55" t="str">
        <f aca="false">IFERROR(VLOOKUP($A69,RA_result!$B$3:$N$62,12,0),"")</f>
        <v>Ya</v>
      </c>
      <c r="J69" s="55" t="str">
        <f aca="false">IFERROR(VLOOKUP($A69,RA_result!$B$3:$N$62,13,0),"")</f>
        <v>YE</v>
      </c>
      <c r="K69" s="56" t="s">
        <v>54</v>
      </c>
      <c r="L69" s="56" t="s">
        <v>53</v>
      </c>
      <c r="M69" s="57" t="n">
        <v>2775984576</v>
      </c>
      <c r="N69" s="54" t="n">
        <f aca="false">G69-M69</f>
        <v>0</v>
      </c>
      <c r="O69" s="55" t="str">
        <f aca="false">IFERROR(VLOOKUP($A69,RA_result!$B$3:$N$62,7,0),"")</f>
        <v>M</v>
      </c>
      <c r="P69" s="52" t="str">
        <f aca="false">IFERROR(VLOOKUP($A69,RA_result!$B$3:$N$62,9,0),"")</f>
        <v>L</v>
      </c>
      <c r="Q69" s="52" t="str">
        <f aca="false">IFERROR(VLOOKUP($A69,RA_result!$B$3:$N$62,10,0),"")</f>
        <v/>
      </c>
      <c r="R69" s="58" t="s">
        <v>55</v>
      </c>
      <c r="S69" s="59" t="n">
        <f aca="false">IFERROR(VLOOKUP($A69,RA_result!$B$3:$N$62,4,0),"")</f>
        <v>1053550393.05383</v>
      </c>
      <c r="T69" s="60" t="n">
        <v>0.9</v>
      </c>
      <c r="U69" s="59" t="n">
        <f aca="false">IFERROR(IF(VLOOKUP($A69,RA_result!$B$3:$N$62,6,0)="",S69*T69,VLOOKUP($A69,RA_result!$B$3:$N$62,6,0)),"")</f>
        <v>948195353.748447</v>
      </c>
      <c r="V69" s="61" t="n">
        <v>1.3</v>
      </c>
      <c r="W69" s="62" t="n">
        <f aca="false">IFERROR((S69*30%)/V69,0)</f>
        <v>243127013.781653</v>
      </c>
      <c r="X69" s="63" t="n">
        <f aca="false">IFERROR(N69/W69,0)</f>
        <v>0</v>
      </c>
      <c r="Y69" s="68"/>
      <c r="Z69" s="57"/>
      <c r="AA69" s="69" t="str">
        <f aca="false">IF(OR(U69="",Y69="",Z69=""),"",IF(AND(U69&gt;Y69,-U69&lt;Z69),"Ok","Not Ok"))</f>
        <v/>
      </c>
      <c r="AB69" s="70"/>
    </row>
    <row r="70" customFormat="false" ht="12.8" hidden="false" customHeight="false" outlineLevel="0" collapsed="false">
      <c r="A70" s="48" t="str">
        <f aca="false">TB_audited!A53</f>
        <v>Other long-term liability</v>
      </c>
      <c r="B70" s="49"/>
      <c r="C70" s="50"/>
      <c r="D70" s="51" t="n">
        <f aca="false">TB_audited!B53</f>
        <v>22902</v>
      </c>
      <c r="E70" s="52" t="str">
        <f aca="false">TB_audited!C53</f>
        <v>350/0800</v>
      </c>
      <c r="F70" s="53" t="str">
        <f aca="false">TB_audited!D53</f>
        <v>SALES DOWN PAYMENT MKH</v>
      </c>
      <c r="G70" s="54" t="n">
        <f aca="false">IF($D$8="Interim",TB_audited!G53,TB_audited!E53)</f>
        <v>-0</v>
      </c>
      <c r="H70" s="55" t="str">
        <f aca="false">IFERROR(VLOOKUP($A70,RA_result!$B$3:$N$62,11,0),"")</f>
        <v/>
      </c>
      <c r="I70" s="55" t="str">
        <f aca="false">IFERROR(VLOOKUP($A70,RA_result!$B$3:$N$62,12,0),"")</f>
        <v>Ya</v>
      </c>
      <c r="J70" s="55" t="str">
        <f aca="false">IFERROR(VLOOKUP($A70,RA_result!$B$3:$N$62,13,0),"")</f>
        <v>YE</v>
      </c>
      <c r="K70" s="56"/>
      <c r="L70" s="56"/>
      <c r="M70" s="57" t="n">
        <v>0</v>
      </c>
      <c r="N70" s="54" t="n">
        <f aca="false">G70-M70</f>
        <v>0</v>
      </c>
      <c r="O70" s="55" t="str">
        <f aca="false">IFERROR(VLOOKUP($A70,RA_result!$B$3:$N$62,7,0),"")</f>
        <v>M</v>
      </c>
      <c r="P70" s="52" t="str">
        <f aca="false">IFERROR(VLOOKUP($A70,RA_result!$B$3:$N$62,9,0),"")</f>
        <v>L</v>
      </c>
      <c r="Q70" s="52" t="str">
        <f aca="false">IFERROR(VLOOKUP($A70,RA_result!$B$3:$N$62,10,0),"")</f>
        <v/>
      </c>
      <c r="R70" s="58" t="s">
        <v>55</v>
      </c>
      <c r="S70" s="59" t="n">
        <f aca="false">IFERROR(VLOOKUP($A70,RA_result!$B$3:$N$62,4,0),"")</f>
        <v>1053550393.05383</v>
      </c>
      <c r="T70" s="60" t="n">
        <v>0.9</v>
      </c>
      <c r="U70" s="59" t="n">
        <f aca="false">IFERROR(IF(VLOOKUP($A70,RA_result!$B$3:$N$62,6,0)="",S70*T70,VLOOKUP($A70,RA_result!$B$3:$N$62,6,0)),"")</f>
        <v>948195353.748447</v>
      </c>
      <c r="V70" s="61" t="n">
        <v>1.3</v>
      </c>
      <c r="W70" s="62" t="n">
        <f aca="false">IFERROR((S70*30%)/V70,0)</f>
        <v>243127013.781653</v>
      </c>
      <c r="X70" s="63" t="n">
        <f aca="false">IFERROR(N70/W70,0)</f>
        <v>0</v>
      </c>
      <c r="Y70" s="68"/>
      <c r="Z70" s="57"/>
      <c r="AA70" s="69" t="str">
        <f aca="false">IF(OR(U70="",Y70="",Z70=""),"",IF(AND(U70&gt;Y70,-U70&lt;Z70),"Ok","Not Ok"))</f>
        <v/>
      </c>
      <c r="AB70" s="70"/>
    </row>
    <row r="71" customFormat="false" ht="12.8" hidden="false" customHeight="false" outlineLevel="0" collapsed="false">
      <c r="A71" s="48" t="str">
        <f aca="false">TB_audited!A54</f>
        <v>Taxes payable</v>
      </c>
      <c r="B71" s="49"/>
      <c r="C71" s="50"/>
      <c r="D71" s="51" t="n">
        <f aca="false">TB_audited!B54</f>
        <v>21701</v>
      </c>
      <c r="E71" s="52" t="str">
        <f aca="false">TB_audited!C54</f>
        <v>360/0030</v>
      </c>
      <c r="F71" s="53" t="str">
        <f aca="false">TB_audited!D54</f>
        <v>PPH PASAL 23 ( WITHOLDING TAX )</v>
      </c>
      <c r="G71" s="54" t="n">
        <f aca="false">IF($D$8="Interim",TB_audited!G54,TB_audited!E54)</f>
        <v>3085065</v>
      </c>
      <c r="H71" s="55" t="str">
        <f aca="false">IFERROR(VLOOKUP($A71,RA_result!$B$3:$N$62,11,0),"")</f>
        <v/>
      </c>
      <c r="I71" s="55" t="str">
        <f aca="false">IFERROR(VLOOKUP($A71,RA_result!$B$3:$N$62,12,0),"")</f>
        <v>Ya</v>
      </c>
      <c r="J71" s="55" t="str">
        <f aca="false">IFERROR(VLOOKUP($A71,RA_result!$B$3:$N$62,13,0),"")</f>
        <v>YE</v>
      </c>
      <c r="K71" s="56" t="s">
        <v>54</v>
      </c>
      <c r="L71" s="56" t="s">
        <v>53</v>
      </c>
      <c r="M71" s="57" t="n">
        <v>3085065</v>
      </c>
      <c r="N71" s="54" t="n">
        <f aca="false">G71-M71</f>
        <v>0</v>
      </c>
      <c r="O71" s="55" t="str">
        <f aca="false">IFERROR(VLOOKUP($A71,RA_result!$B$3:$N$62,7,0),"")</f>
        <v>M</v>
      </c>
      <c r="P71" s="52" t="str">
        <f aca="false">IFERROR(VLOOKUP($A71,RA_result!$B$3:$N$62,9,0),"")</f>
        <v>L</v>
      </c>
      <c r="Q71" s="52" t="str">
        <f aca="false">IFERROR(VLOOKUP($A71,RA_result!$B$3:$N$62,10,0),"")</f>
        <v/>
      </c>
      <c r="R71" s="58" t="s">
        <v>55</v>
      </c>
      <c r="S71" s="59" t="n">
        <f aca="false">IFERROR(VLOOKUP($A71,RA_result!$B$3:$N$62,4,0),"")</f>
        <v>1053550393.05383</v>
      </c>
      <c r="T71" s="60" t="n">
        <v>0.9</v>
      </c>
      <c r="U71" s="59" t="n">
        <f aca="false">IFERROR(IF(VLOOKUP($A71,RA_result!$B$3:$N$62,6,0)="",S71*T71,VLOOKUP($A71,RA_result!$B$3:$N$62,6,0)),"")</f>
        <v>294994110.055072</v>
      </c>
      <c r="V71" s="61" t="n">
        <v>1.3</v>
      </c>
      <c r="W71" s="62" t="n">
        <f aca="false">IFERROR((S71*30%)/V71,0)</f>
        <v>243127013.781653</v>
      </c>
      <c r="X71" s="63" t="n">
        <f aca="false">IFERROR(N71/W71,0)</f>
        <v>0</v>
      </c>
      <c r="Y71" s="68"/>
      <c r="Z71" s="57"/>
      <c r="AA71" s="69" t="str">
        <f aca="false">IF(OR(U71="",Y71="",Z71=""),"",IF(AND(U71&gt;Y71,-U71&lt;Z71),"Ok","Not Ok"))</f>
        <v/>
      </c>
      <c r="AB71" s="70"/>
    </row>
    <row r="72" customFormat="false" ht="12.8" hidden="false" customHeight="false" outlineLevel="0" collapsed="false">
      <c r="A72" s="48" t="str">
        <f aca="false">TB_audited!A55</f>
        <v>Taxes payable</v>
      </c>
      <c r="B72" s="49"/>
      <c r="C72" s="50"/>
      <c r="D72" s="51" t="n">
        <f aca="false">TB_audited!B55</f>
        <v>21702</v>
      </c>
      <c r="E72" s="52" t="str">
        <f aca="false">TB_audited!C55</f>
        <v>360/0040</v>
      </c>
      <c r="F72" s="53" t="str">
        <f aca="false">TB_audited!D55</f>
        <v>PPH PASAL 4 AYAT 2 KONSTRUKSI</v>
      </c>
      <c r="G72" s="54" t="n">
        <f aca="false">IF($D$8="Interim",TB_audited!G55,TB_audited!E55)</f>
        <v>-0</v>
      </c>
      <c r="H72" s="55" t="str">
        <f aca="false">IFERROR(VLOOKUP($A72,RA_result!$B$3:$N$62,11,0),"")</f>
        <v/>
      </c>
      <c r="I72" s="55" t="str">
        <f aca="false">IFERROR(VLOOKUP($A72,RA_result!$B$3:$N$62,12,0),"")</f>
        <v>Ya</v>
      </c>
      <c r="J72" s="55" t="str">
        <f aca="false">IFERROR(VLOOKUP($A72,RA_result!$B$3:$N$62,13,0),"")</f>
        <v>YE</v>
      </c>
      <c r="K72" s="56"/>
      <c r="L72" s="56"/>
      <c r="M72" s="57" t="n">
        <v>0</v>
      </c>
      <c r="N72" s="54" t="n">
        <f aca="false">G72-M72</f>
        <v>0</v>
      </c>
      <c r="O72" s="55" t="str">
        <f aca="false">IFERROR(VLOOKUP($A72,RA_result!$B$3:$N$62,7,0),"")</f>
        <v>M</v>
      </c>
      <c r="P72" s="52" t="str">
        <f aca="false">IFERROR(VLOOKUP($A72,RA_result!$B$3:$N$62,9,0),"")</f>
        <v>L</v>
      </c>
      <c r="Q72" s="52" t="str">
        <f aca="false">IFERROR(VLOOKUP($A72,RA_result!$B$3:$N$62,10,0),"")</f>
        <v/>
      </c>
      <c r="R72" s="58" t="s">
        <v>55</v>
      </c>
      <c r="S72" s="59" t="n">
        <f aca="false">IFERROR(VLOOKUP($A72,RA_result!$B$3:$N$62,4,0),"")</f>
        <v>1053550393.05383</v>
      </c>
      <c r="T72" s="60" t="n">
        <v>0.9</v>
      </c>
      <c r="U72" s="59" t="n">
        <f aca="false">IFERROR(IF(VLOOKUP($A72,RA_result!$B$3:$N$62,6,0)="",S72*T72,VLOOKUP($A72,RA_result!$B$3:$N$62,6,0)),"")</f>
        <v>294994110.055072</v>
      </c>
      <c r="V72" s="61" t="n">
        <v>1.3</v>
      </c>
      <c r="W72" s="62" t="n">
        <f aca="false">IFERROR((S72*30%)/V72,0)</f>
        <v>243127013.781653</v>
      </c>
      <c r="X72" s="63" t="n">
        <f aca="false">IFERROR(N72/W72,0)</f>
        <v>0</v>
      </c>
      <c r="Y72" s="68"/>
      <c r="Z72" s="57"/>
      <c r="AA72" s="69" t="str">
        <f aca="false">IF(OR(U72="",Y72="",Z72=""),"",IF(AND(U72&gt;Y72,-U72&lt;Z72),"Ok","Not Ok"))</f>
        <v/>
      </c>
      <c r="AB72" s="70"/>
    </row>
    <row r="73" customFormat="false" ht="12.8" hidden="false" customHeight="false" outlineLevel="0" collapsed="false">
      <c r="A73" s="48" t="str">
        <f aca="false">TB_audited!A56</f>
        <v>Taxes payable</v>
      </c>
      <c r="B73" s="49"/>
      <c r="C73" s="50"/>
      <c r="D73" s="51" t="n">
        <f aca="false">TB_audited!B56</f>
        <v>21703</v>
      </c>
      <c r="E73" s="52" t="str">
        <f aca="false">TB_audited!C56</f>
        <v>360/0050</v>
      </c>
      <c r="F73" s="53" t="str">
        <f aca="false">TB_audited!D56</f>
        <v>PPH PASAL 21</v>
      </c>
      <c r="G73" s="54" t="n">
        <f aca="false">IF($D$8="Interim",TB_audited!G56,TB_audited!E56)</f>
        <v>-0</v>
      </c>
      <c r="H73" s="55" t="str">
        <f aca="false">IFERROR(VLOOKUP($A73,RA_result!$B$3:$N$62,11,0),"")</f>
        <v/>
      </c>
      <c r="I73" s="55" t="str">
        <f aca="false">IFERROR(VLOOKUP($A73,RA_result!$B$3:$N$62,12,0),"")</f>
        <v>Ya</v>
      </c>
      <c r="J73" s="55" t="str">
        <f aca="false">IFERROR(VLOOKUP($A73,RA_result!$B$3:$N$62,13,0),"")</f>
        <v>YE</v>
      </c>
      <c r="K73" s="56"/>
      <c r="L73" s="56"/>
      <c r="M73" s="57" t="n">
        <v>0</v>
      </c>
      <c r="N73" s="54" t="n">
        <f aca="false">G73-M73</f>
        <v>0</v>
      </c>
      <c r="O73" s="55" t="str">
        <f aca="false">IFERROR(VLOOKUP($A73,RA_result!$B$3:$N$62,7,0),"")</f>
        <v>M</v>
      </c>
      <c r="P73" s="52" t="str">
        <f aca="false">IFERROR(VLOOKUP($A73,RA_result!$B$3:$N$62,9,0),"")</f>
        <v>L</v>
      </c>
      <c r="Q73" s="52" t="str">
        <f aca="false">IFERROR(VLOOKUP($A73,RA_result!$B$3:$N$62,10,0),"")</f>
        <v/>
      </c>
      <c r="R73" s="58" t="s">
        <v>55</v>
      </c>
      <c r="S73" s="59" t="n">
        <f aca="false">IFERROR(VLOOKUP($A73,RA_result!$B$3:$N$62,4,0),"")</f>
        <v>1053550393.05383</v>
      </c>
      <c r="T73" s="60" t="n">
        <v>0.9</v>
      </c>
      <c r="U73" s="59" t="n">
        <f aca="false">IFERROR(IF(VLOOKUP($A73,RA_result!$B$3:$N$62,6,0)="",S73*T73,VLOOKUP($A73,RA_result!$B$3:$N$62,6,0)),"")</f>
        <v>294994110.055072</v>
      </c>
      <c r="V73" s="61" t="n">
        <v>1.3</v>
      </c>
      <c r="W73" s="62" t="n">
        <f aca="false">IFERROR((S73*30%)/V73,0)</f>
        <v>243127013.781653</v>
      </c>
      <c r="X73" s="63" t="n">
        <f aca="false">IFERROR(N73/W73,0)</f>
        <v>0</v>
      </c>
      <c r="Y73" s="68"/>
      <c r="Z73" s="57"/>
      <c r="AA73" s="69" t="str">
        <f aca="false">IF(OR(U73="",Y73="",Z73=""),"",IF(AND(U73&gt;Y73,-U73&lt;Z73),"Ok","Not Ok"))</f>
        <v/>
      </c>
      <c r="AB73" s="70"/>
    </row>
    <row r="74" customFormat="false" ht="12.8" hidden="false" customHeight="false" outlineLevel="0" collapsed="false">
      <c r="A74" s="48" t="str">
        <f aca="false">TB_audited!A57</f>
        <v>Taxes payable</v>
      </c>
      <c r="B74" s="49"/>
      <c r="C74" s="50"/>
      <c r="D74" s="51" t="n">
        <f aca="false">TB_audited!B57</f>
        <v>21704</v>
      </c>
      <c r="E74" s="52" t="str">
        <f aca="false">TB_audited!C57</f>
        <v>360/0060</v>
      </c>
      <c r="F74" s="53" t="str">
        <f aca="false">TB_audited!D57</f>
        <v>PPH PASAL 29</v>
      </c>
      <c r="G74" s="54" t="n">
        <f aca="false">IF($D$8="Interim",TB_audited!G57,TB_audited!E57)</f>
        <v>-0</v>
      </c>
      <c r="H74" s="55" t="str">
        <f aca="false">IFERROR(VLOOKUP($A74,RA_result!$B$3:$N$62,11,0),"")</f>
        <v/>
      </c>
      <c r="I74" s="55" t="str">
        <f aca="false">IFERROR(VLOOKUP($A74,RA_result!$B$3:$N$62,12,0),"")</f>
        <v>Ya</v>
      </c>
      <c r="J74" s="55" t="str">
        <f aca="false">IFERROR(VLOOKUP($A74,RA_result!$B$3:$N$62,13,0),"")</f>
        <v>YE</v>
      </c>
      <c r="K74" s="56"/>
      <c r="L74" s="56"/>
      <c r="M74" s="57" t="n">
        <v>0</v>
      </c>
      <c r="N74" s="54" t="n">
        <f aca="false">G74-M74</f>
        <v>0</v>
      </c>
      <c r="O74" s="55" t="str">
        <f aca="false">IFERROR(VLOOKUP($A74,RA_result!$B$3:$N$62,7,0),"")</f>
        <v>M</v>
      </c>
      <c r="P74" s="52" t="str">
        <f aca="false">IFERROR(VLOOKUP($A74,RA_result!$B$3:$N$62,9,0),"")</f>
        <v>L</v>
      </c>
      <c r="Q74" s="52" t="str">
        <f aca="false">IFERROR(VLOOKUP($A74,RA_result!$B$3:$N$62,10,0),"")</f>
        <v/>
      </c>
      <c r="R74" s="58" t="s">
        <v>55</v>
      </c>
      <c r="S74" s="59" t="n">
        <f aca="false">IFERROR(VLOOKUP($A74,RA_result!$B$3:$N$62,4,0),"")</f>
        <v>1053550393.05383</v>
      </c>
      <c r="T74" s="60" t="n">
        <v>0.9</v>
      </c>
      <c r="U74" s="59" t="n">
        <f aca="false">IFERROR(IF(VLOOKUP($A74,RA_result!$B$3:$N$62,6,0)="",S74*T74,VLOOKUP($A74,RA_result!$B$3:$N$62,6,0)),"")</f>
        <v>294994110.055072</v>
      </c>
      <c r="V74" s="61" t="n">
        <v>1.3</v>
      </c>
      <c r="W74" s="62" t="n">
        <f aca="false">IFERROR((S74*30%)/V74,0)</f>
        <v>243127013.781653</v>
      </c>
      <c r="X74" s="63" t="n">
        <f aca="false">IFERROR(N74/W74,0)</f>
        <v>0</v>
      </c>
      <c r="Y74" s="68"/>
      <c r="Z74" s="57"/>
      <c r="AA74" s="69" t="str">
        <f aca="false">IF(OR(U74="",Y74="",Z74=""),"",IF(AND(U74&gt;Y74,-U74&lt;Z74),"Ok","Not Ok"))</f>
        <v/>
      </c>
      <c r="AB74" s="70"/>
    </row>
    <row r="75" customFormat="false" ht="12.8" hidden="false" customHeight="false" outlineLevel="0" collapsed="false">
      <c r="A75" s="48" t="str">
        <f aca="false">TB_audited!A58</f>
        <v>Taxes payable</v>
      </c>
      <c r="B75" s="49"/>
      <c r="C75" s="50"/>
      <c r="D75" s="51" t="n">
        <f aca="false">TB_audited!B58</f>
        <v>21705</v>
      </c>
      <c r="E75" s="52" t="str">
        <f aca="false">TB_audited!C58</f>
        <v>360/0070</v>
      </c>
      <c r="F75" s="53" t="str">
        <f aca="false">TB_audited!D58</f>
        <v>PPH PASAL 25</v>
      </c>
      <c r="G75" s="54" t="n">
        <f aca="false">IF($D$8="Interim",TB_audited!G58,TB_audited!E58)</f>
        <v>402433766</v>
      </c>
      <c r="H75" s="55" t="str">
        <f aca="false">IFERROR(VLOOKUP($A75,RA_result!$B$3:$N$62,11,0),"")</f>
        <v/>
      </c>
      <c r="I75" s="55" t="str">
        <f aca="false">IFERROR(VLOOKUP($A75,RA_result!$B$3:$N$62,12,0),"")</f>
        <v>Ya</v>
      </c>
      <c r="J75" s="55" t="str">
        <f aca="false">IFERROR(VLOOKUP($A75,RA_result!$B$3:$N$62,13,0),"")</f>
        <v>YE</v>
      </c>
      <c r="K75" s="56" t="s">
        <v>54</v>
      </c>
      <c r="L75" s="56" t="s">
        <v>53</v>
      </c>
      <c r="M75" s="57" t="n">
        <v>402433766</v>
      </c>
      <c r="N75" s="54" t="n">
        <f aca="false">G75-M75</f>
        <v>0</v>
      </c>
      <c r="O75" s="55" t="str">
        <f aca="false">IFERROR(VLOOKUP($A75,RA_result!$B$3:$N$62,7,0),"")</f>
        <v>M</v>
      </c>
      <c r="P75" s="52" t="str">
        <f aca="false">IFERROR(VLOOKUP($A75,RA_result!$B$3:$N$62,9,0),"")</f>
        <v>L</v>
      </c>
      <c r="Q75" s="52" t="str">
        <f aca="false">IFERROR(VLOOKUP($A75,RA_result!$B$3:$N$62,10,0),"")</f>
        <v/>
      </c>
      <c r="R75" s="58" t="s">
        <v>55</v>
      </c>
      <c r="S75" s="59" t="n">
        <f aca="false">IFERROR(VLOOKUP($A75,RA_result!$B$3:$N$62,4,0),"")</f>
        <v>1053550393.05383</v>
      </c>
      <c r="T75" s="60" t="n">
        <v>0.9</v>
      </c>
      <c r="U75" s="59" t="n">
        <f aca="false">IFERROR(IF(VLOOKUP($A75,RA_result!$B$3:$N$62,6,0)="",S75*T75,VLOOKUP($A75,RA_result!$B$3:$N$62,6,0)),"")</f>
        <v>294994110.055072</v>
      </c>
      <c r="V75" s="61" t="n">
        <v>1.3</v>
      </c>
      <c r="W75" s="62" t="n">
        <f aca="false">IFERROR((S75*30%)/V75,0)</f>
        <v>243127013.781653</v>
      </c>
      <c r="X75" s="63" t="n">
        <f aca="false">IFERROR(N75/W75,0)</f>
        <v>0</v>
      </c>
      <c r="Y75" s="68"/>
      <c r="Z75" s="57"/>
      <c r="AA75" s="69" t="str">
        <f aca="false">IF(OR(U75="",Y75="",Z75=""),"",IF(AND(U75&gt;Y75,-U75&lt;Z75),"Ok","Not Ok"))</f>
        <v/>
      </c>
      <c r="AB75" s="70"/>
    </row>
    <row r="76" customFormat="false" ht="12.8" hidden="false" customHeight="false" outlineLevel="0" collapsed="false">
      <c r="A76" s="48" t="str">
        <f aca="false">TB_audited!A59</f>
        <v>Taxes payable</v>
      </c>
      <c r="B76" s="49"/>
      <c r="C76" s="50"/>
      <c r="D76" s="51" t="n">
        <f aca="false">TB_audited!B59</f>
        <v>21706</v>
      </c>
      <c r="E76" s="52" t="str">
        <f aca="false">TB_audited!C59</f>
        <v>360/0080</v>
      </c>
      <c r="F76" s="53" t="str">
        <f aca="false">TB_audited!D59</f>
        <v>VAT ( OUT VS IN )</v>
      </c>
      <c r="G76" s="54" t="n">
        <f aca="false">IF($D$8="Interim",TB_audited!G59,TB_audited!E59)</f>
        <v>95663390</v>
      </c>
      <c r="H76" s="55" t="str">
        <f aca="false">IFERROR(VLOOKUP($A76,RA_result!$B$3:$N$62,11,0),"")</f>
        <v/>
      </c>
      <c r="I76" s="55" t="str">
        <f aca="false">IFERROR(VLOOKUP($A76,RA_result!$B$3:$N$62,12,0),"")</f>
        <v>Ya</v>
      </c>
      <c r="J76" s="55" t="str">
        <f aca="false">IFERROR(VLOOKUP($A76,RA_result!$B$3:$N$62,13,0),"")</f>
        <v>YE</v>
      </c>
      <c r="K76" s="56" t="s">
        <v>54</v>
      </c>
      <c r="L76" s="56" t="s">
        <v>53</v>
      </c>
      <c r="M76" s="57" t="n">
        <v>95663390</v>
      </c>
      <c r="N76" s="54" t="n">
        <f aca="false">G76-M76</f>
        <v>0</v>
      </c>
      <c r="O76" s="55" t="str">
        <f aca="false">IFERROR(VLOOKUP($A76,RA_result!$B$3:$N$62,7,0),"")</f>
        <v>M</v>
      </c>
      <c r="P76" s="52" t="str">
        <f aca="false">IFERROR(VLOOKUP($A76,RA_result!$B$3:$N$62,9,0),"")</f>
        <v>L</v>
      </c>
      <c r="Q76" s="52" t="str">
        <f aca="false">IFERROR(VLOOKUP($A76,RA_result!$B$3:$N$62,10,0),"")</f>
        <v/>
      </c>
      <c r="R76" s="58" t="s">
        <v>55</v>
      </c>
      <c r="S76" s="59" t="n">
        <f aca="false">IFERROR(VLOOKUP($A76,RA_result!$B$3:$N$62,4,0),"")</f>
        <v>1053550393.05383</v>
      </c>
      <c r="T76" s="60" t="n">
        <v>0.9</v>
      </c>
      <c r="U76" s="59" t="n">
        <f aca="false">IFERROR(IF(VLOOKUP($A76,RA_result!$B$3:$N$62,6,0)="",S76*T76,VLOOKUP($A76,RA_result!$B$3:$N$62,6,0)),"")</f>
        <v>294994110.055072</v>
      </c>
      <c r="V76" s="61" t="n">
        <v>1.3</v>
      </c>
      <c r="W76" s="62" t="n">
        <f aca="false">IFERROR((S76*30%)/V76,0)</f>
        <v>243127013.781653</v>
      </c>
      <c r="X76" s="63" t="n">
        <f aca="false">IFERROR(N76/W76,0)</f>
        <v>0</v>
      </c>
      <c r="Y76" s="68"/>
      <c r="Z76" s="57"/>
      <c r="AA76" s="69" t="str">
        <f aca="false">IF(OR(U76="",Y76="",Z76=""),"",IF(AND(U76&gt;Y76,-U76&lt;Z76),"Ok","Not Ok"))</f>
        <v/>
      </c>
      <c r="AB76" s="70"/>
    </row>
    <row r="77" customFormat="false" ht="12.8" hidden="false" customHeight="false" outlineLevel="0" collapsed="false">
      <c r="A77" s="48" t="str">
        <f aca="false">TB_audited!A60</f>
        <v>Share capital</v>
      </c>
      <c r="B77" s="49"/>
      <c r="C77" s="50"/>
      <c r="D77" s="51" t="n">
        <f aca="false">TB_audited!B60</f>
        <v>31101</v>
      </c>
      <c r="E77" s="52" t="str">
        <f aca="false">TB_audited!C60</f>
        <v>400/0000</v>
      </c>
      <c r="F77" s="53" t="str">
        <f aca="false">TB_audited!D60</f>
        <v>CAPITAL</v>
      </c>
      <c r="G77" s="54" t="n">
        <f aca="false">IF($D$8="Interim",TB_audited!G60,TB_audited!E60)</f>
        <v>10500000000</v>
      </c>
      <c r="H77" s="55" t="str">
        <f aca="false">IFERROR(VLOOKUP($A77,RA_result!$B$3:$N$62,11,0),"")</f>
        <v/>
      </c>
      <c r="I77" s="55" t="str">
        <f aca="false">IFERROR(VLOOKUP($A77,RA_result!$B$3:$N$62,12,0),"")</f>
        <v>Ya</v>
      </c>
      <c r="J77" s="55" t="str">
        <f aca="false">IFERROR(VLOOKUP($A77,RA_result!$B$3:$N$62,13,0),"")</f>
        <v>YE</v>
      </c>
      <c r="K77" s="56" t="s">
        <v>54</v>
      </c>
      <c r="L77" s="56" t="s">
        <v>53</v>
      </c>
      <c r="M77" s="57" t="n">
        <v>10500000000</v>
      </c>
      <c r="N77" s="54" t="n">
        <f aca="false">G77-M77</f>
        <v>0</v>
      </c>
      <c r="O77" s="55" t="str">
        <f aca="false">IFERROR(VLOOKUP($A77,RA_result!$B$3:$N$62,7,0),"")</f>
        <v>M</v>
      </c>
      <c r="P77" s="52" t="str">
        <f aca="false">IFERROR(VLOOKUP($A77,RA_result!$B$3:$N$62,9,0),"")</f>
        <v>L</v>
      </c>
      <c r="Q77" s="52" t="str">
        <f aca="false">IFERROR(VLOOKUP($A77,RA_result!$B$3:$N$62,10,0),"")</f>
        <v/>
      </c>
      <c r="R77" s="58" t="s">
        <v>55</v>
      </c>
      <c r="S77" s="59" t="n">
        <f aca="false">IFERROR(VLOOKUP($A77,RA_result!$B$3:$N$62,4,0),"")</f>
        <v>1053550393.05383</v>
      </c>
      <c r="T77" s="60" t="n">
        <v>0.9</v>
      </c>
      <c r="U77" s="59" t="n">
        <f aca="false">IFERROR(IF(VLOOKUP($A77,RA_result!$B$3:$N$62,6,0)="",S77*T77,VLOOKUP($A77,RA_result!$B$3:$N$62,6,0)),"")</f>
        <v>948195353.748447</v>
      </c>
      <c r="V77" s="61" t="n">
        <v>1.3</v>
      </c>
      <c r="W77" s="62" t="n">
        <f aca="false">IFERROR((S77*30%)/V77,0)</f>
        <v>243127013.781653</v>
      </c>
      <c r="X77" s="63" t="n">
        <f aca="false">IFERROR(N77/W77,0)</f>
        <v>0</v>
      </c>
      <c r="Y77" s="68"/>
      <c r="Z77" s="57"/>
      <c r="AA77" s="69" t="str">
        <f aca="false">IF(OR(U77="",Y77="",Z77=""),"",IF(AND(U77&gt;Y77,-U77&lt;Z77),"Ok","Not Ok"))</f>
        <v/>
      </c>
      <c r="AB77" s="70"/>
    </row>
    <row r="78" customFormat="false" ht="12.8" hidden="false" customHeight="false" outlineLevel="0" collapsed="false">
      <c r="A78" s="48" t="str">
        <f aca="false">TB_audited!A61</f>
        <v>Retained earnings – unappropriated</v>
      </c>
      <c r="B78" s="49"/>
      <c r="C78" s="50"/>
      <c r="D78" s="51" t="n">
        <f aca="false">TB_audited!B61</f>
        <v>33201</v>
      </c>
      <c r="E78" s="52" t="str">
        <f aca="false">TB_audited!C61</f>
        <v>410/0000</v>
      </c>
      <c r="F78" s="53" t="str">
        <f aca="false">TB_audited!D61</f>
        <v>RETAINED EARNINGS</v>
      </c>
      <c r="G78" s="54" t="n">
        <f aca="false">IF($D$8="Interim",TB_audited!G61,TB_audited!E61)</f>
        <v>31480858157</v>
      </c>
      <c r="H78" s="55" t="str">
        <f aca="false">IFERROR(VLOOKUP($A78,RA_result!$B$3:$N$62,11,0),"")</f>
        <v/>
      </c>
      <c r="I78" s="55" t="str">
        <f aca="false">IFERROR(VLOOKUP($A78,RA_result!$B$3:$N$62,12,0),"")</f>
        <v>Ya</v>
      </c>
      <c r="J78" s="55" t="str">
        <f aca="false">IFERROR(VLOOKUP($A78,RA_result!$B$3:$N$62,13,0),"")</f>
        <v>YE</v>
      </c>
      <c r="K78" s="56" t="s">
        <v>54</v>
      </c>
      <c r="L78" s="56" t="s">
        <v>53</v>
      </c>
      <c r="M78" s="57" t="n">
        <v>31480858157</v>
      </c>
      <c r="N78" s="54" t="n">
        <f aca="false">G78-M78</f>
        <v>0</v>
      </c>
      <c r="O78" s="55" t="str">
        <f aca="false">IFERROR(VLOOKUP($A78,RA_result!$B$3:$N$62,7,0),"")</f>
        <v>M</v>
      </c>
      <c r="P78" s="52" t="str">
        <f aca="false">IFERROR(VLOOKUP($A78,RA_result!$B$3:$N$62,9,0),"")</f>
        <v>L</v>
      </c>
      <c r="Q78" s="52" t="str">
        <f aca="false">IFERROR(VLOOKUP($A78,RA_result!$B$3:$N$62,10,0),"")</f>
        <v/>
      </c>
      <c r="R78" s="58" t="s">
        <v>55</v>
      </c>
      <c r="S78" s="59" t="n">
        <f aca="false">IFERROR(VLOOKUP($A78,RA_result!$B$3:$N$62,4,0),"")</f>
        <v>1053550393.05383</v>
      </c>
      <c r="T78" s="60" t="n">
        <v>0.9</v>
      </c>
      <c r="U78" s="59" t="n">
        <f aca="false">IFERROR(IF(VLOOKUP($A78,RA_result!$B$3:$N$62,6,0)="",S78*T78,VLOOKUP($A78,RA_result!$B$3:$N$62,6,0)),"")</f>
        <v>948195353.748447</v>
      </c>
      <c r="V78" s="61" t="n">
        <v>1.3</v>
      </c>
      <c r="W78" s="62" t="n">
        <f aca="false">IFERROR((S78*30%)/V78,0)</f>
        <v>243127013.781653</v>
      </c>
      <c r="X78" s="63" t="n">
        <f aca="false">IFERROR(N78/W78,0)</f>
        <v>0</v>
      </c>
      <c r="Y78" s="68"/>
      <c r="Z78" s="57"/>
      <c r="AA78" s="69" t="str">
        <f aca="false">IF(OR(U78="",Y78="",Z78=""),"",IF(AND(U78&gt;Y78,-U78&lt;Z78),"Ok","Not Ok"))</f>
        <v/>
      </c>
      <c r="AB78" s="70"/>
    </row>
    <row r="79" customFormat="false" ht="12.8" hidden="false" customHeight="false" outlineLevel="0" collapsed="false">
      <c r="A79" s="48" t="str">
        <f aca="false">TB_audited!A62</f>
        <v>Revenue</v>
      </c>
      <c r="B79" s="49"/>
      <c r="C79" s="50"/>
      <c r="D79" s="51" t="n">
        <f aca="false">TB_audited!B62</f>
        <v>41101</v>
      </c>
      <c r="E79" s="52" t="str">
        <f aca="false">TB_audited!C62</f>
        <v>500/0010</v>
      </c>
      <c r="F79" s="53" t="str">
        <f aca="false">TB_audited!D62</f>
        <v>SALES-PROJECT, ECT</v>
      </c>
      <c r="G79" s="54" t="n">
        <f aca="false">IF($D$8="Interim",TB_audited!G62,TB_audited!E62)</f>
        <v>4390382740</v>
      </c>
      <c r="H79" s="55" t="str">
        <f aca="false">IFERROR(VLOOKUP($A79,RA_result!$B$3:$N$62,11,0),"")</f>
        <v/>
      </c>
      <c r="I79" s="55" t="str">
        <f aca="false">IFERROR(VLOOKUP($A79,RA_result!$B$3:$N$62,12,0),"")</f>
        <v>Ya</v>
      </c>
      <c r="J79" s="55" t="str">
        <f aca="false">IFERROR(VLOOKUP($A79,RA_result!$B$3:$N$62,13,0),"")</f>
        <v>YE</v>
      </c>
      <c r="K79" s="56" t="s">
        <v>54</v>
      </c>
      <c r="L79" s="56" t="s">
        <v>53</v>
      </c>
      <c r="M79" s="57" t="n">
        <v>4390382740</v>
      </c>
      <c r="N79" s="54" t="n">
        <f aca="false">G79-M79</f>
        <v>0</v>
      </c>
      <c r="O79" s="55" t="str">
        <f aca="false">IFERROR(VLOOKUP($A79,RA_result!$B$3:$N$62,7,0),"")</f>
        <v>M</v>
      </c>
      <c r="P79" s="52" t="str">
        <f aca="false">IFERROR(VLOOKUP($A79,RA_result!$B$3:$N$62,9,0),"")</f>
        <v>H</v>
      </c>
      <c r="Q79" s="52" t="str">
        <f aca="false">IFERROR(VLOOKUP($A79,RA_result!$B$3:$N$62,10,0),"")</f>
        <v/>
      </c>
      <c r="R79" s="58" t="s">
        <v>55</v>
      </c>
      <c r="S79" s="59" t="n">
        <f aca="false">IFERROR(VLOOKUP($A79,RA_result!$B$3:$N$62,4,0),"")</f>
        <v>1053550393.05383</v>
      </c>
      <c r="T79" s="60" t="n">
        <v>0.9</v>
      </c>
      <c r="U79" s="59" t="n">
        <f aca="false">IFERROR(IF(VLOOKUP($A79,RA_result!$B$3:$N$62,6,0)="",S79*T79,VLOOKUP($A79,RA_result!$B$3:$N$62,6,0)),"")</f>
        <v>948195353.748447</v>
      </c>
      <c r="V79" s="61" t="n">
        <v>1.6</v>
      </c>
      <c r="W79" s="62" t="n">
        <f aca="false">IFERROR((S79*30%)/V79,0)</f>
        <v>197540698.697593</v>
      </c>
      <c r="X79" s="63" t="n">
        <f aca="false">IFERROR(N79/W79,0)</f>
        <v>0</v>
      </c>
      <c r="Y79" s="68"/>
      <c r="Z79" s="57"/>
      <c r="AA79" s="69" t="str">
        <f aca="false">IF(OR(U79="",Y79="",Z79=""),"",IF(AND(U79&gt;Y79,-U79&lt;Z79),"Ok","Not Ok"))</f>
        <v/>
      </c>
      <c r="AB79" s="70"/>
    </row>
    <row r="80" customFormat="false" ht="12.8" hidden="false" customHeight="false" outlineLevel="0" collapsed="false">
      <c r="A80" s="48" t="str">
        <f aca="false">TB_audited!A63</f>
        <v>Revenue</v>
      </c>
      <c r="B80" s="49"/>
      <c r="C80" s="50"/>
      <c r="D80" s="51" t="n">
        <f aca="false">TB_audited!B63</f>
        <v>41102</v>
      </c>
      <c r="E80" s="52" t="str">
        <f aca="false">TB_audited!C63</f>
        <v>500/0020</v>
      </c>
      <c r="F80" s="53" t="str">
        <f aca="false">TB_audited!D63</f>
        <v>SALES-SPAREPARTS</v>
      </c>
      <c r="G80" s="54" t="n">
        <f aca="false">IF($D$8="Interim",TB_audited!G63,TB_audited!E63)</f>
        <v>59146640207.6</v>
      </c>
      <c r="H80" s="55" t="str">
        <f aca="false">IFERROR(VLOOKUP($A80,RA_result!$B$3:$N$62,11,0),"")</f>
        <v/>
      </c>
      <c r="I80" s="55" t="str">
        <f aca="false">IFERROR(VLOOKUP($A80,RA_result!$B$3:$N$62,12,0),"")</f>
        <v>Ya</v>
      </c>
      <c r="J80" s="55" t="str">
        <f aca="false">IFERROR(VLOOKUP($A80,RA_result!$B$3:$N$62,13,0),"")</f>
        <v>YE</v>
      </c>
      <c r="K80" s="56" t="s">
        <v>53</v>
      </c>
      <c r="L80" s="56" t="s">
        <v>54</v>
      </c>
      <c r="M80" s="57" t="n">
        <v>10030951679.8</v>
      </c>
      <c r="N80" s="54" t="n">
        <f aca="false">G80-M80</f>
        <v>49115688527.8</v>
      </c>
      <c r="O80" s="55" t="str">
        <f aca="false">IFERROR(VLOOKUP($A80,RA_result!$B$3:$N$62,7,0),"")</f>
        <v>M</v>
      </c>
      <c r="P80" s="52" t="str">
        <f aca="false">IFERROR(VLOOKUP($A80,RA_result!$B$3:$N$62,9,0),"")</f>
        <v>H</v>
      </c>
      <c r="Q80" s="52" t="str">
        <f aca="false">IFERROR(VLOOKUP($A80,RA_result!$B$3:$N$62,10,0),"")</f>
        <v/>
      </c>
      <c r="R80" s="58" t="s">
        <v>55</v>
      </c>
      <c r="S80" s="59" t="n">
        <f aca="false">IFERROR(VLOOKUP($A80,RA_result!$B$3:$N$62,4,0),"")</f>
        <v>1053550393.05383</v>
      </c>
      <c r="T80" s="60" t="n">
        <v>0.9</v>
      </c>
      <c r="U80" s="59" t="n">
        <f aca="false">IFERROR(IF(VLOOKUP($A80,RA_result!$B$3:$N$62,6,0)="",S80*T80,VLOOKUP($A80,RA_result!$B$3:$N$62,6,0)),"")</f>
        <v>948195353.748447</v>
      </c>
      <c r="V80" s="61" t="n">
        <v>1.9</v>
      </c>
      <c r="W80" s="62" t="n">
        <f aca="false">IFERROR((S80*30%)/V80,0)</f>
        <v>166350062.061131</v>
      </c>
      <c r="X80" s="63" t="n">
        <f aca="false">IFERROR(N80/W80,0)</f>
        <v>295.255005734538</v>
      </c>
      <c r="Y80" s="68" t="n">
        <v>687619639.38584</v>
      </c>
      <c r="Z80" s="57" t="n">
        <v>-687619639.38584</v>
      </c>
      <c r="AA80" s="69" t="str">
        <f aca="false">IF(OR(U80="",Y80="",Z80=""),"",IF(AND(U80&gt;Y80,-U80&lt;Z80),"Ok","Not Ok"))</f>
        <v>Ok</v>
      </c>
      <c r="AB80" s="70"/>
    </row>
    <row r="81" customFormat="false" ht="12.8" hidden="false" customHeight="false" outlineLevel="0" collapsed="false">
      <c r="A81" s="48" t="str">
        <f aca="false">TB_audited!A64</f>
        <v>Revenue</v>
      </c>
      <c r="B81" s="49"/>
      <c r="C81" s="50"/>
      <c r="D81" s="51" t="n">
        <f aca="false">TB_audited!B64</f>
        <v>41103</v>
      </c>
      <c r="E81" s="52" t="str">
        <f aca="false">TB_audited!C64</f>
        <v>500/0030</v>
      </c>
      <c r="F81" s="53" t="str">
        <f aca="false">TB_audited!D64</f>
        <v>SALES-MACHINE</v>
      </c>
      <c r="G81" s="54" t="n">
        <f aca="false">IF($D$8="Interim",TB_audited!G64,TB_audited!E64)</f>
        <v>17703000000</v>
      </c>
      <c r="H81" s="55" t="str">
        <f aca="false">IFERROR(VLOOKUP($A81,RA_result!$B$3:$N$62,11,0),"")</f>
        <v/>
      </c>
      <c r="I81" s="55" t="str">
        <f aca="false">IFERROR(VLOOKUP($A81,RA_result!$B$3:$N$62,12,0),"")</f>
        <v>Ya</v>
      </c>
      <c r="J81" s="55" t="str">
        <f aca="false">IFERROR(VLOOKUP($A81,RA_result!$B$3:$N$62,13,0),"")</f>
        <v>YE</v>
      </c>
      <c r="K81" s="56" t="s">
        <v>54</v>
      </c>
      <c r="L81" s="56" t="s">
        <v>53</v>
      </c>
      <c r="M81" s="57" t="n">
        <v>17703000000</v>
      </c>
      <c r="N81" s="54" t="n">
        <f aca="false">G81-M81</f>
        <v>0</v>
      </c>
      <c r="O81" s="55" t="str">
        <f aca="false">IFERROR(VLOOKUP($A81,RA_result!$B$3:$N$62,7,0),"")</f>
        <v>M</v>
      </c>
      <c r="P81" s="52" t="str">
        <f aca="false">IFERROR(VLOOKUP($A81,RA_result!$B$3:$N$62,9,0),"")</f>
        <v>H</v>
      </c>
      <c r="Q81" s="52" t="str">
        <f aca="false">IFERROR(VLOOKUP($A81,RA_result!$B$3:$N$62,10,0),"")</f>
        <v/>
      </c>
      <c r="R81" s="58" t="s">
        <v>55</v>
      </c>
      <c r="S81" s="59" t="n">
        <f aca="false">IFERROR(VLOOKUP($A81,RA_result!$B$3:$N$62,4,0),"")</f>
        <v>1053550393.05383</v>
      </c>
      <c r="T81" s="60" t="n">
        <v>0.9</v>
      </c>
      <c r="U81" s="59" t="n">
        <f aca="false">IFERROR(IF(VLOOKUP($A81,RA_result!$B$3:$N$62,6,0)="",S81*T81,VLOOKUP($A81,RA_result!$B$3:$N$62,6,0)),"")</f>
        <v>948195353.748447</v>
      </c>
      <c r="V81" s="61" t="n">
        <v>1.6</v>
      </c>
      <c r="W81" s="62" t="n">
        <f aca="false">IFERROR((S81*30%)/V81,0)</f>
        <v>197540698.697593</v>
      </c>
      <c r="X81" s="63" t="n">
        <f aca="false">IFERROR(N81/W81,0)</f>
        <v>0</v>
      </c>
      <c r="Y81" s="68"/>
      <c r="Z81" s="57"/>
      <c r="AA81" s="69" t="str">
        <f aca="false">IF(OR(U81="",Y81="",Z81=""),"",IF(AND(U81&gt;Y81,-U81&lt;Z81),"Ok","Not Ok"))</f>
        <v/>
      </c>
      <c r="AB81" s="70"/>
    </row>
    <row r="82" customFormat="false" ht="12.8" hidden="false" customHeight="false" outlineLevel="0" collapsed="false">
      <c r="A82" s="48" t="str">
        <f aca="false">TB_audited!A65</f>
        <v>Revenue</v>
      </c>
      <c r="B82" s="49"/>
      <c r="C82" s="50"/>
      <c r="D82" s="51" t="n">
        <f aca="false">TB_audited!B65</f>
        <v>41104</v>
      </c>
      <c r="E82" s="52" t="str">
        <f aca="false">TB_audited!C65</f>
        <v>500/0041</v>
      </c>
      <c r="F82" s="53" t="str">
        <f aca="false">TB_audited!D65</f>
        <v>SALES-SERVICES AND MAINTENANCE</v>
      </c>
      <c r="G82" s="54" t="n">
        <f aca="false">IF($D$8="Interim",TB_audited!G65,TB_audited!E65)</f>
        <v>2193044276</v>
      </c>
      <c r="H82" s="55" t="str">
        <f aca="false">IFERROR(VLOOKUP($A82,RA_result!$B$3:$N$62,11,0),"")</f>
        <v/>
      </c>
      <c r="I82" s="55" t="str">
        <f aca="false">IFERROR(VLOOKUP($A82,RA_result!$B$3:$N$62,12,0),"")</f>
        <v>Ya</v>
      </c>
      <c r="J82" s="55" t="str">
        <f aca="false">IFERROR(VLOOKUP($A82,RA_result!$B$3:$N$62,13,0),"")</f>
        <v>YE</v>
      </c>
      <c r="K82" s="56" t="s">
        <v>53</v>
      </c>
      <c r="L82" s="56" t="s">
        <v>54</v>
      </c>
      <c r="M82" s="57" t="n">
        <v>1242662000</v>
      </c>
      <c r="N82" s="54" t="n">
        <f aca="false">G82-M82</f>
        <v>950382276</v>
      </c>
      <c r="O82" s="55" t="str">
        <f aca="false">IFERROR(VLOOKUP($A82,RA_result!$B$3:$N$62,7,0),"")</f>
        <v>M</v>
      </c>
      <c r="P82" s="52" t="str">
        <f aca="false">IFERROR(VLOOKUP($A82,RA_result!$B$3:$N$62,9,0),"")</f>
        <v>H</v>
      </c>
      <c r="Q82" s="52" t="str">
        <f aca="false">IFERROR(VLOOKUP($A82,RA_result!$B$3:$N$62,10,0),"")</f>
        <v/>
      </c>
      <c r="R82" s="58" t="s">
        <v>55</v>
      </c>
      <c r="S82" s="59" t="n">
        <f aca="false">IFERROR(VLOOKUP($A82,RA_result!$B$3:$N$62,4,0),"")</f>
        <v>1053550393.05383</v>
      </c>
      <c r="T82" s="60" t="n">
        <v>0.9</v>
      </c>
      <c r="U82" s="59" t="n">
        <f aca="false">IFERROR(IF(VLOOKUP($A82,RA_result!$B$3:$N$62,6,0)="",S82*T82,VLOOKUP($A82,RA_result!$B$3:$N$62,6,0)),"")</f>
        <v>948195353.748447</v>
      </c>
      <c r="V82" s="61" t="n">
        <v>1.9</v>
      </c>
      <c r="W82" s="62" t="n">
        <f aca="false">IFERROR((S82*30%)/V82,0)</f>
        <v>166350062.061131</v>
      </c>
      <c r="X82" s="63" t="n">
        <f aca="false">IFERROR(N82/W82,0)</f>
        <v>5.71314650697725</v>
      </c>
      <c r="Y82" s="68" t="n">
        <v>103591668.084</v>
      </c>
      <c r="Z82" s="57" t="n">
        <v>-103591668.084</v>
      </c>
      <c r="AA82" s="69" t="str">
        <f aca="false">IF(OR(U82="",Y82="",Z82=""),"",IF(AND(U82&gt;Y82,-U82&lt;Z82),"Ok","Not Ok"))</f>
        <v>Ok</v>
      </c>
      <c r="AB82" s="70"/>
    </row>
    <row r="83" customFormat="false" ht="12.8" hidden="false" customHeight="false" outlineLevel="0" collapsed="false">
      <c r="A83" s="48" t="str">
        <f aca="false">TB_audited!A66</f>
        <v>Revenue</v>
      </c>
      <c r="B83" s="49"/>
      <c r="C83" s="50"/>
      <c r="D83" s="51" t="n">
        <f aca="false">TB_audited!B66</f>
        <v>41105</v>
      </c>
      <c r="E83" s="52" t="str">
        <f aca="false">TB_audited!C66</f>
        <v>560/0000</v>
      </c>
      <c r="F83" s="53" t="str">
        <f aca="false">TB_audited!D66</f>
        <v>RETURN OUTWARDS (SALES RETURN)</v>
      </c>
      <c r="G83" s="54" t="n">
        <f aca="false">IF($D$8="Interim",TB_audited!G66,TB_audited!E66)</f>
        <v>-15500000</v>
      </c>
      <c r="H83" s="55" t="str">
        <f aca="false">IFERROR(VLOOKUP($A83,RA_result!$B$3:$N$62,11,0),"")</f>
        <v/>
      </c>
      <c r="I83" s="55" t="str">
        <f aca="false">IFERROR(VLOOKUP($A83,RA_result!$B$3:$N$62,12,0),"")</f>
        <v>Ya</v>
      </c>
      <c r="J83" s="55" t="str">
        <f aca="false">IFERROR(VLOOKUP($A83,RA_result!$B$3:$N$62,13,0),"")</f>
        <v>YE</v>
      </c>
      <c r="K83" s="56" t="s">
        <v>54</v>
      </c>
      <c r="L83" s="56" t="s">
        <v>53</v>
      </c>
      <c r="M83" s="57" t="n">
        <v>-15500000</v>
      </c>
      <c r="N83" s="54" t="n">
        <f aca="false">G83-M83</f>
        <v>0</v>
      </c>
      <c r="O83" s="55" t="str">
        <f aca="false">IFERROR(VLOOKUP($A83,RA_result!$B$3:$N$62,7,0),"")</f>
        <v>M</v>
      </c>
      <c r="P83" s="52" t="str">
        <f aca="false">IFERROR(VLOOKUP($A83,RA_result!$B$3:$N$62,9,0),"")</f>
        <v>H</v>
      </c>
      <c r="Q83" s="52" t="str">
        <f aca="false">IFERROR(VLOOKUP($A83,RA_result!$B$3:$N$62,10,0),"")</f>
        <v/>
      </c>
      <c r="R83" s="58" t="s">
        <v>55</v>
      </c>
      <c r="S83" s="59" t="n">
        <f aca="false">IFERROR(VLOOKUP($A83,RA_result!$B$3:$N$62,4,0),"")</f>
        <v>1053550393.05383</v>
      </c>
      <c r="T83" s="60" t="n">
        <v>0.9</v>
      </c>
      <c r="U83" s="59" t="n">
        <f aca="false">IFERROR(IF(VLOOKUP($A83,RA_result!$B$3:$N$62,6,0)="",S83*T83,VLOOKUP($A83,RA_result!$B$3:$N$62,6,0)),"")</f>
        <v>948195353.748447</v>
      </c>
      <c r="V83" s="61" t="n">
        <v>1.6</v>
      </c>
      <c r="W83" s="62" t="n">
        <f aca="false">IFERROR((S83*30%)/V83,0)</f>
        <v>197540698.697593</v>
      </c>
      <c r="X83" s="63" t="n">
        <f aca="false">IFERROR(N83/W83,0)</f>
        <v>0</v>
      </c>
      <c r="Y83" s="68"/>
      <c r="Z83" s="57"/>
      <c r="AA83" s="69" t="str">
        <f aca="false">IF(OR(U83="",Y83="",Z83=""),"",IF(AND(U83&gt;Y83,-U83&lt;Z83),"Ok","Not Ok"))</f>
        <v/>
      </c>
      <c r="AB83" s="70"/>
    </row>
    <row r="84" customFormat="false" ht="12.8" hidden="false" customHeight="false" outlineLevel="0" collapsed="false">
      <c r="A84" s="48" t="str">
        <f aca="false">TB_audited!A67</f>
        <v>Cost of revenue </v>
      </c>
      <c r="B84" s="49"/>
      <c r="C84" s="50"/>
      <c r="D84" s="51" t="n">
        <f aca="false">TB_audited!B67</f>
        <v>51101</v>
      </c>
      <c r="E84" s="52" t="str">
        <f aca="false">TB_audited!C67</f>
        <v>600/0010</v>
      </c>
      <c r="F84" s="53" t="str">
        <f aca="false">TB_audited!D67</f>
        <v>OPENING STOCKS-STOCKS-MACHINE</v>
      </c>
      <c r="G84" s="54" t="n">
        <f aca="false">IF($D$8="Interim",TB_audited!G67,TB_audited!E67)</f>
        <v>333000000</v>
      </c>
      <c r="H84" s="55" t="str">
        <f aca="false">IFERROR(VLOOKUP($A84,RA_result!$B$3:$N$62,11,0),"")</f>
        <v/>
      </c>
      <c r="I84" s="55" t="str">
        <f aca="false">IFERROR(VLOOKUP($A84,RA_result!$B$3:$N$62,12,0),"")</f>
        <v>Ya</v>
      </c>
      <c r="J84" s="55" t="str">
        <f aca="false">IFERROR(VLOOKUP($A84,RA_result!$B$3:$N$62,13,0),"")</f>
        <v>YE</v>
      </c>
      <c r="K84" s="56"/>
      <c r="L84" s="56"/>
      <c r="M84" s="57" t="n">
        <v>333000000</v>
      </c>
      <c r="N84" s="54" t="n">
        <f aca="false">G84-M84</f>
        <v>0</v>
      </c>
      <c r="O84" s="55" t="str">
        <f aca="false">IFERROR(VLOOKUP($A84,RA_result!$B$3:$N$62,7,0),"")</f>
        <v>M</v>
      </c>
      <c r="P84" s="52" t="str">
        <f aca="false">IFERROR(VLOOKUP($A84,RA_result!$B$3:$N$62,9,0),"")</f>
        <v>L</v>
      </c>
      <c r="Q84" s="52" t="str">
        <f aca="false">IFERROR(VLOOKUP($A84,RA_result!$B$3:$N$62,10,0),"")</f>
        <v/>
      </c>
      <c r="R84" s="58" t="s">
        <v>55</v>
      </c>
      <c r="S84" s="59" t="n">
        <f aca="false">IFERROR(VLOOKUP($A84,RA_result!$B$3:$N$62,4,0),"")</f>
        <v>1053550393.05383</v>
      </c>
      <c r="T84" s="60" t="n">
        <v>0.9</v>
      </c>
      <c r="U84" s="59" t="n">
        <f aca="false">IFERROR(IF(VLOOKUP($A84,RA_result!$B$3:$N$62,6,0)="",S84*T84,VLOOKUP($A84,RA_result!$B$3:$N$62,6,0)),"")</f>
        <v>948195353.748447</v>
      </c>
      <c r="V84" s="61" t="n">
        <v>1.3</v>
      </c>
      <c r="W84" s="62" t="n">
        <f aca="false">IFERROR((S84*30%)/V84,0)</f>
        <v>243127013.781653</v>
      </c>
      <c r="X84" s="63" t="n">
        <f aca="false">IFERROR(N84/W84,0)</f>
        <v>0</v>
      </c>
      <c r="Y84" s="68"/>
      <c r="Z84" s="57"/>
      <c r="AA84" s="69" t="str">
        <f aca="false">IF(OR(U84="",Y84="",Z84=""),"",IF(AND(U84&gt;Y84,-U84&lt;Z84),"Ok","Not Ok"))</f>
        <v/>
      </c>
      <c r="AB84" s="70"/>
    </row>
    <row r="85" customFormat="false" ht="12.8" hidden="false" customHeight="false" outlineLevel="0" collapsed="false">
      <c r="A85" s="48" t="str">
        <f aca="false">TB_audited!A68</f>
        <v>Cost of revenue </v>
      </c>
      <c r="B85" s="49"/>
      <c r="C85" s="50"/>
      <c r="D85" s="51" t="n">
        <f aca="false">TB_audited!B68</f>
        <v>51102</v>
      </c>
      <c r="E85" s="52" t="str">
        <f aca="false">TB_audited!C68</f>
        <v>600/0020</v>
      </c>
      <c r="F85" s="53" t="str">
        <f aca="false">TB_audited!D68</f>
        <v>OPENING STOCKS-STOCKS-SPAREPARTS</v>
      </c>
      <c r="G85" s="54" t="n">
        <f aca="false">IF($D$8="Interim",TB_audited!G68,TB_audited!E68)</f>
        <v>9896961464.77</v>
      </c>
      <c r="H85" s="55" t="str">
        <f aca="false">IFERROR(VLOOKUP($A85,RA_result!$B$3:$N$62,11,0),"")</f>
        <v/>
      </c>
      <c r="I85" s="55" t="str">
        <f aca="false">IFERROR(VLOOKUP($A85,RA_result!$B$3:$N$62,12,0),"")</f>
        <v>Ya</v>
      </c>
      <c r="J85" s="55" t="str">
        <f aca="false">IFERROR(VLOOKUP($A85,RA_result!$B$3:$N$62,13,0),"")</f>
        <v>YE</v>
      </c>
      <c r="K85" s="56"/>
      <c r="L85" s="56"/>
      <c r="M85" s="57" t="n">
        <v>9896961464.77</v>
      </c>
      <c r="N85" s="54" t="n">
        <f aca="false">G85-M85</f>
        <v>0</v>
      </c>
      <c r="O85" s="55" t="str">
        <f aca="false">IFERROR(VLOOKUP($A85,RA_result!$B$3:$N$62,7,0),"")</f>
        <v>M</v>
      </c>
      <c r="P85" s="52" t="str">
        <f aca="false">IFERROR(VLOOKUP($A85,RA_result!$B$3:$N$62,9,0),"")</f>
        <v>L</v>
      </c>
      <c r="Q85" s="52" t="str">
        <f aca="false">IFERROR(VLOOKUP($A85,RA_result!$B$3:$N$62,10,0),"")</f>
        <v/>
      </c>
      <c r="R85" s="58" t="s">
        <v>55</v>
      </c>
      <c r="S85" s="59" t="n">
        <f aca="false">IFERROR(VLOOKUP($A85,RA_result!$B$3:$N$62,4,0),"")</f>
        <v>1053550393.05383</v>
      </c>
      <c r="T85" s="60" t="n">
        <v>0.9</v>
      </c>
      <c r="U85" s="59" t="n">
        <f aca="false">IFERROR(IF(VLOOKUP($A85,RA_result!$B$3:$N$62,6,0)="",S85*T85,VLOOKUP($A85,RA_result!$B$3:$N$62,6,0)),"")</f>
        <v>948195353.748447</v>
      </c>
      <c r="V85" s="61" t="n">
        <v>1.3</v>
      </c>
      <c r="W85" s="62" t="n">
        <f aca="false">IFERROR((S85*30%)/V85,0)</f>
        <v>243127013.781653</v>
      </c>
      <c r="X85" s="63" t="n">
        <f aca="false">IFERROR(N85/W85,0)</f>
        <v>0</v>
      </c>
      <c r="Y85" s="68"/>
      <c r="Z85" s="57"/>
      <c r="AA85" s="69" t="str">
        <f aca="false">IF(OR(U85="",Y85="",Z85=""),"",IF(AND(U85&gt;Y85,-U85&lt;Z85),"Ok","Not Ok"))</f>
        <v/>
      </c>
      <c r="AB85" s="70"/>
    </row>
    <row r="86" customFormat="false" ht="12.8" hidden="false" customHeight="false" outlineLevel="0" collapsed="false">
      <c r="A86" s="48" t="str">
        <f aca="false">TB_audited!A69</f>
        <v>Cost of revenue </v>
      </c>
      <c r="B86" s="49"/>
      <c r="C86" s="50"/>
      <c r="D86" s="51" t="n">
        <f aca="false">TB_audited!B69</f>
        <v>51103</v>
      </c>
      <c r="E86" s="52" t="str">
        <f aca="false">TB_audited!C69</f>
        <v>610/0010</v>
      </c>
      <c r="F86" s="53" t="str">
        <f aca="false">TB_audited!D69</f>
        <v>PURCHASES-SPREPARTS</v>
      </c>
      <c r="G86" s="54" t="n">
        <f aca="false">IF($D$8="Interim",TB_audited!G69,TB_audited!E69)</f>
        <v>36720070736.49</v>
      </c>
      <c r="H86" s="55" t="str">
        <f aca="false">IFERROR(VLOOKUP($A86,RA_result!$B$3:$N$62,11,0),"")</f>
        <v/>
      </c>
      <c r="I86" s="55" t="str">
        <f aca="false">IFERROR(VLOOKUP($A86,RA_result!$B$3:$N$62,12,0),"")</f>
        <v>Ya</v>
      </c>
      <c r="J86" s="55" t="str">
        <f aca="false">IFERROR(VLOOKUP($A86,RA_result!$B$3:$N$62,13,0),"")</f>
        <v>YE</v>
      </c>
      <c r="K86" s="56" t="s">
        <v>53</v>
      </c>
      <c r="L86" s="56" t="s">
        <v>54</v>
      </c>
      <c r="M86" s="57" t="n">
        <v>10360954373</v>
      </c>
      <c r="N86" s="54" t="n">
        <f aca="false">G86-M86</f>
        <v>26359116363.49</v>
      </c>
      <c r="O86" s="55" t="str">
        <f aca="false">IFERROR(VLOOKUP($A86,RA_result!$B$3:$N$62,7,0),"")</f>
        <v>M</v>
      </c>
      <c r="P86" s="52" t="str">
        <f aca="false">IFERROR(VLOOKUP($A86,RA_result!$B$3:$N$62,9,0),"")</f>
        <v>L</v>
      </c>
      <c r="Q86" s="52" t="str">
        <f aca="false">IFERROR(VLOOKUP($A86,RA_result!$B$3:$N$62,10,0),"")</f>
        <v/>
      </c>
      <c r="R86" s="58" t="s">
        <v>55</v>
      </c>
      <c r="S86" s="59" t="n">
        <f aca="false">IFERROR(VLOOKUP($A86,RA_result!$B$3:$N$62,4,0),"")</f>
        <v>1053550393.05383</v>
      </c>
      <c r="T86" s="60" t="n">
        <v>0.9</v>
      </c>
      <c r="U86" s="59" t="n">
        <f aca="false">IFERROR(IF(VLOOKUP($A86,RA_result!$B$3:$N$62,6,0)="",S86*T86,VLOOKUP($A86,RA_result!$B$3:$N$62,6,0)),"")</f>
        <v>948195353.748447</v>
      </c>
      <c r="V86" s="61" t="n">
        <v>1.4</v>
      </c>
      <c r="W86" s="62" t="n">
        <f aca="false">IFERROR((S86*30%)/V86,0)</f>
        <v>225760798.511535</v>
      </c>
      <c r="X86" s="63" t="n">
        <f aca="false">IFERROR(N86/W86,0)</f>
        <v>116.756835275559</v>
      </c>
      <c r="Y86" s="68" t="n">
        <v>606259676.602</v>
      </c>
      <c r="Z86" s="57" t="n">
        <v>-606259676.602</v>
      </c>
      <c r="AA86" s="69" t="str">
        <f aca="false">IF(OR(U86="",Y86="",Z86=""),"",IF(AND(U86&gt;Y86,-U86&lt;Z86),"Ok","Not Ok"))</f>
        <v>Ok</v>
      </c>
      <c r="AB86" s="70"/>
    </row>
    <row r="87" customFormat="false" ht="12.8" hidden="false" customHeight="false" outlineLevel="0" collapsed="false">
      <c r="A87" s="48" t="str">
        <f aca="false">TB_audited!A70</f>
        <v>Cost of revenue </v>
      </c>
      <c r="B87" s="49"/>
      <c r="C87" s="50"/>
      <c r="D87" s="51" t="n">
        <f aca="false">TB_audited!B70</f>
        <v>51104</v>
      </c>
      <c r="E87" s="52" t="str">
        <f aca="false">TB_audited!C70</f>
        <v>610/0020</v>
      </c>
      <c r="F87" s="53" t="str">
        <f aca="false">TB_audited!D70</f>
        <v>PURCHASES-MACHINES</v>
      </c>
      <c r="G87" s="54" t="n">
        <f aca="false">IF($D$8="Interim",TB_audited!G70,TB_audited!E70)</f>
        <v>14380360768.41</v>
      </c>
      <c r="H87" s="55" t="str">
        <f aca="false">IFERROR(VLOOKUP($A87,RA_result!$B$3:$N$62,11,0),"")</f>
        <v/>
      </c>
      <c r="I87" s="55" t="str">
        <f aca="false">IFERROR(VLOOKUP($A87,RA_result!$B$3:$N$62,12,0),"")</f>
        <v>Ya</v>
      </c>
      <c r="J87" s="55" t="str">
        <f aca="false">IFERROR(VLOOKUP($A87,RA_result!$B$3:$N$62,13,0),"")</f>
        <v>YE</v>
      </c>
      <c r="K87" s="56" t="s">
        <v>53</v>
      </c>
      <c r="L87" s="56" t="s">
        <v>54</v>
      </c>
      <c r="M87" s="57" t="n">
        <v>14380360768.41</v>
      </c>
      <c r="N87" s="54" t="n">
        <f aca="false">G87-M87</f>
        <v>0</v>
      </c>
      <c r="O87" s="55" t="str">
        <f aca="false">IFERROR(VLOOKUP($A87,RA_result!$B$3:$N$62,7,0),"")</f>
        <v>M</v>
      </c>
      <c r="P87" s="52" t="str">
        <f aca="false">IFERROR(VLOOKUP($A87,RA_result!$B$3:$N$62,9,0),"")</f>
        <v>L</v>
      </c>
      <c r="Q87" s="52" t="str">
        <f aca="false">IFERROR(VLOOKUP($A87,RA_result!$B$3:$N$62,10,0),"")</f>
        <v/>
      </c>
      <c r="R87" s="58" t="s">
        <v>55</v>
      </c>
      <c r="S87" s="59" t="n">
        <f aca="false">IFERROR(VLOOKUP($A87,RA_result!$B$3:$N$62,4,0),"")</f>
        <v>1053550393.05383</v>
      </c>
      <c r="T87" s="60" t="n">
        <v>0.9</v>
      </c>
      <c r="U87" s="59" t="n">
        <f aca="false">IFERROR(IF(VLOOKUP($A87,RA_result!$B$3:$N$62,6,0)="",S87*T87,VLOOKUP($A87,RA_result!$B$3:$N$62,6,0)),"")</f>
        <v>948195353.748447</v>
      </c>
      <c r="V87" s="61" t="n">
        <v>1.3</v>
      </c>
      <c r="W87" s="62" t="n">
        <f aca="false">IFERROR((S87*30%)/V87,0)</f>
        <v>243127013.781653</v>
      </c>
      <c r="X87" s="63" t="n">
        <f aca="false">IFERROR(N87/W87,0)</f>
        <v>0</v>
      </c>
      <c r="Y87" s="68"/>
      <c r="Z87" s="57"/>
      <c r="AA87" s="69" t="str">
        <f aca="false">IF(OR(U87="",Y87="",Z87=""),"",IF(AND(U87&gt;Y87,-U87&lt;Z87),"Ok","Not Ok"))</f>
        <v/>
      </c>
      <c r="AB87" s="70"/>
    </row>
    <row r="88" customFormat="false" ht="12.8" hidden="false" customHeight="false" outlineLevel="0" collapsed="false">
      <c r="A88" s="48" t="str">
        <f aca="false">TB_audited!A71</f>
        <v>Cost of revenue </v>
      </c>
      <c r="B88" s="49"/>
      <c r="C88" s="50"/>
      <c r="D88" s="51" t="n">
        <f aca="false">TB_audited!B71</f>
        <v>51105</v>
      </c>
      <c r="E88" s="52" t="str">
        <f aca="false">TB_audited!C71</f>
        <v>610/0040</v>
      </c>
      <c r="F88" s="53" t="str">
        <f aca="false">TB_audited!D71</f>
        <v>PURCHASES-PROJECT,ETC</v>
      </c>
      <c r="G88" s="54" t="n">
        <f aca="false">IF($D$8="Interim",TB_audited!G71,TB_audited!E71)</f>
        <v>3030023431</v>
      </c>
      <c r="H88" s="55" t="str">
        <f aca="false">IFERROR(VLOOKUP($A88,RA_result!$B$3:$N$62,11,0),"")</f>
        <v/>
      </c>
      <c r="I88" s="55" t="str">
        <f aca="false">IFERROR(VLOOKUP($A88,RA_result!$B$3:$N$62,12,0),"")</f>
        <v>Ya</v>
      </c>
      <c r="J88" s="55" t="str">
        <f aca="false">IFERROR(VLOOKUP($A88,RA_result!$B$3:$N$62,13,0),"")</f>
        <v>YE</v>
      </c>
      <c r="K88" s="56" t="s">
        <v>54</v>
      </c>
      <c r="L88" s="56" t="s">
        <v>53</v>
      </c>
      <c r="M88" s="57" t="n">
        <v>3030023431</v>
      </c>
      <c r="N88" s="54" t="n">
        <f aca="false">G88-M88</f>
        <v>0</v>
      </c>
      <c r="O88" s="55" t="str">
        <f aca="false">IFERROR(VLOOKUP($A88,RA_result!$B$3:$N$62,7,0),"")</f>
        <v>M</v>
      </c>
      <c r="P88" s="52" t="str">
        <f aca="false">IFERROR(VLOOKUP($A88,RA_result!$B$3:$N$62,9,0),"")</f>
        <v>L</v>
      </c>
      <c r="Q88" s="52" t="str">
        <f aca="false">IFERROR(VLOOKUP($A88,RA_result!$B$3:$N$62,10,0),"")</f>
        <v/>
      </c>
      <c r="R88" s="58" t="s">
        <v>55</v>
      </c>
      <c r="S88" s="59" t="n">
        <f aca="false">IFERROR(VLOOKUP($A88,RA_result!$B$3:$N$62,4,0),"")</f>
        <v>1053550393.05383</v>
      </c>
      <c r="T88" s="60" t="n">
        <v>0.9</v>
      </c>
      <c r="U88" s="59" t="n">
        <f aca="false">IFERROR(IF(VLOOKUP($A88,RA_result!$B$3:$N$62,6,0)="",S88*T88,VLOOKUP($A88,RA_result!$B$3:$N$62,6,0)),"")</f>
        <v>948195353.748447</v>
      </c>
      <c r="V88" s="61" t="n">
        <v>1.3</v>
      </c>
      <c r="W88" s="62" t="n">
        <f aca="false">IFERROR((S88*30%)/V88,0)</f>
        <v>243127013.781653</v>
      </c>
      <c r="X88" s="63" t="n">
        <f aca="false">IFERROR(N88/W88,0)</f>
        <v>0</v>
      </c>
      <c r="Y88" s="68"/>
      <c r="Z88" s="57"/>
      <c r="AA88" s="69" t="str">
        <f aca="false">IF(OR(U88="",Y88="",Z88=""),"",IF(AND(U88&gt;Y88,-U88&lt;Z88),"Ok","Not Ok"))</f>
        <v/>
      </c>
      <c r="AB88" s="70"/>
    </row>
    <row r="89" customFormat="false" ht="12.8" hidden="false" customHeight="false" outlineLevel="0" collapsed="false">
      <c r="A89" s="48" t="str">
        <f aca="false">TB_audited!A72</f>
        <v>Cost of revenue </v>
      </c>
      <c r="B89" s="49"/>
      <c r="C89" s="50"/>
      <c r="D89" s="51" t="n">
        <f aca="false">TB_audited!B72</f>
        <v>51106</v>
      </c>
      <c r="E89" s="52" t="str">
        <f aca="false">TB_audited!C72</f>
        <v>610/0050</v>
      </c>
      <c r="F89" s="53" t="str">
        <f aca="false">TB_audited!D72</f>
        <v>PURCHASES-SERVICES AND MAINTENANCE</v>
      </c>
      <c r="G89" s="54" t="n">
        <f aca="false">IF($D$8="Interim",TB_audited!G72,TB_audited!E72)</f>
        <v>19730200</v>
      </c>
      <c r="H89" s="55" t="str">
        <f aca="false">IFERROR(VLOOKUP($A89,RA_result!$B$3:$N$62,11,0),"")</f>
        <v/>
      </c>
      <c r="I89" s="55" t="str">
        <f aca="false">IFERROR(VLOOKUP($A89,RA_result!$B$3:$N$62,12,0),"")</f>
        <v>Ya</v>
      </c>
      <c r="J89" s="55" t="str">
        <f aca="false">IFERROR(VLOOKUP($A89,RA_result!$B$3:$N$62,13,0),"")</f>
        <v>YE</v>
      </c>
      <c r="K89" s="56" t="s">
        <v>53</v>
      </c>
      <c r="L89" s="56" t="s">
        <v>54</v>
      </c>
      <c r="M89" s="57" t="n">
        <v>19730200</v>
      </c>
      <c r="N89" s="54" t="n">
        <f aca="false">G89-M89</f>
        <v>0</v>
      </c>
      <c r="O89" s="55" t="str">
        <f aca="false">IFERROR(VLOOKUP($A89,RA_result!$B$3:$N$62,7,0),"")</f>
        <v>M</v>
      </c>
      <c r="P89" s="52" t="str">
        <f aca="false">IFERROR(VLOOKUP($A89,RA_result!$B$3:$N$62,9,0),"")</f>
        <v>L</v>
      </c>
      <c r="Q89" s="52" t="str">
        <f aca="false">IFERROR(VLOOKUP($A89,RA_result!$B$3:$N$62,10,0),"")</f>
        <v/>
      </c>
      <c r="R89" s="58" t="s">
        <v>55</v>
      </c>
      <c r="S89" s="59" t="n">
        <f aca="false">IFERROR(VLOOKUP($A89,RA_result!$B$3:$N$62,4,0),"")</f>
        <v>1053550393.05383</v>
      </c>
      <c r="T89" s="60" t="n">
        <v>0.9</v>
      </c>
      <c r="U89" s="59" t="n">
        <f aca="false">IFERROR(IF(VLOOKUP($A89,RA_result!$B$3:$N$62,6,0)="",S89*T89,VLOOKUP($A89,RA_result!$B$3:$N$62,6,0)),"")</f>
        <v>948195353.748447</v>
      </c>
      <c r="V89" s="61" t="n">
        <v>1.3</v>
      </c>
      <c r="W89" s="62" t="n">
        <f aca="false">IFERROR((S89*30%)/V89,0)</f>
        <v>243127013.781653</v>
      </c>
      <c r="X89" s="63" t="n">
        <f aca="false">IFERROR(N89/W89,0)</f>
        <v>0</v>
      </c>
      <c r="Y89" s="68"/>
      <c r="Z89" s="57"/>
      <c r="AA89" s="69" t="str">
        <f aca="false">IF(OR(U89="",Y89="",Z89=""),"",IF(AND(U89&gt;Y89,-U89&lt;Z89),"Ok","Not Ok"))</f>
        <v/>
      </c>
      <c r="AB89" s="70"/>
    </row>
    <row r="90" customFormat="false" ht="12.8" hidden="false" customHeight="false" outlineLevel="0" collapsed="false">
      <c r="A90" s="48" t="str">
        <f aca="false">TB_audited!A73</f>
        <v>Cost of revenue </v>
      </c>
      <c r="B90" s="49"/>
      <c r="C90" s="50"/>
      <c r="D90" s="51" t="n">
        <f aca="false">TB_audited!B73</f>
        <v>51107</v>
      </c>
      <c r="E90" s="52" t="str">
        <f aca="false">TB_audited!C73</f>
        <v>619/0010</v>
      </c>
      <c r="F90" s="53" t="str">
        <f aca="false">TB_audited!D73</f>
        <v>CLOSING STOCKS-STOCKS-MACHINE</v>
      </c>
      <c r="G90" s="54" t="n">
        <f aca="false">IF($D$8="Interim",TB_audited!G73,TB_audited!E73)</f>
        <v>-333000000</v>
      </c>
      <c r="H90" s="55" t="str">
        <f aca="false">IFERROR(VLOOKUP($A90,RA_result!$B$3:$N$62,11,0),"")</f>
        <v/>
      </c>
      <c r="I90" s="55" t="str">
        <f aca="false">IFERROR(VLOOKUP($A90,RA_result!$B$3:$N$62,12,0),"")</f>
        <v>Ya</v>
      </c>
      <c r="J90" s="55" t="str">
        <f aca="false">IFERROR(VLOOKUP($A90,RA_result!$B$3:$N$62,13,0),"")</f>
        <v>YE</v>
      </c>
      <c r="K90" s="56"/>
      <c r="L90" s="56"/>
      <c r="M90" s="57" t="n">
        <v>-333000000</v>
      </c>
      <c r="N90" s="54" t="n">
        <f aca="false">G90-M90</f>
        <v>0</v>
      </c>
      <c r="O90" s="55" t="str">
        <f aca="false">IFERROR(VLOOKUP($A90,RA_result!$B$3:$N$62,7,0),"")</f>
        <v>M</v>
      </c>
      <c r="P90" s="52" t="str">
        <f aca="false">IFERROR(VLOOKUP($A90,RA_result!$B$3:$N$62,9,0),"")</f>
        <v>L</v>
      </c>
      <c r="Q90" s="52" t="str">
        <f aca="false">IFERROR(VLOOKUP($A90,RA_result!$B$3:$N$62,10,0),"")</f>
        <v/>
      </c>
      <c r="R90" s="58" t="s">
        <v>55</v>
      </c>
      <c r="S90" s="59" t="n">
        <f aca="false">IFERROR(VLOOKUP($A90,RA_result!$B$3:$N$62,4,0),"")</f>
        <v>1053550393.05383</v>
      </c>
      <c r="T90" s="60" t="n">
        <v>0.9</v>
      </c>
      <c r="U90" s="59" t="n">
        <f aca="false">IFERROR(IF(VLOOKUP($A90,RA_result!$B$3:$N$62,6,0)="",S90*T90,VLOOKUP($A90,RA_result!$B$3:$N$62,6,0)),"")</f>
        <v>948195353.748447</v>
      </c>
      <c r="V90" s="61" t="n">
        <v>1.3</v>
      </c>
      <c r="W90" s="62" t="n">
        <f aca="false">IFERROR((S90*30%)/V90,0)</f>
        <v>243127013.781653</v>
      </c>
      <c r="X90" s="63" t="n">
        <f aca="false">IFERROR(N90/W90,0)</f>
        <v>0</v>
      </c>
      <c r="Y90" s="68"/>
      <c r="Z90" s="57"/>
      <c r="AA90" s="69" t="str">
        <f aca="false">IF(OR(U90="",Y90="",Z90=""),"",IF(AND(U90&gt;Y90,-U90&lt;Z90),"Ok","Not Ok"))</f>
        <v/>
      </c>
      <c r="AB90" s="70"/>
    </row>
    <row r="91" customFormat="false" ht="12.8" hidden="false" customHeight="false" outlineLevel="0" collapsed="false">
      <c r="A91" s="48" t="str">
        <f aca="false">TB_audited!A74</f>
        <v>Cost of revenue </v>
      </c>
      <c r="B91" s="49"/>
      <c r="C91" s="50"/>
      <c r="D91" s="51" t="n">
        <f aca="false">TB_audited!B74</f>
        <v>51108</v>
      </c>
      <c r="E91" s="52" t="str">
        <f aca="false">TB_audited!C74</f>
        <v>619/0020</v>
      </c>
      <c r="F91" s="53" t="str">
        <f aca="false">TB_audited!D74</f>
        <v>CLOSING STOCKS-STOCKS-SPAREPARTS</v>
      </c>
      <c r="G91" s="54" t="n">
        <f aca="false">IF($D$8="Interim",TB_audited!G74,TB_audited!E74)</f>
        <v>-13896502773.83</v>
      </c>
      <c r="H91" s="55" t="str">
        <f aca="false">IFERROR(VLOOKUP($A91,RA_result!$B$3:$N$62,11,0),"")</f>
        <v/>
      </c>
      <c r="I91" s="55" t="str">
        <f aca="false">IFERROR(VLOOKUP($A91,RA_result!$B$3:$N$62,12,0),"")</f>
        <v>Ya</v>
      </c>
      <c r="J91" s="55" t="str">
        <f aca="false">IFERROR(VLOOKUP($A91,RA_result!$B$3:$N$62,13,0),"")</f>
        <v>YE</v>
      </c>
      <c r="K91" s="56"/>
      <c r="L91" s="56"/>
      <c r="M91" s="57" t="n">
        <v>-13896502773.83</v>
      </c>
      <c r="N91" s="54" t="n">
        <f aca="false">G91-M91</f>
        <v>0</v>
      </c>
      <c r="O91" s="55" t="str">
        <f aca="false">IFERROR(VLOOKUP($A91,RA_result!$B$3:$N$62,7,0),"")</f>
        <v>M</v>
      </c>
      <c r="P91" s="52" t="str">
        <f aca="false">IFERROR(VLOOKUP($A91,RA_result!$B$3:$N$62,9,0),"")</f>
        <v>L</v>
      </c>
      <c r="Q91" s="52" t="str">
        <f aca="false">IFERROR(VLOOKUP($A91,RA_result!$B$3:$N$62,10,0),"")</f>
        <v/>
      </c>
      <c r="R91" s="58" t="s">
        <v>55</v>
      </c>
      <c r="S91" s="59" t="n">
        <f aca="false">IFERROR(VLOOKUP($A91,RA_result!$B$3:$N$62,4,0),"")</f>
        <v>1053550393.05383</v>
      </c>
      <c r="T91" s="60" t="n">
        <v>0.9</v>
      </c>
      <c r="U91" s="59" t="n">
        <f aca="false">IFERROR(IF(VLOOKUP($A91,RA_result!$B$3:$N$62,6,0)="",S91*T91,VLOOKUP($A91,RA_result!$B$3:$N$62,6,0)),"")</f>
        <v>948195353.748447</v>
      </c>
      <c r="V91" s="61" t="n">
        <v>1.3</v>
      </c>
      <c r="W91" s="62" t="n">
        <f aca="false">IFERROR((S91*30%)/V91,0)</f>
        <v>243127013.781653</v>
      </c>
      <c r="X91" s="63" t="n">
        <f aca="false">IFERROR(N91/W91,0)</f>
        <v>0</v>
      </c>
      <c r="Y91" s="68"/>
      <c r="Z91" s="57"/>
      <c r="AA91" s="69" t="str">
        <f aca="false">IF(OR(U91="",Y91="",Z91=""),"",IF(AND(U91&gt;Y91,-U91&lt;Z91),"Ok","Not Ok"))</f>
        <v/>
      </c>
      <c r="AB91" s="70"/>
    </row>
    <row r="92" customFormat="false" ht="12.8" hidden="false" customHeight="false" outlineLevel="0" collapsed="false">
      <c r="A92" s="48" t="str">
        <f aca="false">TB_audited!A75</f>
        <v>Cost of revenue </v>
      </c>
      <c r="B92" s="49"/>
      <c r="C92" s="50"/>
      <c r="D92" s="51" t="n">
        <f aca="false">TB_audited!B75</f>
        <v>51109</v>
      </c>
      <c r="E92" s="52" t="str">
        <f aca="false">TB_audited!C75</f>
        <v>620/0020</v>
      </c>
      <c r="F92" s="53" t="str">
        <f aca="false">TB_audited!D75</f>
        <v>CUSTOM CLEARANCE EXPENSE</v>
      </c>
      <c r="G92" s="54" t="n">
        <f aca="false">IF($D$8="Interim",TB_audited!G75,TB_audited!E75)</f>
        <v>937044597.4</v>
      </c>
      <c r="H92" s="55" t="str">
        <f aca="false">IFERROR(VLOOKUP($A92,RA_result!$B$3:$N$62,11,0),"")</f>
        <v/>
      </c>
      <c r="I92" s="55" t="str">
        <f aca="false">IFERROR(VLOOKUP($A92,RA_result!$B$3:$N$62,12,0),"")</f>
        <v>Ya</v>
      </c>
      <c r="J92" s="55" t="str">
        <f aca="false">IFERROR(VLOOKUP($A92,RA_result!$B$3:$N$62,13,0),"")</f>
        <v>YE</v>
      </c>
      <c r="K92" s="56"/>
      <c r="L92" s="56"/>
      <c r="M92" s="57" t="n">
        <v>937044597.4</v>
      </c>
      <c r="N92" s="54" t="n">
        <f aca="false">G92-M92</f>
        <v>0</v>
      </c>
      <c r="O92" s="55" t="str">
        <f aca="false">IFERROR(VLOOKUP($A92,RA_result!$B$3:$N$62,7,0),"")</f>
        <v>M</v>
      </c>
      <c r="P92" s="52" t="str">
        <f aca="false">IFERROR(VLOOKUP($A92,RA_result!$B$3:$N$62,9,0),"")</f>
        <v>L</v>
      </c>
      <c r="Q92" s="52" t="str">
        <f aca="false">IFERROR(VLOOKUP($A92,RA_result!$B$3:$N$62,10,0),"")</f>
        <v/>
      </c>
      <c r="R92" s="58" t="s">
        <v>55</v>
      </c>
      <c r="S92" s="59" t="n">
        <f aca="false">IFERROR(VLOOKUP($A92,RA_result!$B$3:$N$62,4,0),"")</f>
        <v>1053550393.05383</v>
      </c>
      <c r="T92" s="60" t="n">
        <v>0.9</v>
      </c>
      <c r="U92" s="59" t="n">
        <f aca="false">IFERROR(IF(VLOOKUP($A92,RA_result!$B$3:$N$62,6,0)="",S92*T92,VLOOKUP($A92,RA_result!$B$3:$N$62,6,0)),"")</f>
        <v>948195353.748447</v>
      </c>
      <c r="V92" s="61" t="n">
        <v>1.3</v>
      </c>
      <c r="W92" s="62" t="n">
        <f aca="false">IFERROR((S92*30%)/V92,0)</f>
        <v>243127013.781653</v>
      </c>
      <c r="X92" s="63" t="n">
        <f aca="false">IFERROR(N92/W92,0)</f>
        <v>0</v>
      </c>
      <c r="Y92" s="68"/>
      <c r="Z92" s="57"/>
      <c r="AA92" s="69" t="str">
        <f aca="false">IF(OR(U92="",Y92="",Z92=""),"",IF(AND(U92&gt;Y92,-U92&lt;Z92),"Ok","Not Ok"))</f>
        <v/>
      </c>
      <c r="AB92" s="70"/>
    </row>
    <row r="93" customFormat="false" ht="12.8" hidden="false" customHeight="false" outlineLevel="0" collapsed="false">
      <c r="A93" s="48" t="str">
        <f aca="false">TB_audited!A76</f>
        <v>Cost of revenue </v>
      </c>
      <c r="B93" s="49"/>
      <c r="C93" s="50"/>
      <c r="D93" s="51" t="n">
        <f aca="false">TB_audited!B76</f>
        <v>51110</v>
      </c>
      <c r="E93" s="52" t="str">
        <f aca="false">TB_audited!C76</f>
        <v>650/0010</v>
      </c>
      <c r="F93" s="53" t="str">
        <f aca="false">TB_audited!D76</f>
        <v>DEPRECIATION EXPENSE OF MACHINERY &amp; EQUIPMENT</v>
      </c>
      <c r="G93" s="54" t="n">
        <f aca="false">IF($D$8="Interim",TB_audited!G76,TB_audited!E76)</f>
        <v>1952868</v>
      </c>
      <c r="H93" s="55" t="str">
        <f aca="false">IFERROR(VLOOKUP($A93,RA_result!$B$3:$N$62,11,0),"")</f>
        <v/>
      </c>
      <c r="I93" s="55" t="str">
        <f aca="false">IFERROR(VLOOKUP($A93,RA_result!$B$3:$N$62,12,0),"")</f>
        <v>Ya</v>
      </c>
      <c r="J93" s="55" t="str">
        <f aca="false">IFERROR(VLOOKUP($A93,RA_result!$B$3:$N$62,13,0),"")</f>
        <v>YE</v>
      </c>
      <c r="K93" s="56"/>
      <c r="L93" s="56"/>
      <c r="M93" s="57" t="n">
        <v>1952868</v>
      </c>
      <c r="N93" s="54" t="n">
        <f aca="false">G93-M93</f>
        <v>0</v>
      </c>
      <c r="O93" s="55" t="str">
        <f aca="false">IFERROR(VLOOKUP($A93,RA_result!$B$3:$N$62,7,0),"")</f>
        <v>M</v>
      </c>
      <c r="P93" s="52" t="str">
        <f aca="false">IFERROR(VLOOKUP($A93,RA_result!$B$3:$N$62,9,0),"")</f>
        <v>L</v>
      </c>
      <c r="Q93" s="52" t="str">
        <f aca="false">IFERROR(VLOOKUP($A93,RA_result!$B$3:$N$62,10,0),"")</f>
        <v/>
      </c>
      <c r="R93" s="58" t="s">
        <v>55</v>
      </c>
      <c r="S93" s="59" t="n">
        <f aca="false">IFERROR(VLOOKUP($A93,RA_result!$B$3:$N$62,4,0),"")</f>
        <v>1053550393.05383</v>
      </c>
      <c r="T93" s="60" t="n">
        <v>0.9</v>
      </c>
      <c r="U93" s="59" t="n">
        <f aca="false">IFERROR(IF(VLOOKUP($A93,RA_result!$B$3:$N$62,6,0)="",S93*T93,VLOOKUP($A93,RA_result!$B$3:$N$62,6,0)),"")</f>
        <v>948195353.748447</v>
      </c>
      <c r="V93" s="61" t="n">
        <v>1.3</v>
      </c>
      <c r="W93" s="62" t="n">
        <f aca="false">IFERROR((S93*30%)/V93,0)</f>
        <v>243127013.781653</v>
      </c>
      <c r="X93" s="63" t="n">
        <f aca="false">IFERROR(N93/W93,0)</f>
        <v>0</v>
      </c>
      <c r="Y93" s="68"/>
      <c r="Z93" s="57"/>
      <c r="AA93" s="69" t="str">
        <f aca="false">IF(OR(U93="",Y93="",Z93=""),"",IF(AND(U93&gt;Y93,-U93&lt;Z93),"Ok","Not Ok"))</f>
        <v/>
      </c>
      <c r="AB93" s="70"/>
    </row>
    <row r="94" customFormat="false" ht="12.8" hidden="false" customHeight="false" outlineLevel="0" collapsed="false">
      <c r="A94" s="48" t="str">
        <f aca="false">TB_audited!A77</f>
        <v>Other expenses besides interest expense </v>
      </c>
      <c r="B94" s="49"/>
      <c r="C94" s="50"/>
      <c r="D94" s="51" t="n">
        <f aca="false">TB_audited!B77</f>
        <v>53201</v>
      </c>
      <c r="E94" s="52" t="str">
        <f aca="false">TB_audited!C77</f>
        <v>810/0020</v>
      </c>
      <c r="F94" s="53" t="str">
        <f aca="false">TB_audited!D77</f>
        <v>GAIN / ( LOSS) ON FOREIGN EXCHANGE FROM CREDITORS</v>
      </c>
      <c r="G94" s="54" t="n">
        <f aca="false">IF($D$8="Interim",TB_audited!G77,TB_audited!E77)</f>
        <v>673793251.86</v>
      </c>
      <c r="H94" s="55" t="str">
        <f aca="false">IFERROR(VLOOKUP($A94,RA_result!$B$3:$N$62,11,0),"")</f>
        <v/>
      </c>
      <c r="I94" s="55" t="str">
        <f aca="false">IFERROR(VLOOKUP($A94,RA_result!$B$3:$N$62,12,0),"")</f>
        <v>Ya</v>
      </c>
      <c r="J94" s="55" t="str">
        <f aca="false">IFERROR(VLOOKUP($A94,RA_result!$B$3:$N$62,13,0),"")</f>
        <v>YE</v>
      </c>
      <c r="K94" s="56" t="s">
        <v>53</v>
      </c>
      <c r="L94" s="56" t="s">
        <v>54</v>
      </c>
      <c r="M94" s="57" t="n">
        <v>673793251.86</v>
      </c>
      <c r="N94" s="54" t="n">
        <f aca="false">G94-M94</f>
        <v>0</v>
      </c>
      <c r="O94" s="55" t="str">
        <f aca="false">IFERROR(VLOOKUP($A94,RA_result!$B$3:$N$62,7,0),"")</f>
        <v>M</v>
      </c>
      <c r="P94" s="52" t="str">
        <f aca="false">IFERROR(VLOOKUP($A94,RA_result!$B$3:$N$62,9,0),"")</f>
        <v>L</v>
      </c>
      <c r="Q94" s="52" t="str">
        <f aca="false">IFERROR(VLOOKUP($A94,RA_result!$B$3:$N$62,10,0),"")</f>
        <v/>
      </c>
      <c r="R94" s="58" t="s">
        <v>55</v>
      </c>
      <c r="S94" s="59" t="n">
        <f aca="false">IFERROR(VLOOKUP($A94,RA_result!$B$3:$N$62,4,0),"")</f>
        <v>1053550393.05383</v>
      </c>
      <c r="T94" s="60" t="n">
        <v>0.9</v>
      </c>
      <c r="U94" s="59" t="n">
        <f aca="false">IFERROR(IF(VLOOKUP($A94,RA_result!$B$3:$N$62,6,0)="",S94*T94,VLOOKUP($A94,RA_result!$B$3:$N$62,6,0)),"")</f>
        <v>948195353.748447</v>
      </c>
      <c r="V94" s="61" t="n">
        <v>1.3</v>
      </c>
      <c r="W94" s="62" t="n">
        <f aca="false">IFERROR((S94*30%)/V94,0)</f>
        <v>243127013.781653</v>
      </c>
      <c r="X94" s="63" t="n">
        <f aca="false">IFERROR(N94/W94,0)</f>
        <v>0</v>
      </c>
      <c r="Y94" s="68"/>
      <c r="Z94" s="57"/>
      <c r="AA94" s="69" t="str">
        <f aca="false">IF(OR(U94="",Y94="",Z94=""),"",IF(AND(U94&gt;Y94,-U94&lt;Z94),"Ok","Not Ok"))</f>
        <v/>
      </c>
      <c r="AB94" s="70"/>
    </row>
    <row r="95" customFormat="false" ht="12.8" hidden="false" customHeight="false" outlineLevel="0" collapsed="false">
      <c r="A95" s="48" t="str">
        <f aca="false">TB_audited!A78</f>
        <v>Other revenues besides interest income</v>
      </c>
      <c r="B95" s="49"/>
      <c r="C95" s="50"/>
      <c r="D95" s="51" t="n">
        <f aca="false">TB_audited!B78</f>
        <v>42201</v>
      </c>
      <c r="E95" s="52" t="str">
        <f aca="false">TB_audited!C78</f>
        <v>810/0040</v>
      </c>
      <c r="F95" s="53" t="str">
        <f aca="false">TB_audited!D78</f>
        <v>UNREALISED GAIN / (LOSS) ON FOREIGN EXCHANGE</v>
      </c>
      <c r="G95" s="54" t="n">
        <f aca="false">IF($D$8="Interim",TB_audited!G78,TB_audited!E78)</f>
        <v>-61347100.65</v>
      </c>
      <c r="H95" s="55" t="str">
        <f aca="false">IFERROR(VLOOKUP($A95,RA_result!$B$3:$N$62,11,0),"")</f>
        <v/>
      </c>
      <c r="I95" s="55" t="str">
        <f aca="false">IFERROR(VLOOKUP($A95,RA_result!$B$3:$N$62,12,0),"")</f>
        <v>Ya</v>
      </c>
      <c r="J95" s="55" t="str">
        <f aca="false">IFERROR(VLOOKUP($A95,RA_result!$B$3:$N$62,13,0),"")</f>
        <v>YE</v>
      </c>
      <c r="K95" s="56"/>
      <c r="L95" s="56"/>
      <c r="M95" s="57" t="n">
        <v>-61347100.65</v>
      </c>
      <c r="N95" s="54" t="n">
        <f aca="false">G95-M95</f>
        <v>0</v>
      </c>
      <c r="O95" s="55" t="str">
        <f aca="false">IFERROR(VLOOKUP($A95,RA_result!$B$3:$N$62,7,0),"")</f>
        <v>M</v>
      </c>
      <c r="P95" s="52" t="str">
        <f aca="false">IFERROR(VLOOKUP($A95,RA_result!$B$3:$N$62,9,0),"")</f>
        <v>L</v>
      </c>
      <c r="Q95" s="52" t="str">
        <f aca="false">IFERROR(VLOOKUP($A95,RA_result!$B$3:$N$62,10,0),"")</f>
        <v/>
      </c>
      <c r="R95" s="58" t="s">
        <v>55</v>
      </c>
      <c r="S95" s="59" t="n">
        <f aca="false">IFERROR(VLOOKUP($A95,RA_result!$B$3:$N$62,4,0),"")</f>
        <v>1053550393.05383</v>
      </c>
      <c r="T95" s="60" t="s">
        <v>56</v>
      </c>
      <c r="U95" s="59" t="str">
        <f aca="false">IFERROR(IF(VLOOKUP($A95,RA_result!$B$3:$N$62,6,0)="",S95*T95,VLOOKUP($A95,RA_result!$B$3:$N$62,6,0)),"")</f>
        <v/>
      </c>
      <c r="V95" s="61" t="s">
        <v>56</v>
      </c>
      <c r="W95" s="62" t="n">
        <f aca="false">IFERROR((S95*30%)/V95,0)</f>
        <v>0</v>
      </c>
      <c r="X95" s="63" t="n">
        <f aca="false">IFERROR(N95/W95,0)</f>
        <v>0</v>
      </c>
      <c r="Y95" s="68"/>
      <c r="Z95" s="57"/>
      <c r="AA95" s="69" t="str">
        <f aca="false">IF(OR(U95="",Y95="",Z95=""),"",IF(AND(U95&gt;Y95,-U95&lt;Z95),"Ok","Not Ok"))</f>
        <v/>
      </c>
      <c r="AB95" s="70"/>
    </row>
    <row r="96" customFormat="false" ht="12.8" hidden="false" customHeight="false" outlineLevel="0" collapsed="false">
      <c r="A96" s="48" t="str">
        <f aca="false">TB_audited!A79</f>
        <v>Other revenues besides interest income</v>
      </c>
      <c r="B96" s="49"/>
      <c r="C96" s="50"/>
      <c r="D96" s="51" t="n">
        <f aca="false">TB_audited!B79</f>
        <v>42202</v>
      </c>
      <c r="E96" s="52" t="str">
        <f aca="false">TB_audited!C79</f>
        <v>820/0000</v>
      </c>
      <c r="F96" s="53" t="str">
        <f aca="false">TB_audited!D79</f>
        <v>SUNDRY INCOME</v>
      </c>
      <c r="G96" s="54" t="n">
        <f aca="false">IF($D$8="Interim",TB_audited!G79,TB_audited!E79)</f>
        <v>10089.16</v>
      </c>
      <c r="H96" s="55" t="str">
        <f aca="false">IFERROR(VLOOKUP($A96,RA_result!$B$3:$N$62,11,0),"")</f>
        <v/>
      </c>
      <c r="I96" s="55" t="str">
        <f aca="false">IFERROR(VLOOKUP($A96,RA_result!$B$3:$N$62,12,0),"")</f>
        <v>Ya</v>
      </c>
      <c r="J96" s="55" t="str">
        <f aca="false">IFERROR(VLOOKUP($A96,RA_result!$B$3:$N$62,13,0),"")</f>
        <v>YE</v>
      </c>
      <c r="K96" s="56"/>
      <c r="L96" s="56"/>
      <c r="M96" s="57" t="n">
        <v>10089.16</v>
      </c>
      <c r="N96" s="54" t="n">
        <f aca="false">G96-M96</f>
        <v>0</v>
      </c>
      <c r="O96" s="55" t="str">
        <f aca="false">IFERROR(VLOOKUP($A96,RA_result!$B$3:$N$62,7,0),"")</f>
        <v>M</v>
      </c>
      <c r="P96" s="52" t="str">
        <f aca="false">IFERROR(VLOOKUP($A96,RA_result!$B$3:$N$62,9,0),"")</f>
        <v>L</v>
      </c>
      <c r="Q96" s="52" t="str">
        <f aca="false">IFERROR(VLOOKUP($A96,RA_result!$B$3:$N$62,10,0),"")</f>
        <v/>
      </c>
      <c r="R96" s="58" t="s">
        <v>55</v>
      </c>
      <c r="S96" s="59" t="n">
        <f aca="false">IFERROR(VLOOKUP($A96,RA_result!$B$3:$N$62,4,0),"")</f>
        <v>1053550393.05383</v>
      </c>
      <c r="T96" s="60" t="s">
        <v>56</v>
      </c>
      <c r="U96" s="59" t="str">
        <f aca="false">IFERROR(IF(VLOOKUP($A96,RA_result!$B$3:$N$62,6,0)="",S96*T96,VLOOKUP($A96,RA_result!$B$3:$N$62,6,0)),"")</f>
        <v/>
      </c>
      <c r="V96" s="61" t="s">
        <v>56</v>
      </c>
      <c r="W96" s="62" t="n">
        <f aca="false">IFERROR((S96*30%)/V96,0)</f>
        <v>0</v>
      </c>
      <c r="X96" s="63" t="n">
        <f aca="false">IFERROR(N96/W96,0)</f>
        <v>0</v>
      </c>
      <c r="Y96" s="68"/>
      <c r="Z96" s="57"/>
      <c r="AA96" s="69" t="str">
        <f aca="false">IF(OR(U96="",Y96="",Z96=""),"",IF(AND(U96&gt;Y96,-U96&lt;Z96),"Ok","Not Ok"))</f>
        <v/>
      </c>
      <c r="AB96" s="70"/>
    </row>
    <row r="97" customFormat="false" ht="12.8" hidden="false" customHeight="false" outlineLevel="0" collapsed="false">
      <c r="A97" s="48" t="str">
        <f aca="false">TB_audited!A80</f>
        <v>Interest income</v>
      </c>
      <c r="B97" s="49"/>
      <c r="C97" s="50"/>
      <c r="D97" s="51" t="n">
        <f aca="false">TB_audited!B80</f>
        <v>42101</v>
      </c>
      <c r="E97" s="52" t="str">
        <f aca="false">TB_audited!C80</f>
        <v>841/0000</v>
      </c>
      <c r="F97" s="53" t="str">
        <f aca="false">TB_audited!D80</f>
        <v>INTEREST INCOME</v>
      </c>
      <c r="G97" s="54" t="n">
        <f aca="false">IF($D$8="Interim",TB_audited!G80,TB_audited!E80)</f>
        <v>549481484.31</v>
      </c>
      <c r="H97" s="55" t="str">
        <f aca="false">IFERROR(VLOOKUP($A97,RA_result!$B$3:$N$62,11,0),"")</f>
        <v/>
      </c>
      <c r="I97" s="55" t="str">
        <f aca="false">IFERROR(VLOOKUP($A97,RA_result!$B$3:$N$62,12,0),"")</f>
        <v>Ya</v>
      </c>
      <c r="J97" s="55" t="str">
        <f aca="false">IFERROR(VLOOKUP($A97,RA_result!$B$3:$N$62,13,0),"")</f>
        <v>YE</v>
      </c>
      <c r="K97" s="56" t="s">
        <v>53</v>
      </c>
      <c r="L97" s="56" t="s">
        <v>54</v>
      </c>
      <c r="M97" s="57" t="n">
        <v>549481484.31</v>
      </c>
      <c r="N97" s="54" t="n">
        <f aca="false">G97-M97</f>
        <v>0</v>
      </c>
      <c r="O97" s="55" t="str">
        <f aca="false">IFERROR(VLOOKUP($A97,RA_result!$B$3:$N$62,7,0),"")</f>
        <v>M</v>
      </c>
      <c r="P97" s="52" t="str">
        <f aca="false">IFERROR(VLOOKUP($A97,RA_result!$B$3:$N$62,9,0),"")</f>
        <v>L</v>
      </c>
      <c r="Q97" s="52" t="str">
        <f aca="false">IFERROR(VLOOKUP($A97,RA_result!$B$3:$N$62,10,0),"")</f>
        <v/>
      </c>
      <c r="R97" s="58" t="s">
        <v>55</v>
      </c>
      <c r="S97" s="59" t="n">
        <f aca="false">IFERROR(VLOOKUP($A97,RA_result!$B$3:$N$62,4,0),"")</f>
        <v>1053550393.05383</v>
      </c>
      <c r="T97" s="60" t="n">
        <v>0.9</v>
      </c>
      <c r="U97" s="59" t="n">
        <f aca="false">IFERROR(IF(VLOOKUP($A97,RA_result!$B$3:$N$62,6,0)="",S97*T97,VLOOKUP($A97,RA_result!$B$3:$N$62,6,0)),"")</f>
        <v>294994110.055072</v>
      </c>
      <c r="V97" s="61" t="n">
        <v>1.3</v>
      </c>
      <c r="W97" s="62" t="n">
        <f aca="false">IFERROR((S97*30%)/V97,0)</f>
        <v>243127013.781653</v>
      </c>
      <c r="X97" s="63" t="n">
        <f aca="false">IFERROR(N97/W97,0)</f>
        <v>0</v>
      </c>
      <c r="Y97" s="68"/>
      <c r="Z97" s="57"/>
      <c r="AA97" s="69" t="str">
        <f aca="false">IF(OR(U97="",Y97="",Z97=""),"",IF(AND(U97&gt;Y97,-U97&lt;Z97),"Ok","Not Ok"))</f>
        <v/>
      </c>
      <c r="AB97" s="70"/>
    </row>
    <row r="98" customFormat="false" ht="12.8" hidden="false" customHeight="false" outlineLevel="0" collapsed="false">
      <c r="A98" s="48" t="str">
        <f aca="false">TB_audited!A81</f>
        <v>Other revenues besides interest income</v>
      </c>
      <c r="B98" s="49"/>
      <c r="C98" s="50"/>
      <c r="D98" s="51" t="n">
        <f aca="false">TB_audited!B81</f>
        <v>42203</v>
      </c>
      <c r="E98" s="52" t="str">
        <f aca="false">TB_audited!C81</f>
        <v>842/0000</v>
      </c>
      <c r="F98" s="53" t="str">
        <f aca="false">TB_audited!D81</f>
        <v>TAX ON INTEREST INCOME</v>
      </c>
      <c r="G98" s="54" t="n">
        <f aca="false">IF($D$8="Interim",TB_audited!G81,TB_audited!E81)</f>
        <v>-109896301.26</v>
      </c>
      <c r="H98" s="55" t="str">
        <f aca="false">IFERROR(VLOOKUP($A98,RA_result!$B$3:$N$62,11,0),"")</f>
        <v/>
      </c>
      <c r="I98" s="55" t="str">
        <f aca="false">IFERROR(VLOOKUP($A98,RA_result!$B$3:$N$62,12,0),"")</f>
        <v>Ya</v>
      </c>
      <c r="J98" s="55" t="str">
        <f aca="false">IFERROR(VLOOKUP($A98,RA_result!$B$3:$N$62,13,0),"")</f>
        <v>YE</v>
      </c>
      <c r="K98" s="56"/>
      <c r="L98" s="56"/>
      <c r="M98" s="57" t="n">
        <v>-109896301.26</v>
      </c>
      <c r="N98" s="54" t="n">
        <f aca="false">G98-M98</f>
        <v>0</v>
      </c>
      <c r="O98" s="55" t="str">
        <f aca="false">IFERROR(VLOOKUP($A98,RA_result!$B$3:$N$62,7,0),"")</f>
        <v>M</v>
      </c>
      <c r="P98" s="52" t="str">
        <f aca="false">IFERROR(VLOOKUP($A98,RA_result!$B$3:$N$62,9,0),"")</f>
        <v>L</v>
      </c>
      <c r="Q98" s="52" t="str">
        <f aca="false">IFERROR(VLOOKUP($A98,RA_result!$B$3:$N$62,10,0),"")</f>
        <v/>
      </c>
      <c r="R98" s="58" t="s">
        <v>55</v>
      </c>
      <c r="S98" s="59" t="n">
        <f aca="false">IFERROR(VLOOKUP($A98,RA_result!$B$3:$N$62,4,0),"")</f>
        <v>1053550393.05383</v>
      </c>
      <c r="T98" s="60" t="s">
        <v>56</v>
      </c>
      <c r="U98" s="59" t="str">
        <f aca="false">IFERROR(IF(VLOOKUP($A98,RA_result!$B$3:$N$62,6,0)="",S98*T98,VLOOKUP($A98,RA_result!$B$3:$N$62,6,0)),"")</f>
        <v/>
      </c>
      <c r="V98" s="61" t="s">
        <v>56</v>
      </c>
      <c r="W98" s="62" t="n">
        <f aca="false">IFERROR((S98*30%)/V98,0)</f>
        <v>0</v>
      </c>
      <c r="X98" s="63" t="n">
        <f aca="false">IFERROR(N98/W98,0)</f>
        <v>0</v>
      </c>
      <c r="Y98" s="68"/>
      <c r="Z98" s="57"/>
      <c r="AA98" s="69" t="str">
        <f aca="false">IF(OR(U98="",Y98="",Z98=""),"",IF(AND(U98&gt;Y98,-U98&lt;Z98),"Ok","Not Ok"))</f>
        <v/>
      </c>
      <c r="AB98" s="70"/>
    </row>
    <row r="99" customFormat="false" ht="12.8" hidden="false" customHeight="false" outlineLevel="0" collapsed="false">
      <c r="A99" s="48" t="str">
        <f aca="false">TB_audited!A82</f>
        <v>Other revenues besides interest income</v>
      </c>
      <c r="B99" s="49"/>
      <c r="C99" s="50"/>
      <c r="D99" s="51" t="n">
        <f aca="false">TB_audited!B82</f>
        <v>42204</v>
      </c>
      <c r="E99" s="52" t="str">
        <f aca="false">TB_audited!C82</f>
        <v>850/0010</v>
      </c>
      <c r="F99" s="53" t="str">
        <f aca="false">TB_audited!D82</f>
        <v>SALES-SCRAP  WASTE  ITEMS</v>
      </c>
      <c r="G99" s="54" t="n">
        <f aca="false">IF($D$8="Interim",TB_audited!G82,TB_audited!E82)</f>
        <v>-0</v>
      </c>
      <c r="H99" s="55" t="str">
        <f aca="false">IFERROR(VLOOKUP($A99,RA_result!$B$3:$N$62,11,0),"")</f>
        <v/>
      </c>
      <c r="I99" s="55" t="str">
        <f aca="false">IFERROR(VLOOKUP($A99,RA_result!$B$3:$N$62,12,0),"")</f>
        <v>Ya</v>
      </c>
      <c r="J99" s="55" t="str">
        <f aca="false">IFERROR(VLOOKUP($A99,RA_result!$B$3:$N$62,13,0),"")</f>
        <v>YE</v>
      </c>
      <c r="K99" s="56"/>
      <c r="L99" s="56"/>
      <c r="M99" s="57" t="n">
        <v>0</v>
      </c>
      <c r="N99" s="54" t="n">
        <f aca="false">G99-M99</f>
        <v>0</v>
      </c>
      <c r="O99" s="55" t="str">
        <f aca="false">IFERROR(VLOOKUP($A99,RA_result!$B$3:$N$62,7,0),"")</f>
        <v>M</v>
      </c>
      <c r="P99" s="52" t="str">
        <f aca="false">IFERROR(VLOOKUP($A99,RA_result!$B$3:$N$62,9,0),"")</f>
        <v>L</v>
      </c>
      <c r="Q99" s="52" t="str">
        <f aca="false">IFERROR(VLOOKUP($A99,RA_result!$B$3:$N$62,10,0),"")</f>
        <v/>
      </c>
      <c r="R99" s="58" t="s">
        <v>55</v>
      </c>
      <c r="S99" s="59" t="n">
        <f aca="false">IFERROR(VLOOKUP($A99,RA_result!$B$3:$N$62,4,0),"")</f>
        <v>1053550393.05383</v>
      </c>
      <c r="T99" s="60" t="s">
        <v>56</v>
      </c>
      <c r="U99" s="59" t="str">
        <f aca="false">IFERROR(IF(VLOOKUP($A99,RA_result!$B$3:$N$62,6,0)="",S99*T99,VLOOKUP($A99,RA_result!$B$3:$N$62,6,0)),"")</f>
        <v/>
      </c>
      <c r="V99" s="61" t="s">
        <v>56</v>
      </c>
      <c r="W99" s="62" t="n">
        <f aca="false">IFERROR((S99*30%)/V99,0)</f>
        <v>0</v>
      </c>
      <c r="X99" s="63" t="n">
        <f aca="false">IFERROR(N99/W99,0)</f>
        <v>0</v>
      </c>
      <c r="Y99" s="68"/>
      <c r="Z99" s="57"/>
      <c r="AA99" s="69" t="str">
        <f aca="false">IF(OR(U99="",Y99="",Z99=""),"",IF(AND(U99&gt;Y99,-U99&lt;Z99),"Ok","Not Ok"))</f>
        <v/>
      </c>
      <c r="AB99" s="70"/>
    </row>
    <row r="100" customFormat="false" ht="12.8" hidden="false" customHeight="false" outlineLevel="0" collapsed="false">
      <c r="A100" s="48" t="str">
        <f aca="false">TB_audited!A83</f>
        <v>Human resources expense</v>
      </c>
      <c r="B100" s="49"/>
      <c r="C100" s="50"/>
      <c r="D100" s="51" t="n">
        <f aca="false">TB_audited!B83</f>
        <v>52101</v>
      </c>
      <c r="E100" s="52" t="str">
        <f aca="false">TB_audited!C83</f>
        <v>860/0000</v>
      </c>
      <c r="F100" s="53" t="str">
        <f aca="false">TB_audited!D83</f>
        <v>EMPLOYEE BENEFIT</v>
      </c>
      <c r="G100" s="54" t="n">
        <f aca="false">IF($D$8="Interim",TB_audited!G83,TB_audited!E83)</f>
        <v>0</v>
      </c>
      <c r="H100" s="55" t="str">
        <f aca="false">IFERROR(VLOOKUP($A100,RA_result!$B$3:$N$62,11,0),"")</f>
        <v/>
      </c>
      <c r="I100" s="55" t="str">
        <f aca="false">IFERROR(VLOOKUP($A100,RA_result!$B$3:$N$62,12,0),"")</f>
        <v>Ya</v>
      </c>
      <c r="J100" s="55" t="str">
        <f aca="false">IFERROR(VLOOKUP($A100,RA_result!$B$3:$N$62,13,0),"")</f>
        <v>YE</v>
      </c>
      <c r="K100" s="56"/>
      <c r="L100" s="56"/>
      <c r="M100" s="57" t="n">
        <v>0</v>
      </c>
      <c r="N100" s="54" t="n">
        <f aca="false">G100-M100</f>
        <v>0</v>
      </c>
      <c r="O100" s="55" t="str">
        <f aca="false">IFERROR(VLOOKUP($A100,RA_result!$B$3:$N$62,7,0),"")</f>
        <v>M</v>
      </c>
      <c r="P100" s="52" t="str">
        <f aca="false">IFERROR(VLOOKUP($A100,RA_result!$B$3:$N$62,9,0),"")</f>
        <v>L</v>
      </c>
      <c r="Q100" s="52" t="str">
        <f aca="false">IFERROR(VLOOKUP($A100,RA_result!$B$3:$N$62,10,0),"")</f>
        <v/>
      </c>
      <c r="R100" s="58" t="s">
        <v>55</v>
      </c>
      <c r="S100" s="59" t="n">
        <f aca="false">IFERROR(VLOOKUP($A100,RA_result!$B$3:$N$62,4,0),"")</f>
        <v>1053550393.05383</v>
      </c>
      <c r="T100" s="60" t="n">
        <v>0.9</v>
      </c>
      <c r="U100" s="59" t="n">
        <f aca="false">IFERROR(IF(VLOOKUP($A100,RA_result!$B$3:$N$62,6,0)="",S100*T100,VLOOKUP($A100,RA_result!$B$3:$N$62,6,0)),"")</f>
        <v>948195353.748447</v>
      </c>
      <c r="V100" s="61" t="n">
        <v>1.3</v>
      </c>
      <c r="W100" s="62" t="n">
        <f aca="false">IFERROR((S100*30%)/V100,0)</f>
        <v>243127013.781653</v>
      </c>
      <c r="X100" s="63" t="n">
        <f aca="false">IFERROR(N100/W100,0)</f>
        <v>0</v>
      </c>
      <c r="Y100" s="68"/>
      <c r="Z100" s="57"/>
      <c r="AA100" s="69" t="str">
        <f aca="false">IF(OR(U100="",Y100="",Z100=""),"",IF(AND(U100&gt;Y100,-U100&lt;Z100),"Ok","Not Ok"))</f>
        <v/>
      </c>
      <c r="AB100" s="70"/>
    </row>
    <row r="101" customFormat="false" ht="12.8" hidden="false" customHeight="false" outlineLevel="0" collapsed="false">
      <c r="A101" s="48" t="str">
        <f aca="false">TB_audited!A84</f>
        <v>General and administrative expense</v>
      </c>
      <c r="B101" s="49"/>
      <c r="C101" s="50"/>
      <c r="D101" s="51" t="n">
        <f aca="false">TB_audited!B84</f>
        <v>52201</v>
      </c>
      <c r="E101" s="52" t="str">
        <f aca="false">TB_audited!C84</f>
        <v>910/0010</v>
      </c>
      <c r="F101" s="53" t="str">
        <f aca="false">TB_audited!D84</f>
        <v>ACCOUNTING FEE</v>
      </c>
      <c r="G101" s="54" t="n">
        <f aca="false">IF($D$8="Interim",TB_audited!G84,TB_audited!E84)</f>
        <v>150000000</v>
      </c>
      <c r="H101" s="55" t="str">
        <f aca="false">IFERROR(VLOOKUP($A101,RA_result!$B$3:$N$62,11,0),"")</f>
        <v/>
      </c>
      <c r="I101" s="55" t="str">
        <f aca="false">IFERROR(VLOOKUP($A101,RA_result!$B$3:$N$62,12,0),"")</f>
        <v/>
      </c>
      <c r="J101" s="55" t="str">
        <f aca="false">IFERROR(VLOOKUP($A101,RA_result!$B$3:$N$62,13,0),"")</f>
        <v/>
      </c>
      <c r="K101" s="56" t="s">
        <v>53</v>
      </c>
      <c r="L101" s="56" t="s">
        <v>54</v>
      </c>
      <c r="M101" s="57" t="n">
        <v>90000000</v>
      </c>
      <c r="N101" s="54" t="n">
        <f aca="false">G101-M101</f>
        <v>60000000</v>
      </c>
      <c r="O101" s="55" t="str">
        <f aca="false">IFERROR(VLOOKUP($A101,RA_result!$B$3:$N$62,7,0),"")</f>
        <v>TM</v>
      </c>
      <c r="P101" s="52" t="str">
        <f aca="false">IFERROR(VLOOKUP($A101,RA_result!$B$3:$N$62,9,0),"")</f>
        <v>L</v>
      </c>
      <c r="Q101" s="52" t="str">
        <f aca="false">IFERROR(VLOOKUP($A101,RA_result!$B$3:$N$62,10,0),"")</f>
        <v/>
      </c>
      <c r="R101" s="58" t="s">
        <v>55</v>
      </c>
      <c r="S101" s="59" t="n">
        <f aca="false">IFERROR(VLOOKUP($A101,RA_result!$B$3:$N$62,4,0),"")</f>
        <v>1053550393.05383</v>
      </c>
      <c r="T101" s="60" t="n">
        <v>0.9</v>
      </c>
      <c r="U101" s="59" t="n">
        <f aca="false">IFERROR(IF(VLOOKUP($A101,RA_result!$B$3:$N$62,6,0)="",S101*T101,VLOOKUP($A101,RA_result!$B$3:$N$62,6,0)),"")</f>
        <v>948195353.748447</v>
      </c>
      <c r="V101" s="61" t="n">
        <v>2.3</v>
      </c>
      <c r="W101" s="62" t="n">
        <f aca="false">IFERROR((S101*30%)/V101,0)</f>
        <v>137419616.485282</v>
      </c>
      <c r="X101" s="63" t="n">
        <f aca="false">IFERROR(N101/W101,0)</f>
        <v>0.436618886987114</v>
      </c>
      <c r="Y101" s="68"/>
      <c r="Z101" s="57"/>
      <c r="AA101" s="69" t="str">
        <f aca="false">IF(OR(U101="",Y101="",Z101=""),"",IF(AND(U101&gt;Y101,-U101&lt;Z101),"Ok","Not Ok"))</f>
        <v/>
      </c>
      <c r="AB101" s="70"/>
    </row>
    <row r="102" customFormat="false" ht="12.8" hidden="false" customHeight="false" outlineLevel="0" collapsed="false">
      <c r="A102" s="48" t="str">
        <f aca="false">TB_audited!A85</f>
        <v>General and administrative expense</v>
      </c>
      <c r="B102" s="49"/>
      <c r="C102" s="50"/>
      <c r="D102" s="51" t="n">
        <f aca="false">TB_audited!B85</f>
        <v>52202</v>
      </c>
      <c r="E102" s="52" t="str">
        <f aca="false">TB_audited!C85</f>
        <v>910/0020</v>
      </c>
      <c r="F102" s="53" t="str">
        <f aca="false">TB_audited!D85</f>
        <v>AUDIT FEE</v>
      </c>
      <c r="G102" s="54" t="n">
        <f aca="false">IF($D$8="Interim",TB_audited!G85,TB_audited!E85)</f>
        <v>50500000</v>
      </c>
      <c r="H102" s="55" t="str">
        <f aca="false">IFERROR(VLOOKUP($A102,RA_result!$B$3:$N$62,11,0),"")</f>
        <v/>
      </c>
      <c r="I102" s="55" t="str">
        <f aca="false">IFERROR(VLOOKUP($A102,RA_result!$B$3:$N$62,12,0),"")</f>
        <v/>
      </c>
      <c r="J102" s="55" t="str">
        <f aca="false">IFERROR(VLOOKUP($A102,RA_result!$B$3:$N$62,13,0),"")</f>
        <v/>
      </c>
      <c r="K102" s="56" t="s">
        <v>54</v>
      </c>
      <c r="L102" s="56" t="s">
        <v>53</v>
      </c>
      <c r="M102" s="57" t="n">
        <v>50500000</v>
      </c>
      <c r="N102" s="54" t="n">
        <f aca="false">G102-M102</f>
        <v>0</v>
      </c>
      <c r="O102" s="55" t="str">
        <f aca="false">IFERROR(VLOOKUP($A102,RA_result!$B$3:$N$62,7,0),"")</f>
        <v>TM</v>
      </c>
      <c r="P102" s="52" t="str">
        <f aca="false">IFERROR(VLOOKUP($A102,RA_result!$B$3:$N$62,9,0),"")</f>
        <v>L</v>
      </c>
      <c r="Q102" s="52" t="str">
        <f aca="false">IFERROR(VLOOKUP($A102,RA_result!$B$3:$N$62,10,0),"")</f>
        <v/>
      </c>
      <c r="R102" s="58" t="s">
        <v>55</v>
      </c>
      <c r="S102" s="59" t="n">
        <f aca="false">IFERROR(VLOOKUP($A102,RA_result!$B$3:$N$62,4,0),"")</f>
        <v>1053550393.05383</v>
      </c>
      <c r="T102" s="60" t="n">
        <v>0.9</v>
      </c>
      <c r="U102" s="59" t="n">
        <f aca="false">IFERROR(IF(VLOOKUP($A102,RA_result!$B$3:$N$62,6,0)="",S102*T102,VLOOKUP($A102,RA_result!$B$3:$N$62,6,0)),"")</f>
        <v>948195353.748447</v>
      </c>
      <c r="V102" s="61" t="n">
        <v>2.3</v>
      </c>
      <c r="W102" s="62" t="n">
        <f aca="false">IFERROR((S102*30%)/V102,0)</f>
        <v>137419616.485282</v>
      </c>
      <c r="X102" s="63" t="n">
        <f aca="false">IFERROR(N102/W102,0)</f>
        <v>0</v>
      </c>
      <c r="Y102" s="68"/>
      <c r="Z102" s="57"/>
      <c r="AA102" s="69" t="str">
        <f aca="false">IF(OR(U102="",Y102="",Z102=""),"",IF(AND(U102&gt;Y102,-U102&lt;Z102),"Ok","Not Ok"))</f>
        <v/>
      </c>
      <c r="AB102" s="70"/>
    </row>
    <row r="103" customFormat="false" ht="12.8" hidden="false" customHeight="false" outlineLevel="0" collapsed="false">
      <c r="A103" s="48" t="str">
        <f aca="false">TB_audited!A86</f>
        <v>General and administrative expense</v>
      </c>
      <c r="B103" s="49"/>
      <c r="C103" s="50"/>
      <c r="D103" s="51" t="n">
        <f aca="false">TB_audited!B86</f>
        <v>52203</v>
      </c>
      <c r="E103" s="52" t="str">
        <f aca="false">TB_audited!C86</f>
        <v>910/0030</v>
      </c>
      <c r="F103" s="53" t="str">
        <f aca="false">TB_audited!D86</f>
        <v>BANK CHARGES</v>
      </c>
      <c r="G103" s="54" t="n">
        <f aca="false">IF($D$8="Interim",TB_audited!G86,TB_audited!E86)</f>
        <v>23508742.49</v>
      </c>
      <c r="H103" s="55" t="str">
        <f aca="false">IFERROR(VLOOKUP($A103,RA_result!$B$3:$N$62,11,0),"")</f>
        <v/>
      </c>
      <c r="I103" s="55" t="str">
        <f aca="false">IFERROR(VLOOKUP($A103,RA_result!$B$3:$N$62,12,0),"")</f>
        <v/>
      </c>
      <c r="J103" s="55" t="str">
        <f aca="false">IFERROR(VLOOKUP($A103,RA_result!$B$3:$N$62,13,0),"")</f>
        <v/>
      </c>
      <c r="K103" s="56" t="s">
        <v>54</v>
      </c>
      <c r="L103" s="56" t="s">
        <v>53</v>
      </c>
      <c r="M103" s="57" t="n">
        <v>23508742.49</v>
      </c>
      <c r="N103" s="54" t="n">
        <f aca="false">G103-M103</f>
        <v>0</v>
      </c>
      <c r="O103" s="55" t="str">
        <f aca="false">IFERROR(VLOOKUP($A103,RA_result!$B$3:$N$62,7,0),"")</f>
        <v>TM</v>
      </c>
      <c r="P103" s="52" t="str">
        <f aca="false">IFERROR(VLOOKUP($A103,RA_result!$B$3:$N$62,9,0),"")</f>
        <v>L</v>
      </c>
      <c r="Q103" s="52" t="str">
        <f aca="false">IFERROR(VLOOKUP($A103,RA_result!$B$3:$N$62,10,0),"")</f>
        <v/>
      </c>
      <c r="R103" s="58" t="s">
        <v>55</v>
      </c>
      <c r="S103" s="59" t="n">
        <f aca="false">IFERROR(VLOOKUP($A103,RA_result!$B$3:$N$62,4,0),"")</f>
        <v>1053550393.05383</v>
      </c>
      <c r="T103" s="60" t="n">
        <v>0.9</v>
      </c>
      <c r="U103" s="59" t="n">
        <f aca="false">IFERROR(IF(VLOOKUP($A103,RA_result!$B$3:$N$62,6,0)="",S103*T103,VLOOKUP($A103,RA_result!$B$3:$N$62,6,0)),"")</f>
        <v>948195353.748447</v>
      </c>
      <c r="V103" s="61" t="n">
        <v>2.3</v>
      </c>
      <c r="W103" s="62" t="n">
        <f aca="false">IFERROR((S103*30%)/V103,0)</f>
        <v>137419616.485282</v>
      </c>
      <c r="X103" s="63" t="n">
        <f aca="false">IFERROR(N103/W103,0)</f>
        <v>0</v>
      </c>
      <c r="Y103" s="68"/>
      <c r="Z103" s="57"/>
      <c r="AA103" s="69" t="str">
        <f aca="false">IF(OR(U103="",Y103="",Z103=""),"",IF(AND(U103&gt;Y103,-U103&lt;Z103),"Ok","Not Ok"))</f>
        <v/>
      </c>
      <c r="AB103" s="70"/>
    </row>
    <row r="104" customFormat="false" ht="12.8" hidden="false" customHeight="false" outlineLevel="0" collapsed="false">
      <c r="A104" s="48" t="str">
        <f aca="false">TB_audited!A87</f>
        <v>Human resources expense</v>
      </c>
      <c r="B104" s="49"/>
      <c r="C104" s="50"/>
      <c r="D104" s="51" t="n">
        <f aca="false">TB_audited!B87</f>
        <v>52102</v>
      </c>
      <c r="E104" s="52" t="str">
        <f aca="false">TB_audited!C87</f>
        <v>910/0060</v>
      </c>
      <c r="F104" s="53" t="str">
        <f aca="false">TB_audited!D87</f>
        <v>JAMSOSTEK CONTRIBUTION</v>
      </c>
      <c r="G104" s="54" t="n">
        <f aca="false">IF($D$8="Interim",TB_audited!G87,TB_audited!E87)</f>
        <v>329077573</v>
      </c>
      <c r="H104" s="55" t="str">
        <f aca="false">IFERROR(VLOOKUP($A104,RA_result!$B$3:$N$62,11,0),"")</f>
        <v/>
      </c>
      <c r="I104" s="55" t="str">
        <f aca="false">IFERROR(VLOOKUP($A104,RA_result!$B$3:$N$62,12,0),"")</f>
        <v>Ya</v>
      </c>
      <c r="J104" s="55" t="str">
        <f aca="false">IFERROR(VLOOKUP($A104,RA_result!$B$3:$N$62,13,0),"")</f>
        <v>YE</v>
      </c>
      <c r="K104" s="56" t="s">
        <v>54</v>
      </c>
      <c r="L104" s="56" t="s">
        <v>53</v>
      </c>
      <c r="M104" s="57" t="n">
        <v>329077573</v>
      </c>
      <c r="N104" s="54" t="n">
        <f aca="false">G104-M104</f>
        <v>0</v>
      </c>
      <c r="O104" s="55" t="str">
        <f aca="false">IFERROR(VLOOKUP($A104,RA_result!$B$3:$N$62,7,0),"")</f>
        <v>M</v>
      </c>
      <c r="P104" s="52" t="str">
        <f aca="false">IFERROR(VLOOKUP($A104,RA_result!$B$3:$N$62,9,0),"")</f>
        <v>L</v>
      </c>
      <c r="Q104" s="52" t="str">
        <f aca="false">IFERROR(VLOOKUP($A104,RA_result!$B$3:$N$62,10,0),"")</f>
        <v/>
      </c>
      <c r="R104" s="58" t="s">
        <v>55</v>
      </c>
      <c r="S104" s="59" t="n">
        <f aca="false">IFERROR(VLOOKUP($A104,RA_result!$B$3:$N$62,4,0),"")</f>
        <v>1053550393.05383</v>
      </c>
      <c r="T104" s="60" t="n">
        <v>0.9</v>
      </c>
      <c r="U104" s="59" t="n">
        <f aca="false">IFERROR(IF(VLOOKUP($A104,RA_result!$B$3:$N$62,6,0)="",S104*T104,VLOOKUP($A104,RA_result!$B$3:$N$62,6,0)),"")</f>
        <v>948195353.748447</v>
      </c>
      <c r="V104" s="61" t="n">
        <v>2.3</v>
      </c>
      <c r="W104" s="62" t="n">
        <f aca="false">IFERROR((S104*30%)/V104,0)</f>
        <v>137419616.485282</v>
      </c>
      <c r="X104" s="63" t="n">
        <f aca="false">IFERROR(N104/W104,0)</f>
        <v>0</v>
      </c>
      <c r="Y104" s="68"/>
      <c r="Z104" s="57"/>
      <c r="AA104" s="69" t="str">
        <f aca="false">IF(OR(U104="",Y104="",Z104=""),"",IF(AND(U104&gt;Y104,-U104&lt;Z104),"Ok","Not Ok"))</f>
        <v/>
      </c>
      <c r="AB104" s="70"/>
    </row>
    <row r="105" customFormat="false" ht="12.8" hidden="false" customHeight="false" outlineLevel="0" collapsed="false">
      <c r="A105" s="48" t="str">
        <f aca="false">TB_audited!A88</f>
        <v>General and administrative expense</v>
      </c>
      <c r="B105" s="49"/>
      <c r="C105" s="50"/>
      <c r="D105" s="51" t="n">
        <f aca="false">TB_audited!B88</f>
        <v>52204</v>
      </c>
      <c r="E105" s="52" t="str">
        <f aca="false">TB_audited!C88</f>
        <v>910/0070</v>
      </c>
      <c r="F105" s="53" t="str">
        <f aca="false">TB_audited!D88</f>
        <v>FOOD AND DRINKS</v>
      </c>
      <c r="G105" s="54" t="n">
        <f aca="false">IF($D$8="Interim",TB_audited!G88,TB_audited!E88)</f>
        <v>6656691.9</v>
      </c>
      <c r="H105" s="55" t="str">
        <f aca="false">IFERROR(VLOOKUP($A105,RA_result!$B$3:$N$62,11,0),"")</f>
        <v/>
      </c>
      <c r="I105" s="55" t="str">
        <f aca="false">IFERROR(VLOOKUP($A105,RA_result!$B$3:$N$62,12,0),"")</f>
        <v/>
      </c>
      <c r="J105" s="55" t="str">
        <f aca="false">IFERROR(VLOOKUP($A105,RA_result!$B$3:$N$62,13,0),"")</f>
        <v/>
      </c>
      <c r="K105" s="56"/>
      <c r="L105" s="56"/>
      <c r="M105" s="57" t="n">
        <v>6656691.9</v>
      </c>
      <c r="N105" s="54" t="n">
        <f aca="false">G105-M105</f>
        <v>0</v>
      </c>
      <c r="O105" s="55" t="str">
        <f aca="false">IFERROR(VLOOKUP($A105,RA_result!$B$3:$N$62,7,0),"")</f>
        <v>TM</v>
      </c>
      <c r="P105" s="52" t="str">
        <f aca="false">IFERROR(VLOOKUP($A105,RA_result!$B$3:$N$62,9,0),"")</f>
        <v>L</v>
      </c>
      <c r="Q105" s="52" t="str">
        <f aca="false">IFERROR(VLOOKUP($A105,RA_result!$B$3:$N$62,10,0),"")</f>
        <v/>
      </c>
      <c r="R105" s="58" t="s">
        <v>55</v>
      </c>
      <c r="S105" s="59" t="n">
        <f aca="false">IFERROR(VLOOKUP($A105,RA_result!$B$3:$N$62,4,0),"")</f>
        <v>1053550393.05383</v>
      </c>
      <c r="T105" s="60" t="n">
        <v>0.9</v>
      </c>
      <c r="U105" s="59" t="n">
        <f aca="false">IFERROR(IF(VLOOKUP($A105,RA_result!$B$3:$N$62,6,0)="",S105*T105,VLOOKUP($A105,RA_result!$B$3:$N$62,6,0)),"")</f>
        <v>948195353.748447</v>
      </c>
      <c r="V105" s="61" t="n">
        <v>2.3</v>
      </c>
      <c r="W105" s="62" t="n">
        <f aca="false">IFERROR((S105*30%)/V105,0)</f>
        <v>137419616.485282</v>
      </c>
      <c r="X105" s="63" t="n">
        <f aca="false">IFERROR(N105/W105,0)</f>
        <v>0</v>
      </c>
      <c r="Y105" s="68"/>
      <c r="Z105" s="57"/>
      <c r="AA105" s="69" t="str">
        <f aca="false">IF(OR(U105="",Y105="",Z105=""),"",IF(AND(U105&gt;Y105,-U105&lt;Z105),"Ok","Not Ok"))</f>
        <v/>
      </c>
      <c r="AB105" s="70"/>
    </row>
    <row r="106" customFormat="false" ht="12.8" hidden="false" customHeight="false" outlineLevel="0" collapsed="false">
      <c r="A106" s="48" t="str">
        <f aca="false">TB_audited!A89</f>
        <v>General and administrative expense</v>
      </c>
      <c r="B106" s="49"/>
      <c r="C106" s="50"/>
      <c r="D106" s="51" t="n">
        <f aca="false">TB_audited!B89</f>
        <v>52205</v>
      </c>
      <c r="E106" s="52" t="str">
        <f aca="false">TB_audited!C89</f>
        <v>910/0080</v>
      </c>
      <c r="F106" s="53" t="str">
        <f aca="false">TB_audited!D89</f>
        <v>GREETING, GIFT &amp; CONDOLENCE</v>
      </c>
      <c r="G106" s="54" t="n">
        <f aca="false">IF($D$8="Interim",TB_audited!G89,TB_audited!E89)</f>
        <v>50550920</v>
      </c>
      <c r="H106" s="55" t="str">
        <f aca="false">IFERROR(VLOOKUP($A106,RA_result!$B$3:$N$62,11,0),"")</f>
        <v/>
      </c>
      <c r="I106" s="55" t="str">
        <f aca="false">IFERROR(VLOOKUP($A106,RA_result!$B$3:$N$62,12,0),"")</f>
        <v/>
      </c>
      <c r="J106" s="55" t="str">
        <f aca="false">IFERROR(VLOOKUP($A106,RA_result!$B$3:$N$62,13,0),"")</f>
        <v/>
      </c>
      <c r="K106" s="56" t="s">
        <v>53</v>
      </c>
      <c r="L106" s="56" t="s">
        <v>54</v>
      </c>
      <c r="M106" s="57" t="n">
        <v>50550920</v>
      </c>
      <c r="N106" s="54" t="n">
        <f aca="false">G106-M106</f>
        <v>0</v>
      </c>
      <c r="O106" s="55" t="str">
        <f aca="false">IFERROR(VLOOKUP($A106,RA_result!$B$3:$N$62,7,0),"")</f>
        <v>TM</v>
      </c>
      <c r="P106" s="52" t="str">
        <f aca="false">IFERROR(VLOOKUP($A106,RA_result!$B$3:$N$62,9,0),"")</f>
        <v>L</v>
      </c>
      <c r="Q106" s="52" t="str">
        <f aca="false">IFERROR(VLOOKUP($A106,RA_result!$B$3:$N$62,10,0),"")</f>
        <v/>
      </c>
      <c r="R106" s="58" t="s">
        <v>55</v>
      </c>
      <c r="S106" s="59" t="n">
        <f aca="false">IFERROR(VLOOKUP($A106,RA_result!$B$3:$N$62,4,0),"")</f>
        <v>1053550393.05383</v>
      </c>
      <c r="T106" s="60" t="n">
        <v>0.9</v>
      </c>
      <c r="U106" s="59" t="n">
        <f aca="false">IFERROR(IF(VLOOKUP($A106,RA_result!$B$3:$N$62,6,0)="",S106*T106,VLOOKUP($A106,RA_result!$B$3:$N$62,6,0)),"")</f>
        <v>948195353.748447</v>
      </c>
      <c r="V106" s="61" t="n">
        <v>2.3</v>
      </c>
      <c r="W106" s="62" t="n">
        <f aca="false">IFERROR((S106*30%)/V106,0)</f>
        <v>137419616.485282</v>
      </c>
      <c r="X106" s="63" t="n">
        <f aca="false">IFERROR(N106/W106,0)</f>
        <v>0</v>
      </c>
      <c r="Y106" s="68"/>
      <c r="Z106" s="57"/>
      <c r="AA106" s="69" t="str">
        <f aca="false">IF(OR(U106="",Y106="",Z106=""),"",IF(AND(U106&gt;Y106,-U106&lt;Z106),"Ok","Not Ok"))</f>
        <v/>
      </c>
      <c r="AB106" s="70"/>
    </row>
    <row r="107" customFormat="false" ht="12.8" hidden="false" customHeight="false" outlineLevel="0" collapsed="false">
      <c r="A107" s="48" t="str">
        <f aca="false">TB_audited!A90</f>
        <v>General and administrative expense</v>
      </c>
      <c r="B107" s="49"/>
      <c r="C107" s="50"/>
      <c r="D107" s="51" t="n">
        <f aca="false">TB_audited!B90</f>
        <v>52206</v>
      </c>
      <c r="E107" s="52" t="str">
        <f aca="false">TB_audited!C90</f>
        <v>910/0110</v>
      </c>
      <c r="F107" s="53" t="str">
        <f aca="false">TB_audited!D90</f>
        <v>POSTAGE &amp; STAMPS</v>
      </c>
      <c r="G107" s="54" t="n">
        <f aca="false">IF($D$8="Interim",TB_audited!G90,TB_audited!E90)</f>
        <v>55291218</v>
      </c>
      <c r="H107" s="55" t="str">
        <f aca="false">IFERROR(VLOOKUP($A107,RA_result!$B$3:$N$62,11,0),"")</f>
        <v/>
      </c>
      <c r="I107" s="55" t="str">
        <f aca="false">IFERROR(VLOOKUP($A107,RA_result!$B$3:$N$62,12,0),"")</f>
        <v/>
      </c>
      <c r="J107" s="55" t="str">
        <f aca="false">IFERROR(VLOOKUP($A107,RA_result!$B$3:$N$62,13,0),"")</f>
        <v/>
      </c>
      <c r="K107" s="56" t="s">
        <v>53</v>
      </c>
      <c r="L107" s="56" t="s">
        <v>54</v>
      </c>
      <c r="M107" s="57" t="n">
        <v>55291218</v>
      </c>
      <c r="N107" s="54" t="n">
        <f aca="false">G107-M107</f>
        <v>0</v>
      </c>
      <c r="O107" s="55" t="str">
        <f aca="false">IFERROR(VLOOKUP($A107,RA_result!$B$3:$N$62,7,0),"")</f>
        <v>TM</v>
      </c>
      <c r="P107" s="52" t="str">
        <f aca="false">IFERROR(VLOOKUP($A107,RA_result!$B$3:$N$62,9,0),"")</f>
        <v>L</v>
      </c>
      <c r="Q107" s="52" t="str">
        <f aca="false">IFERROR(VLOOKUP($A107,RA_result!$B$3:$N$62,10,0),"")</f>
        <v/>
      </c>
      <c r="R107" s="58" t="s">
        <v>55</v>
      </c>
      <c r="S107" s="59" t="n">
        <f aca="false">IFERROR(VLOOKUP($A107,RA_result!$B$3:$N$62,4,0),"")</f>
        <v>1053550393.05383</v>
      </c>
      <c r="T107" s="60" t="n">
        <v>0.9</v>
      </c>
      <c r="U107" s="59" t="n">
        <f aca="false">IFERROR(IF(VLOOKUP($A107,RA_result!$B$3:$N$62,6,0)="",S107*T107,VLOOKUP($A107,RA_result!$B$3:$N$62,6,0)),"")</f>
        <v>948195353.748447</v>
      </c>
      <c r="V107" s="61" t="n">
        <v>2.3</v>
      </c>
      <c r="W107" s="62" t="n">
        <f aca="false">IFERROR((S107*30%)/V107,0)</f>
        <v>137419616.485282</v>
      </c>
      <c r="X107" s="63" t="n">
        <f aca="false">IFERROR(N107/W107,0)</f>
        <v>0</v>
      </c>
      <c r="Y107" s="68"/>
      <c r="Z107" s="57"/>
      <c r="AA107" s="69" t="str">
        <f aca="false">IF(OR(U107="",Y107="",Z107=""),"",IF(AND(U107&gt;Y107,-U107&lt;Z107),"Ok","Not Ok"))</f>
        <v/>
      </c>
      <c r="AB107" s="70"/>
    </row>
    <row r="108" customFormat="false" ht="12.8" hidden="false" customHeight="false" outlineLevel="0" collapsed="false">
      <c r="A108" s="48" t="str">
        <f aca="false">TB_audited!A91</f>
        <v>General and administrative expense</v>
      </c>
      <c r="B108" s="49"/>
      <c r="C108" s="50"/>
      <c r="D108" s="51" t="n">
        <f aca="false">TB_audited!B91</f>
        <v>52207</v>
      </c>
      <c r="E108" s="52" t="str">
        <f aca="false">TB_audited!C91</f>
        <v>910/0120</v>
      </c>
      <c r="F108" s="53" t="str">
        <f aca="false">TB_audited!D91</f>
        <v>PRINTING &amp; STATIONERY</v>
      </c>
      <c r="G108" s="54" t="n">
        <f aca="false">IF($D$8="Interim",TB_audited!G91,TB_audited!E91)</f>
        <v>28368600</v>
      </c>
      <c r="H108" s="55" t="str">
        <f aca="false">IFERROR(VLOOKUP($A108,RA_result!$B$3:$N$62,11,0),"")</f>
        <v/>
      </c>
      <c r="I108" s="55" t="str">
        <f aca="false">IFERROR(VLOOKUP($A108,RA_result!$B$3:$N$62,12,0),"")</f>
        <v/>
      </c>
      <c r="J108" s="55" t="str">
        <f aca="false">IFERROR(VLOOKUP($A108,RA_result!$B$3:$N$62,13,0),"")</f>
        <v/>
      </c>
      <c r="K108" s="56" t="s">
        <v>53</v>
      </c>
      <c r="L108" s="56" t="s">
        <v>54</v>
      </c>
      <c r="M108" s="57" t="n">
        <v>28368600</v>
      </c>
      <c r="N108" s="54" t="n">
        <f aca="false">G108-M108</f>
        <v>0</v>
      </c>
      <c r="O108" s="55" t="str">
        <f aca="false">IFERROR(VLOOKUP($A108,RA_result!$B$3:$N$62,7,0),"")</f>
        <v>TM</v>
      </c>
      <c r="P108" s="52" t="str">
        <f aca="false">IFERROR(VLOOKUP($A108,RA_result!$B$3:$N$62,9,0),"")</f>
        <v>L</v>
      </c>
      <c r="Q108" s="52" t="str">
        <f aca="false">IFERROR(VLOOKUP($A108,RA_result!$B$3:$N$62,10,0),"")</f>
        <v/>
      </c>
      <c r="R108" s="58" t="s">
        <v>55</v>
      </c>
      <c r="S108" s="59" t="n">
        <f aca="false">IFERROR(VLOOKUP($A108,RA_result!$B$3:$N$62,4,0),"")</f>
        <v>1053550393.05383</v>
      </c>
      <c r="T108" s="60" t="n">
        <v>0.9</v>
      </c>
      <c r="U108" s="59" t="n">
        <f aca="false">IFERROR(IF(VLOOKUP($A108,RA_result!$B$3:$N$62,6,0)="",S108*T108,VLOOKUP($A108,RA_result!$B$3:$N$62,6,0)),"")</f>
        <v>948195353.748447</v>
      </c>
      <c r="V108" s="61" t="n">
        <v>2.3</v>
      </c>
      <c r="W108" s="62" t="n">
        <f aca="false">IFERROR((S108*30%)/V108,0)</f>
        <v>137419616.485282</v>
      </c>
      <c r="X108" s="63" t="n">
        <f aca="false">IFERROR(N108/W108,0)</f>
        <v>0</v>
      </c>
      <c r="Y108" s="68"/>
      <c r="Z108" s="57"/>
      <c r="AA108" s="69" t="str">
        <f aca="false">IF(OR(U108="",Y108="",Z108=""),"",IF(AND(U108&gt;Y108,-U108&lt;Z108),"Ok","Not Ok"))</f>
        <v/>
      </c>
      <c r="AB108" s="70"/>
    </row>
    <row r="109" customFormat="false" ht="12.8" hidden="false" customHeight="false" outlineLevel="0" collapsed="false">
      <c r="A109" s="48" t="str">
        <f aca="false">TB_audited!A92</f>
        <v>Human resources expense</v>
      </c>
      <c r="B109" s="49"/>
      <c r="C109" s="50"/>
      <c r="D109" s="51" t="n">
        <f aca="false">TB_audited!B92</f>
        <v>52103</v>
      </c>
      <c r="E109" s="52" t="str">
        <f aca="false">TB_audited!C92</f>
        <v>910/0130</v>
      </c>
      <c r="F109" s="53" t="str">
        <f aca="false">TB_audited!D92</f>
        <v>SALARY, WAGES &amp; ALLOWANCE</v>
      </c>
      <c r="G109" s="54" t="n">
        <f aca="false">IF($D$8="Interim",TB_audited!G92,TB_audited!E92)</f>
        <v>2861548056</v>
      </c>
      <c r="H109" s="55" t="str">
        <f aca="false">IFERROR(VLOOKUP($A109,RA_result!$B$3:$N$62,11,0),"")</f>
        <v/>
      </c>
      <c r="I109" s="55" t="str">
        <f aca="false">IFERROR(VLOOKUP($A109,RA_result!$B$3:$N$62,12,0),"")</f>
        <v>Ya</v>
      </c>
      <c r="J109" s="55" t="str">
        <f aca="false">IFERROR(VLOOKUP($A109,RA_result!$B$3:$N$62,13,0),"")</f>
        <v>YE</v>
      </c>
      <c r="K109" s="56" t="s">
        <v>54</v>
      </c>
      <c r="L109" s="56" t="s">
        <v>53</v>
      </c>
      <c r="M109" s="57" t="n">
        <v>2861548056</v>
      </c>
      <c r="N109" s="54" t="n">
        <f aca="false">G109-M109</f>
        <v>0</v>
      </c>
      <c r="O109" s="55" t="str">
        <f aca="false">IFERROR(VLOOKUP($A109,RA_result!$B$3:$N$62,7,0),"")</f>
        <v>M</v>
      </c>
      <c r="P109" s="52" t="str">
        <f aca="false">IFERROR(VLOOKUP($A109,RA_result!$B$3:$N$62,9,0),"")</f>
        <v>L</v>
      </c>
      <c r="Q109" s="52" t="str">
        <f aca="false">IFERROR(VLOOKUP($A109,RA_result!$B$3:$N$62,10,0),"")</f>
        <v/>
      </c>
      <c r="R109" s="58" t="s">
        <v>55</v>
      </c>
      <c r="S109" s="59" t="n">
        <f aca="false">IFERROR(VLOOKUP($A109,RA_result!$B$3:$N$62,4,0),"")</f>
        <v>1053550393.05383</v>
      </c>
      <c r="T109" s="60" t="n">
        <v>0.9</v>
      </c>
      <c r="U109" s="59" t="n">
        <f aca="false">IFERROR(IF(VLOOKUP($A109,RA_result!$B$3:$N$62,6,0)="",S109*T109,VLOOKUP($A109,RA_result!$B$3:$N$62,6,0)),"")</f>
        <v>948195353.748447</v>
      </c>
      <c r="V109" s="61" t="n">
        <v>2.3</v>
      </c>
      <c r="W109" s="62" t="n">
        <f aca="false">IFERROR((S109*30%)/V109,0)</f>
        <v>137419616.485282</v>
      </c>
      <c r="X109" s="63" t="n">
        <f aca="false">IFERROR(N109/W109,0)</f>
        <v>0</v>
      </c>
      <c r="Y109" s="68"/>
      <c r="Z109" s="57"/>
      <c r="AA109" s="69" t="str">
        <f aca="false">IF(OR(U109="",Y109="",Z109=""),"",IF(AND(U109&gt;Y109,-U109&lt;Z109),"Ok","Not Ok"))</f>
        <v/>
      </c>
      <c r="AB109" s="70"/>
    </row>
    <row r="110" customFormat="false" ht="12.8" hidden="false" customHeight="false" outlineLevel="0" collapsed="false">
      <c r="A110" s="48" t="str">
        <f aca="false">TB_audited!A93</f>
        <v>General and administrative expense</v>
      </c>
      <c r="B110" s="49"/>
      <c r="C110" s="50"/>
      <c r="D110" s="51" t="n">
        <f aca="false">TB_audited!B93</f>
        <v>52208</v>
      </c>
      <c r="E110" s="52" t="str">
        <f aca="false">TB_audited!C93</f>
        <v>910/0150</v>
      </c>
      <c r="F110" s="53" t="str">
        <f aca="false">TB_audited!D93</f>
        <v>TELECOMMUNICATION CHARGES</v>
      </c>
      <c r="G110" s="54" t="n">
        <f aca="false">IF($D$8="Interim",TB_audited!G93,TB_audited!E93)</f>
        <v>15985371</v>
      </c>
      <c r="H110" s="55" t="str">
        <f aca="false">IFERROR(VLOOKUP($A110,RA_result!$B$3:$N$62,11,0),"")</f>
        <v/>
      </c>
      <c r="I110" s="55" t="str">
        <f aca="false">IFERROR(VLOOKUP($A110,RA_result!$B$3:$N$62,12,0),"")</f>
        <v/>
      </c>
      <c r="J110" s="55" t="str">
        <f aca="false">IFERROR(VLOOKUP($A110,RA_result!$B$3:$N$62,13,0),"")</f>
        <v/>
      </c>
      <c r="K110" s="56" t="s">
        <v>53</v>
      </c>
      <c r="L110" s="56" t="s">
        <v>54</v>
      </c>
      <c r="M110" s="57" t="n">
        <v>15985371</v>
      </c>
      <c r="N110" s="54" t="n">
        <f aca="false">G110-M110</f>
        <v>0</v>
      </c>
      <c r="O110" s="55" t="str">
        <f aca="false">IFERROR(VLOOKUP($A110,RA_result!$B$3:$N$62,7,0),"")</f>
        <v>TM</v>
      </c>
      <c r="P110" s="52" t="str">
        <f aca="false">IFERROR(VLOOKUP($A110,RA_result!$B$3:$N$62,9,0),"")</f>
        <v>L</v>
      </c>
      <c r="Q110" s="52" t="str">
        <f aca="false">IFERROR(VLOOKUP($A110,RA_result!$B$3:$N$62,10,0),"")</f>
        <v/>
      </c>
      <c r="R110" s="58" t="s">
        <v>55</v>
      </c>
      <c r="S110" s="59" t="n">
        <f aca="false">IFERROR(VLOOKUP($A110,RA_result!$B$3:$N$62,4,0),"")</f>
        <v>1053550393.05383</v>
      </c>
      <c r="T110" s="60" t="n">
        <v>0.9</v>
      </c>
      <c r="U110" s="59" t="n">
        <f aca="false">IFERROR(IF(VLOOKUP($A110,RA_result!$B$3:$N$62,6,0)="",S110*T110,VLOOKUP($A110,RA_result!$B$3:$N$62,6,0)),"")</f>
        <v>948195353.748447</v>
      </c>
      <c r="V110" s="61" t="n">
        <v>2.3</v>
      </c>
      <c r="W110" s="62" t="n">
        <f aca="false">IFERROR((S110*30%)/V110,0)</f>
        <v>137419616.485282</v>
      </c>
      <c r="X110" s="63" t="n">
        <f aca="false">IFERROR(N110/W110,0)</f>
        <v>0</v>
      </c>
      <c r="Y110" s="68"/>
      <c r="Z110" s="57"/>
      <c r="AA110" s="69" t="str">
        <f aca="false">IF(OR(U110="",Y110="",Z110=""),"",IF(AND(U110&gt;Y110,-U110&lt;Z110),"Ok","Not Ok"))</f>
        <v/>
      </c>
      <c r="AB110" s="70"/>
    </row>
    <row r="111" customFormat="false" ht="12.8" hidden="false" customHeight="false" outlineLevel="0" collapsed="false">
      <c r="A111" s="48" t="str">
        <f aca="false">TB_audited!A94</f>
        <v>General and administrative expense</v>
      </c>
      <c r="B111" s="49"/>
      <c r="C111" s="50"/>
      <c r="D111" s="51" t="n">
        <f aca="false">TB_audited!B94</f>
        <v>52209</v>
      </c>
      <c r="E111" s="52" t="str">
        <f aca="false">TB_audited!C94</f>
        <v>910/0180</v>
      </c>
      <c r="F111" s="53" t="str">
        <f aca="false">TB_audited!D94</f>
        <v>UPKEEP OF MOTOR VEHICLE</v>
      </c>
      <c r="G111" s="54" t="n">
        <f aca="false">IF($D$8="Interim",TB_audited!G94,TB_audited!E94)</f>
        <v>27284847</v>
      </c>
      <c r="H111" s="55" t="str">
        <f aca="false">IFERROR(VLOOKUP($A111,RA_result!$B$3:$N$62,11,0),"")</f>
        <v/>
      </c>
      <c r="I111" s="55" t="str">
        <f aca="false">IFERROR(VLOOKUP($A111,RA_result!$B$3:$N$62,12,0),"")</f>
        <v/>
      </c>
      <c r="J111" s="55" t="str">
        <f aca="false">IFERROR(VLOOKUP($A111,RA_result!$B$3:$N$62,13,0),"")</f>
        <v/>
      </c>
      <c r="K111" s="56" t="s">
        <v>53</v>
      </c>
      <c r="L111" s="56" t="s">
        <v>54</v>
      </c>
      <c r="M111" s="57" t="n">
        <v>27284847</v>
      </c>
      <c r="N111" s="54" t="n">
        <f aca="false">G111-M111</f>
        <v>0</v>
      </c>
      <c r="O111" s="55" t="str">
        <f aca="false">IFERROR(VLOOKUP($A111,RA_result!$B$3:$N$62,7,0),"")</f>
        <v>TM</v>
      </c>
      <c r="P111" s="52" t="str">
        <f aca="false">IFERROR(VLOOKUP($A111,RA_result!$B$3:$N$62,9,0),"")</f>
        <v>L</v>
      </c>
      <c r="Q111" s="52" t="str">
        <f aca="false">IFERROR(VLOOKUP($A111,RA_result!$B$3:$N$62,10,0),"")</f>
        <v/>
      </c>
      <c r="R111" s="58" t="s">
        <v>55</v>
      </c>
      <c r="S111" s="59" t="n">
        <f aca="false">IFERROR(VLOOKUP($A111,RA_result!$B$3:$N$62,4,0),"")</f>
        <v>1053550393.05383</v>
      </c>
      <c r="T111" s="60" t="n">
        <v>0.9</v>
      </c>
      <c r="U111" s="59" t="n">
        <f aca="false">IFERROR(IF(VLOOKUP($A111,RA_result!$B$3:$N$62,6,0)="",S111*T111,VLOOKUP($A111,RA_result!$B$3:$N$62,6,0)),"")</f>
        <v>948195353.748447</v>
      </c>
      <c r="V111" s="61" t="n">
        <v>2.3</v>
      </c>
      <c r="W111" s="62" t="n">
        <f aca="false">IFERROR((S111*30%)/V111,0)</f>
        <v>137419616.485282</v>
      </c>
      <c r="X111" s="63" t="n">
        <f aca="false">IFERROR(N111/W111,0)</f>
        <v>0</v>
      </c>
      <c r="Y111" s="68"/>
      <c r="Z111" s="57"/>
      <c r="AA111" s="69" t="str">
        <f aca="false">IF(OR(U111="",Y111="",Z111=""),"",IF(AND(U111&gt;Y111,-U111&lt;Z111),"Ok","Not Ok"))</f>
        <v/>
      </c>
      <c r="AB111" s="70"/>
    </row>
    <row r="112" customFormat="false" ht="12.8" hidden="false" customHeight="false" outlineLevel="0" collapsed="false">
      <c r="A112" s="48" t="str">
        <f aca="false">TB_audited!A95</f>
        <v>General and administrative expense</v>
      </c>
      <c r="B112" s="49"/>
      <c r="C112" s="50"/>
      <c r="D112" s="51" t="n">
        <f aca="false">TB_audited!B95</f>
        <v>52210</v>
      </c>
      <c r="E112" s="52" t="str">
        <f aca="false">TB_audited!C95</f>
        <v>910/0190</v>
      </c>
      <c r="F112" s="53" t="str">
        <f aca="false">TB_audited!D95</f>
        <v>UPKEEP OF OFFICE EQUIPMENT</v>
      </c>
      <c r="G112" s="54" t="n">
        <f aca="false">IF($D$8="Interim",TB_audited!G95,TB_audited!E95)</f>
        <v>9436500</v>
      </c>
      <c r="H112" s="55" t="str">
        <f aca="false">IFERROR(VLOOKUP($A112,RA_result!$B$3:$N$62,11,0),"")</f>
        <v/>
      </c>
      <c r="I112" s="55" t="str">
        <f aca="false">IFERROR(VLOOKUP($A112,RA_result!$B$3:$N$62,12,0),"")</f>
        <v/>
      </c>
      <c r="J112" s="55" t="str">
        <f aca="false">IFERROR(VLOOKUP($A112,RA_result!$B$3:$N$62,13,0),"")</f>
        <v/>
      </c>
      <c r="K112" s="56" t="s">
        <v>53</v>
      </c>
      <c r="L112" s="56" t="s">
        <v>54</v>
      </c>
      <c r="M112" s="57" t="n">
        <v>9436500</v>
      </c>
      <c r="N112" s="54" t="n">
        <f aca="false">G112-M112</f>
        <v>0</v>
      </c>
      <c r="O112" s="55" t="str">
        <f aca="false">IFERROR(VLOOKUP($A112,RA_result!$B$3:$N$62,7,0),"")</f>
        <v>TM</v>
      </c>
      <c r="P112" s="52" t="str">
        <f aca="false">IFERROR(VLOOKUP($A112,RA_result!$B$3:$N$62,9,0),"")</f>
        <v>L</v>
      </c>
      <c r="Q112" s="52" t="str">
        <f aca="false">IFERROR(VLOOKUP($A112,RA_result!$B$3:$N$62,10,0),"")</f>
        <v/>
      </c>
      <c r="R112" s="58" t="s">
        <v>55</v>
      </c>
      <c r="S112" s="59" t="n">
        <f aca="false">IFERROR(VLOOKUP($A112,RA_result!$B$3:$N$62,4,0),"")</f>
        <v>1053550393.05383</v>
      </c>
      <c r="T112" s="60" t="n">
        <v>0.9</v>
      </c>
      <c r="U112" s="59" t="n">
        <f aca="false">IFERROR(IF(VLOOKUP($A112,RA_result!$B$3:$N$62,6,0)="",S112*T112,VLOOKUP($A112,RA_result!$B$3:$N$62,6,0)),"")</f>
        <v>948195353.748447</v>
      </c>
      <c r="V112" s="61" t="n">
        <v>2.3</v>
      </c>
      <c r="W112" s="62" t="n">
        <f aca="false">IFERROR((S112*30%)/V112,0)</f>
        <v>137419616.485282</v>
      </c>
      <c r="X112" s="63" t="n">
        <f aca="false">IFERROR(N112/W112,0)</f>
        <v>0</v>
      </c>
      <c r="Y112" s="68"/>
      <c r="Z112" s="57"/>
      <c r="AA112" s="69" t="str">
        <f aca="false">IF(OR(U112="",Y112="",Z112=""),"",IF(AND(U112&gt;Y112,-U112&lt;Z112),"Ok","Not Ok"))</f>
        <v/>
      </c>
      <c r="AB112" s="70"/>
    </row>
    <row r="113" customFormat="false" ht="12.8" hidden="false" customHeight="false" outlineLevel="0" collapsed="false">
      <c r="A113" s="48" t="str">
        <f aca="false">TB_audited!A96</f>
        <v>General and administrative expense</v>
      </c>
      <c r="B113" s="49"/>
      <c r="C113" s="50"/>
      <c r="D113" s="51" t="n">
        <f aca="false">TB_audited!B96</f>
        <v>52211</v>
      </c>
      <c r="E113" s="52" t="str">
        <f aca="false">TB_audited!C96</f>
        <v>910/0200</v>
      </c>
      <c r="F113" s="53" t="str">
        <f aca="false">TB_audited!D96</f>
        <v>WATER CHARGES</v>
      </c>
      <c r="G113" s="54" t="n">
        <f aca="false">IF($D$8="Interim",TB_audited!G96,TB_audited!E96)</f>
        <v>4441258</v>
      </c>
      <c r="H113" s="55" t="str">
        <f aca="false">IFERROR(VLOOKUP($A113,RA_result!$B$3:$N$62,11,0),"")</f>
        <v/>
      </c>
      <c r="I113" s="55" t="str">
        <f aca="false">IFERROR(VLOOKUP($A113,RA_result!$B$3:$N$62,12,0),"")</f>
        <v/>
      </c>
      <c r="J113" s="55" t="str">
        <f aca="false">IFERROR(VLOOKUP($A113,RA_result!$B$3:$N$62,13,0),"")</f>
        <v/>
      </c>
      <c r="K113" s="56"/>
      <c r="L113" s="56"/>
      <c r="M113" s="57" t="n">
        <v>4441258</v>
      </c>
      <c r="N113" s="54" t="n">
        <f aca="false">G113-M113</f>
        <v>0</v>
      </c>
      <c r="O113" s="55" t="str">
        <f aca="false">IFERROR(VLOOKUP($A113,RA_result!$B$3:$N$62,7,0),"")</f>
        <v>TM</v>
      </c>
      <c r="P113" s="52" t="str">
        <f aca="false">IFERROR(VLOOKUP($A113,RA_result!$B$3:$N$62,9,0),"")</f>
        <v>L</v>
      </c>
      <c r="Q113" s="52" t="str">
        <f aca="false">IFERROR(VLOOKUP($A113,RA_result!$B$3:$N$62,10,0),"")</f>
        <v/>
      </c>
      <c r="R113" s="58" t="s">
        <v>55</v>
      </c>
      <c r="S113" s="59" t="n">
        <f aca="false">IFERROR(VLOOKUP($A113,RA_result!$B$3:$N$62,4,0),"")</f>
        <v>1053550393.05383</v>
      </c>
      <c r="T113" s="60" t="n">
        <v>0.9</v>
      </c>
      <c r="U113" s="59" t="n">
        <f aca="false">IFERROR(IF(VLOOKUP($A113,RA_result!$B$3:$N$62,6,0)="",S113*T113,VLOOKUP($A113,RA_result!$B$3:$N$62,6,0)),"")</f>
        <v>948195353.748447</v>
      </c>
      <c r="V113" s="61" t="n">
        <v>2.3</v>
      </c>
      <c r="W113" s="62" t="n">
        <f aca="false">IFERROR((S113*30%)/V113,0)</f>
        <v>137419616.485282</v>
      </c>
      <c r="X113" s="63" t="n">
        <f aca="false">IFERROR(N113/W113,0)</f>
        <v>0</v>
      </c>
      <c r="Y113" s="68"/>
      <c r="Z113" s="57"/>
      <c r="AA113" s="69" t="str">
        <f aca="false">IF(OR(U113="",Y113="",Z113=""),"",IF(AND(U113&gt;Y113,-U113&lt;Z113),"Ok","Not Ok"))</f>
        <v/>
      </c>
      <c r="AB113" s="70"/>
    </row>
    <row r="114" customFormat="false" ht="12.8" hidden="false" customHeight="false" outlineLevel="0" collapsed="false">
      <c r="A114" s="48" t="str">
        <f aca="false">TB_audited!A97</f>
        <v>General and administrative expense</v>
      </c>
      <c r="B114" s="49"/>
      <c r="C114" s="50"/>
      <c r="D114" s="51" t="n">
        <f aca="false">TB_audited!B97</f>
        <v>52212</v>
      </c>
      <c r="E114" s="52" t="str">
        <f aca="false">TB_audited!C97</f>
        <v>910/0210</v>
      </c>
      <c r="F114" s="53" t="str">
        <f aca="false">TB_audited!D97</f>
        <v>ELECTRICITY CHARGES</v>
      </c>
      <c r="G114" s="54" t="n">
        <f aca="false">IF($D$8="Interim",TB_audited!G97,TB_audited!E97)</f>
        <v>60023721</v>
      </c>
      <c r="H114" s="55" t="str">
        <f aca="false">IFERROR(VLOOKUP($A114,RA_result!$B$3:$N$62,11,0),"")</f>
        <v/>
      </c>
      <c r="I114" s="55" t="str">
        <f aca="false">IFERROR(VLOOKUP($A114,RA_result!$B$3:$N$62,12,0),"")</f>
        <v/>
      </c>
      <c r="J114" s="55" t="str">
        <f aca="false">IFERROR(VLOOKUP($A114,RA_result!$B$3:$N$62,13,0),"")</f>
        <v/>
      </c>
      <c r="K114" s="56" t="s">
        <v>53</v>
      </c>
      <c r="L114" s="56" t="s">
        <v>54</v>
      </c>
      <c r="M114" s="57" t="n">
        <v>60023721</v>
      </c>
      <c r="N114" s="54" t="n">
        <f aca="false">G114-M114</f>
        <v>0</v>
      </c>
      <c r="O114" s="55" t="str">
        <f aca="false">IFERROR(VLOOKUP($A114,RA_result!$B$3:$N$62,7,0),"")</f>
        <v>TM</v>
      </c>
      <c r="P114" s="52" t="str">
        <f aca="false">IFERROR(VLOOKUP($A114,RA_result!$B$3:$N$62,9,0),"")</f>
        <v>L</v>
      </c>
      <c r="Q114" s="52" t="str">
        <f aca="false">IFERROR(VLOOKUP($A114,RA_result!$B$3:$N$62,10,0),"")</f>
        <v/>
      </c>
      <c r="R114" s="58" t="s">
        <v>55</v>
      </c>
      <c r="S114" s="59" t="n">
        <f aca="false">IFERROR(VLOOKUP($A114,RA_result!$B$3:$N$62,4,0),"")</f>
        <v>1053550393.05383</v>
      </c>
      <c r="T114" s="60" t="n">
        <v>0.9</v>
      </c>
      <c r="U114" s="59" t="n">
        <f aca="false">IFERROR(IF(VLOOKUP($A114,RA_result!$B$3:$N$62,6,0)="",S114*T114,VLOOKUP($A114,RA_result!$B$3:$N$62,6,0)),"")</f>
        <v>948195353.748447</v>
      </c>
      <c r="V114" s="61" t="n">
        <v>2.3</v>
      </c>
      <c r="W114" s="62" t="n">
        <f aca="false">IFERROR((S114*30%)/V114,0)</f>
        <v>137419616.485282</v>
      </c>
      <c r="X114" s="63" t="n">
        <f aca="false">IFERROR(N114/W114,0)</f>
        <v>0</v>
      </c>
      <c r="Y114" s="68"/>
      <c r="Z114" s="57"/>
      <c r="AA114" s="69" t="str">
        <f aca="false">IF(OR(U114="",Y114="",Z114=""),"",IF(AND(U114&gt;Y114,-U114&lt;Z114),"Ok","Not Ok"))</f>
        <v/>
      </c>
      <c r="AB114" s="70"/>
    </row>
    <row r="115" customFormat="false" ht="12.8" hidden="false" customHeight="false" outlineLevel="0" collapsed="false">
      <c r="A115" s="48" t="str">
        <f aca="false">TB_audited!A98</f>
        <v>General and administrative expense</v>
      </c>
      <c r="B115" s="49"/>
      <c r="C115" s="50"/>
      <c r="D115" s="51" t="n">
        <f aca="false">TB_audited!B98</f>
        <v>52213</v>
      </c>
      <c r="E115" s="52" t="str">
        <f aca="false">TB_audited!C98</f>
        <v>910/0240</v>
      </c>
      <c r="F115" s="53" t="str">
        <f aca="false">TB_audited!D98</f>
        <v>ENTERTAINMENT</v>
      </c>
      <c r="G115" s="54" t="n">
        <f aca="false">IF($D$8="Interim",TB_audited!G98,TB_audited!E98)</f>
        <v>70050000</v>
      </c>
      <c r="H115" s="55" t="str">
        <f aca="false">IFERROR(VLOOKUP($A115,RA_result!$B$3:$N$62,11,0),"")</f>
        <v/>
      </c>
      <c r="I115" s="55" t="str">
        <f aca="false">IFERROR(VLOOKUP($A115,RA_result!$B$3:$N$62,12,0),"")</f>
        <v/>
      </c>
      <c r="J115" s="55" t="str">
        <f aca="false">IFERROR(VLOOKUP($A115,RA_result!$B$3:$N$62,13,0),"")</f>
        <v/>
      </c>
      <c r="K115" s="56" t="s">
        <v>53</v>
      </c>
      <c r="L115" s="56" t="s">
        <v>54</v>
      </c>
      <c r="M115" s="57" t="n">
        <v>58375000</v>
      </c>
      <c r="N115" s="54" t="n">
        <f aca="false">G115-M115</f>
        <v>11675000</v>
      </c>
      <c r="O115" s="55" t="str">
        <f aca="false">IFERROR(VLOOKUP($A115,RA_result!$B$3:$N$62,7,0),"")</f>
        <v>TM</v>
      </c>
      <c r="P115" s="52" t="str">
        <f aca="false">IFERROR(VLOOKUP($A115,RA_result!$B$3:$N$62,9,0),"")</f>
        <v>L</v>
      </c>
      <c r="Q115" s="52" t="str">
        <f aca="false">IFERROR(VLOOKUP($A115,RA_result!$B$3:$N$62,10,0),"")</f>
        <v/>
      </c>
      <c r="R115" s="58" t="s">
        <v>55</v>
      </c>
      <c r="S115" s="59" t="n">
        <f aca="false">IFERROR(VLOOKUP($A115,RA_result!$B$3:$N$62,4,0),"")</f>
        <v>1053550393.05383</v>
      </c>
      <c r="T115" s="60" t="n">
        <v>0.9</v>
      </c>
      <c r="U115" s="59" t="n">
        <f aca="false">IFERROR(IF(VLOOKUP($A115,RA_result!$B$3:$N$62,6,0)="",S115*T115,VLOOKUP($A115,RA_result!$B$3:$N$62,6,0)),"")</f>
        <v>948195353.748447</v>
      </c>
      <c r="V115" s="61" t="n">
        <v>2.3</v>
      </c>
      <c r="W115" s="62" t="n">
        <f aca="false">IFERROR((S115*30%)/V115,0)</f>
        <v>137419616.485282</v>
      </c>
      <c r="X115" s="63" t="n">
        <f aca="false">IFERROR(N115/W115,0)</f>
        <v>0.0849587584262427</v>
      </c>
      <c r="Y115" s="68"/>
      <c r="Z115" s="57"/>
      <c r="AA115" s="69" t="str">
        <f aca="false">IF(OR(U115="",Y115="",Z115=""),"",IF(AND(U115&gt;Y115,-U115&lt;Z115),"Ok","Not Ok"))</f>
        <v/>
      </c>
      <c r="AB115" s="70"/>
    </row>
    <row r="116" customFormat="false" ht="12.8" hidden="false" customHeight="false" outlineLevel="0" collapsed="false">
      <c r="A116" s="48" t="str">
        <f aca="false">TB_audited!A99</f>
        <v>General and administrative expense</v>
      </c>
      <c r="B116" s="49"/>
      <c r="C116" s="50"/>
      <c r="D116" s="51" t="n">
        <f aca="false">TB_audited!B99</f>
        <v>52214</v>
      </c>
      <c r="E116" s="52" t="str">
        <f aca="false">TB_audited!C99</f>
        <v>910/0270</v>
      </c>
      <c r="F116" s="53" t="str">
        <f aca="false">TB_audited!D99</f>
        <v>TRANSPORT FEE FOR ADMINISTRATIVE / OFFICE</v>
      </c>
      <c r="G116" s="54" t="n">
        <f aca="false">IF($D$8="Interim",TB_audited!G99,TB_audited!E99)</f>
        <v>40093643</v>
      </c>
      <c r="H116" s="55" t="str">
        <f aca="false">IFERROR(VLOOKUP($A116,RA_result!$B$3:$N$62,11,0),"")</f>
        <v/>
      </c>
      <c r="I116" s="55" t="str">
        <f aca="false">IFERROR(VLOOKUP($A116,RA_result!$B$3:$N$62,12,0),"")</f>
        <v/>
      </c>
      <c r="J116" s="55" t="str">
        <f aca="false">IFERROR(VLOOKUP($A116,RA_result!$B$3:$N$62,13,0),"")</f>
        <v/>
      </c>
      <c r="K116" s="56" t="s">
        <v>53</v>
      </c>
      <c r="L116" s="56" t="s">
        <v>54</v>
      </c>
      <c r="M116" s="57" t="n">
        <v>40093643</v>
      </c>
      <c r="N116" s="54" t="n">
        <f aca="false">G116-M116</f>
        <v>0</v>
      </c>
      <c r="O116" s="55" t="str">
        <f aca="false">IFERROR(VLOOKUP($A116,RA_result!$B$3:$N$62,7,0),"")</f>
        <v>TM</v>
      </c>
      <c r="P116" s="52" t="str">
        <f aca="false">IFERROR(VLOOKUP($A116,RA_result!$B$3:$N$62,9,0),"")</f>
        <v>L</v>
      </c>
      <c r="Q116" s="52" t="str">
        <f aca="false">IFERROR(VLOOKUP($A116,RA_result!$B$3:$N$62,10,0),"")</f>
        <v/>
      </c>
      <c r="R116" s="58" t="s">
        <v>55</v>
      </c>
      <c r="S116" s="59" t="n">
        <f aca="false">IFERROR(VLOOKUP($A116,RA_result!$B$3:$N$62,4,0),"")</f>
        <v>1053550393.05383</v>
      </c>
      <c r="T116" s="60" t="n">
        <v>0.9</v>
      </c>
      <c r="U116" s="59" t="n">
        <f aca="false">IFERROR(IF(VLOOKUP($A116,RA_result!$B$3:$N$62,6,0)="",S116*T116,VLOOKUP($A116,RA_result!$B$3:$N$62,6,0)),"")</f>
        <v>948195353.748447</v>
      </c>
      <c r="V116" s="61" t="n">
        <v>1.3</v>
      </c>
      <c r="W116" s="62" t="n">
        <f aca="false">IFERROR((S116*30%)/V116,0)</f>
        <v>243127013.781653</v>
      </c>
      <c r="X116" s="63" t="n">
        <f aca="false">IFERROR(N116/W116,0)</f>
        <v>0</v>
      </c>
      <c r="Y116" s="68"/>
      <c r="Z116" s="57"/>
      <c r="AA116" s="69" t="str">
        <f aca="false">IF(OR(U116="",Y116="",Z116=""),"",IF(AND(U116&gt;Y116,-U116&lt;Z116),"Ok","Not Ok"))</f>
        <v/>
      </c>
      <c r="AB116" s="70"/>
    </row>
    <row r="117" customFormat="false" ht="12.8" hidden="false" customHeight="false" outlineLevel="0" collapsed="false">
      <c r="A117" s="48" t="str">
        <f aca="false">TB_audited!A100</f>
        <v>General and administrative expense</v>
      </c>
      <c r="B117" s="49"/>
      <c r="C117" s="50"/>
      <c r="D117" s="51" t="n">
        <f aca="false">TB_audited!B100</f>
        <v>52215</v>
      </c>
      <c r="E117" s="52" t="str">
        <f aca="false">TB_audited!C100</f>
        <v>910/0290</v>
      </c>
      <c r="F117" s="53" t="str">
        <f aca="false">TB_audited!D100</f>
        <v>MAINTENANCE FEE</v>
      </c>
      <c r="G117" s="54" t="n">
        <f aca="false">IF($D$8="Interim",TB_audited!G100,TB_audited!E100)</f>
        <v>60509240</v>
      </c>
      <c r="H117" s="55" t="str">
        <f aca="false">IFERROR(VLOOKUP($A117,RA_result!$B$3:$N$62,11,0),"")</f>
        <v/>
      </c>
      <c r="I117" s="55" t="str">
        <f aca="false">IFERROR(VLOOKUP($A117,RA_result!$B$3:$N$62,12,0),"")</f>
        <v/>
      </c>
      <c r="J117" s="55" t="str">
        <f aca="false">IFERROR(VLOOKUP($A117,RA_result!$B$3:$N$62,13,0),"")</f>
        <v/>
      </c>
      <c r="K117" s="56" t="s">
        <v>53</v>
      </c>
      <c r="L117" s="56" t="s">
        <v>54</v>
      </c>
      <c r="M117" s="57" t="n">
        <v>60509240</v>
      </c>
      <c r="N117" s="54" t="n">
        <f aca="false">G117-M117</f>
        <v>0</v>
      </c>
      <c r="O117" s="55" t="str">
        <f aca="false">IFERROR(VLOOKUP($A117,RA_result!$B$3:$N$62,7,0),"")</f>
        <v>TM</v>
      </c>
      <c r="P117" s="52" t="str">
        <f aca="false">IFERROR(VLOOKUP($A117,RA_result!$B$3:$N$62,9,0),"")</f>
        <v>L</v>
      </c>
      <c r="Q117" s="52" t="str">
        <f aca="false">IFERROR(VLOOKUP($A117,RA_result!$B$3:$N$62,10,0),"")</f>
        <v/>
      </c>
      <c r="R117" s="58" t="s">
        <v>55</v>
      </c>
      <c r="S117" s="59" t="n">
        <f aca="false">IFERROR(VLOOKUP($A117,RA_result!$B$3:$N$62,4,0),"")</f>
        <v>1053550393.05383</v>
      </c>
      <c r="T117" s="60" t="n">
        <v>0.9</v>
      </c>
      <c r="U117" s="59" t="n">
        <f aca="false">IFERROR(IF(VLOOKUP($A117,RA_result!$B$3:$N$62,6,0)="",S117*T117,VLOOKUP($A117,RA_result!$B$3:$N$62,6,0)),"")</f>
        <v>948195353.748447</v>
      </c>
      <c r="V117" s="61" t="n">
        <v>1.3</v>
      </c>
      <c r="W117" s="62" t="n">
        <f aca="false">IFERROR((S117*30%)/V117,0)</f>
        <v>243127013.781653</v>
      </c>
      <c r="X117" s="63" t="n">
        <f aca="false">IFERROR(N117/W117,0)</f>
        <v>0</v>
      </c>
      <c r="Y117" s="68"/>
      <c r="Z117" s="57"/>
      <c r="AA117" s="69" t="str">
        <f aca="false">IF(OR(U117="",Y117="",Z117=""),"",IF(AND(U117&gt;Y117,-U117&lt;Z117),"Ok","Not Ok"))</f>
        <v/>
      </c>
      <c r="AB117" s="70"/>
    </row>
    <row r="118" customFormat="false" ht="12.8" hidden="false" customHeight="false" outlineLevel="0" collapsed="false">
      <c r="A118" s="48" t="str">
        <f aca="false">TB_audited!A101</f>
        <v>General and administrative expense</v>
      </c>
      <c r="B118" s="49"/>
      <c r="C118" s="50"/>
      <c r="D118" s="51" t="n">
        <f aca="false">TB_audited!B101</f>
        <v>52216</v>
      </c>
      <c r="E118" s="52" t="str">
        <f aca="false">TB_audited!C101</f>
        <v>910/0300</v>
      </c>
      <c r="F118" s="53" t="str">
        <f aca="false">TB_audited!D101</f>
        <v>TOOLS AND UTENSILS</v>
      </c>
      <c r="G118" s="54" t="n">
        <f aca="false">IF($D$8="Interim",TB_audited!G101,TB_audited!E101)</f>
        <v>7459630</v>
      </c>
      <c r="H118" s="55" t="str">
        <f aca="false">IFERROR(VLOOKUP($A118,RA_result!$B$3:$N$62,11,0),"")</f>
        <v/>
      </c>
      <c r="I118" s="55" t="str">
        <f aca="false">IFERROR(VLOOKUP($A118,RA_result!$B$3:$N$62,12,0),"")</f>
        <v/>
      </c>
      <c r="J118" s="55" t="str">
        <f aca="false">IFERROR(VLOOKUP($A118,RA_result!$B$3:$N$62,13,0),"")</f>
        <v/>
      </c>
      <c r="K118" s="56"/>
      <c r="L118" s="56"/>
      <c r="M118" s="57" t="n">
        <v>7459630</v>
      </c>
      <c r="N118" s="54" t="n">
        <f aca="false">G118-M118</f>
        <v>0</v>
      </c>
      <c r="O118" s="55" t="str">
        <f aca="false">IFERROR(VLOOKUP($A118,RA_result!$B$3:$N$62,7,0),"")</f>
        <v>TM</v>
      </c>
      <c r="P118" s="52" t="str">
        <f aca="false">IFERROR(VLOOKUP($A118,RA_result!$B$3:$N$62,9,0),"")</f>
        <v>L</v>
      </c>
      <c r="Q118" s="52" t="str">
        <f aca="false">IFERROR(VLOOKUP($A118,RA_result!$B$3:$N$62,10,0),"")</f>
        <v/>
      </c>
      <c r="R118" s="58" t="s">
        <v>55</v>
      </c>
      <c r="S118" s="59" t="n">
        <f aca="false">IFERROR(VLOOKUP($A118,RA_result!$B$3:$N$62,4,0),"")</f>
        <v>1053550393.05383</v>
      </c>
      <c r="T118" s="60" t="n">
        <v>0.9</v>
      </c>
      <c r="U118" s="59" t="n">
        <f aca="false">IFERROR(IF(VLOOKUP($A118,RA_result!$B$3:$N$62,6,0)="",S118*T118,VLOOKUP($A118,RA_result!$B$3:$N$62,6,0)),"")</f>
        <v>948195353.748447</v>
      </c>
      <c r="V118" s="61" t="n">
        <v>1.3</v>
      </c>
      <c r="W118" s="62" t="n">
        <f aca="false">IFERROR((S118*30%)/V118,0)</f>
        <v>243127013.781653</v>
      </c>
      <c r="X118" s="63" t="n">
        <f aca="false">IFERROR(N118/W118,0)</f>
        <v>0</v>
      </c>
      <c r="Y118" s="68"/>
      <c r="Z118" s="57"/>
      <c r="AA118" s="69" t="str">
        <f aca="false">IF(OR(U118="",Y118="",Z118=""),"",IF(AND(U118&gt;Y118,-U118&lt;Z118),"Ok","Not Ok"))</f>
        <v/>
      </c>
      <c r="AB118" s="70"/>
    </row>
    <row r="119" customFormat="false" ht="12.8" hidden="false" customHeight="false" outlineLevel="0" collapsed="false">
      <c r="A119" s="48" t="str">
        <f aca="false">TB_audited!A102</f>
        <v>General and administrative expense</v>
      </c>
      <c r="B119" s="49"/>
      <c r="C119" s="50"/>
      <c r="D119" s="51" t="n">
        <f aca="false">TB_audited!B102</f>
        <v>52217</v>
      </c>
      <c r="E119" s="52" t="str">
        <f aca="false">TB_audited!C102</f>
        <v>910/0320</v>
      </c>
      <c r="F119" s="53" t="str">
        <f aca="false">TB_audited!D102</f>
        <v>PETROL CHARGES</v>
      </c>
      <c r="G119" s="54" t="n">
        <f aca="false">IF($D$8="Interim",TB_audited!G102,TB_audited!E102)</f>
        <v>5200539</v>
      </c>
      <c r="H119" s="55" t="str">
        <f aca="false">IFERROR(VLOOKUP($A119,RA_result!$B$3:$N$62,11,0),"")</f>
        <v/>
      </c>
      <c r="I119" s="55" t="str">
        <f aca="false">IFERROR(VLOOKUP($A119,RA_result!$B$3:$N$62,12,0),"")</f>
        <v/>
      </c>
      <c r="J119" s="55" t="str">
        <f aca="false">IFERROR(VLOOKUP($A119,RA_result!$B$3:$N$62,13,0),"")</f>
        <v/>
      </c>
      <c r="K119" s="56"/>
      <c r="L119" s="56"/>
      <c r="M119" s="57" t="n">
        <v>5200539</v>
      </c>
      <c r="N119" s="54" t="n">
        <f aca="false">G119-M119</f>
        <v>0</v>
      </c>
      <c r="O119" s="55" t="str">
        <f aca="false">IFERROR(VLOOKUP($A119,RA_result!$B$3:$N$62,7,0),"")</f>
        <v>TM</v>
      </c>
      <c r="P119" s="52" t="str">
        <f aca="false">IFERROR(VLOOKUP($A119,RA_result!$B$3:$N$62,9,0),"")</f>
        <v>L</v>
      </c>
      <c r="Q119" s="52" t="str">
        <f aca="false">IFERROR(VLOOKUP($A119,RA_result!$B$3:$N$62,10,0),"")</f>
        <v/>
      </c>
      <c r="R119" s="58" t="s">
        <v>55</v>
      </c>
      <c r="S119" s="59" t="n">
        <f aca="false">IFERROR(VLOOKUP($A119,RA_result!$B$3:$N$62,4,0),"")</f>
        <v>1053550393.05383</v>
      </c>
      <c r="T119" s="60" t="n">
        <v>0.9</v>
      </c>
      <c r="U119" s="59" t="n">
        <f aca="false">IFERROR(IF(VLOOKUP($A119,RA_result!$B$3:$N$62,6,0)="",S119*T119,VLOOKUP($A119,RA_result!$B$3:$N$62,6,0)),"")</f>
        <v>948195353.748447</v>
      </c>
      <c r="V119" s="61" t="n">
        <v>1.3</v>
      </c>
      <c r="W119" s="62" t="n">
        <f aca="false">IFERROR((S119*30%)/V119,0)</f>
        <v>243127013.781653</v>
      </c>
      <c r="X119" s="63" t="n">
        <f aca="false">IFERROR(N119/W119,0)</f>
        <v>0</v>
      </c>
      <c r="Y119" s="68"/>
      <c r="Z119" s="57"/>
      <c r="AA119" s="69" t="str">
        <f aca="false">IF(OR(U119="",Y119="",Z119=""),"",IF(AND(U119&gt;Y119,-U119&lt;Z119),"Ok","Not Ok"))</f>
        <v/>
      </c>
      <c r="AB119" s="70"/>
    </row>
    <row r="120" customFormat="false" ht="12.8" hidden="false" customHeight="false" outlineLevel="0" collapsed="false">
      <c r="A120" s="48" t="str">
        <f aca="false">TB_audited!A103</f>
        <v>General and administrative expense</v>
      </c>
      <c r="B120" s="49"/>
      <c r="C120" s="50"/>
      <c r="D120" s="51" t="n">
        <f aca="false">TB_audited!B103</f>
        <v>52218</v>
      </c>
      <c r="E120" s="52" t="str">
        <f aca="false">TB_audited!C103</f>
        <v>910/0350</v>
      </c>
      <c r="F120" s="53" t="str">
        <f aca="false">TB_audited!D103</f>
        <v>INSURANCE</v>
      </c>
      <c r="G120" s="54" t="n">
        <f aca="false">IF($D$8="Interim",TB_audited!G103,TB_audited!E103)</f>
        <v>26938629</v>
      </c>
      <c r="H120" s="55" t="str">
        <f aca="false">IFERROR(VLOOKUP($A120,RA_result!$B$3:$N$62,11,0),"")</f>
        <v/>
      </c>
      <c r="I120" s="55" t="str">
        <f aca="false">IFERROR(VLOOKUP($A120,RA_result!$B$3:$N$62,12,0),"")</f>
        <v/>
      </c>
      <c r="J120" s="55" t="str">
        <f aca="false">IFERROR(VLOOKUP($A120,RA_result!$B$3:$N$62,13,0),"")</f>
        <v/>
      </c>
      <c r="K120" s="56" t="s">
        <v>53</v>
      </c>
      <c r="L120" s="56" t="s">
        <v>54</v>
      </c>
      <c r="M120" s="57" t="n">
        <v>26938629</v>
      </c>
      <c r="N120" s="54" t="n">
        <f aca="false">G120-M120</f>
        <v>0</v>
      </c>
      <c r="O120" s="55" t="str">
        <f aca="false">IFERROR(VLOOKUP($A120,RA_result!$B$3:$N$62,7,0),"")</f>
        <v>TM</v>
      </c>
      <c r="P120" s="52" t="str">
        <f aca="false">IFERROR(VLOOKUP($A120,RA_result!$B$3:$N$62,9,0),"")</f>
        <v>L</v>
      </c>
      <c r="Q120" s="52" t="str">
        <f aca="false">IFERROR(VLOOKUP($A120,RA_result!$B$3:$N$62,10,0),"")</f>
        <v/>
      </c>
      <c r="R120" s="58" t="s">
        <v>55</v>
      </c>
      <c r="S120" s="59" t="n">
        <f aca="false">IFERROR(VLOOKUP($A120,RA_result!$B$3:$N$62,4,0),"")</f>
        <v>1053550393.05383</v>
      </c>
      <c r="T120" s="60" t="n">
        <v>0.9</v>
      </c>
      <c r="U120" s="59" t="n">
        <f aca="false">IFERROR(IF(VLOOKUP($A120,RA_result!$B$3:$N$62,6,0)="",S120*T120,VLOOKUP($A120,RA_result!$B$3:$N$62,6,0)),"")</f>
        <v>948195353.748447</v>
      </c>
      <c r="V120" s="61" t="n">
        <v>1.3</v>
      </c>
      <c r="W120" s="62" t="n">
        <f aca="false">IFERROR((S120*30%)/V120,0)</f>
        <v>243127013.781653</v>
      </c>
      <c r="X120" s="63" t="n">
        <f aca="false">IFERROR(N120/W120,0)</f>
        <v>0</v>
      </c>
      <c r="Y120" s="68"/>
      <c r="Z120" s="57"/>
      <c r="AA120" s="69" t="str">
        <f aca="false">IF(OR(U120="",Y120="",Z120=""),"",IF(AND(U120&gt;Y120,-U120&lt;Z120),"Ok","Not Ok"))</f>
        <v/>
      </c>
      <c r="AB120" s="70"/>
    </row>
    <row r="121" customFormat="false" ht="12.8" hidden="false" customHeight="false" outlineLevel="0" collapsed="false">
      <c r="A121" s="48" t="str">
        <f aca="false">TB_audited!A104</f>
        <v>General and administrative expense</v>
      </c>
      <c r="B121" s="49"/>
      <c r="C121" s="50"/>
      <c r="D121" s="51" t="n">
        <f aca="false">TB_audited!B104</f>
        <v>52219</v>
      </c>
      <c r="E121" s="52" t="str">
        <f aca="false">TB_audited!C104</f>
        <v>910/0400</v>
      </c>
      <c r="F121" s="53" t="str">
        <f aca="false">TB_audited!D104</f>
        <v>UPKEEP OF FACTORY EQUIPMENT</v>
      </c>
      <c r="G121" s="54" t="n">
        <f aca="false">IF($D$8="Interim",TB_audited!G104,TB_audited!E104)</f>
        <v>0</v>
      </c>
      <c r="H121" s="55" t="str">
        <f aca="false">IFERROR(VLOOKUP($A121,RA_result!$B$3:$N$62,11,0),"")</f>
        <v/>
      </c>
      <c r="I121" s="55" t="str">
        <f aca="false">IFERROR(VLOOKUP($A121,RA_result!$B$3:$N$62,12,0),"")</f>
        <v/>
      </c>
      <c r="J121" s="55" t="str">
        <f aca="false">IFERROR(VLOOKUP($A121,RA_result!$B$3:$N$62,13,0),"")</f>
        <v/>
      </c>
      <c r="K121" s="56"/>
      <c r="L121" s="56"/>
      <c r="M121" s="57" t="n">
        <v>0</v>
      </c>
      <c r="N121" s="54" t="n">
        <f aca="false">G121-M121</f>
        <v>0</v>
      </c>
      <c r="O121" s="55" t="str">
        <f aca="false">IFERROR(VLOOKUP($A121,RA_result!$B$3:$N$62,7,0),"")</f>
        <v>TM</v>
      </c>
      <c r="P121" s="52" t="str">
        <f aca="false">IFERROR(VLOOKUP($A121,RA_result!$B$3:$N$62,9,0),"")</f>
        <v>L</v>
      </c>
      <c r="Q121" s="52" t="str">
        <f aca="false">IFERROR(VLOOKUP($A121,RA_result!$B$3:$N$62,10,0),"")</f>
        <v/>
      </c>
      <c r="R121" s="58" t="s">
        <v>55</v>
      </c>
      <c r="S121" s="59" t="n">
        <f aca="false">IFERROR(VLOOKUP($A121,RA_result!$B$3:$N$62,4,0),"")</f>
        <v>1053550393.05383</v>
      </c>
      <c r="T121" s="60" t="n">
        <v>0.9</v>
      </c>
      <c r="U121" s="59" t="n">
        <f aca="false">IFERROR(IF(VLOOKUP($A121,RA_result!$B$3:$N$62,6,0)="",S121*T121,VLOOKUP($A121,RA_result!$B$3:$N$62,6,0)),"")</f>
        <v>948195353.748447</v>
      </c>
      <c r="V121" s="61" t="n">
        <v>1.3</v>
      </c>
      <c r="W121" s="62" t="n">
        <f aca="false">IFERROR((S121*30%)/V121,0)</f>
        <v>243127013.781653</v>
      </c>
      <c r="X121" s="63" t="n">
        <f aca="false">IFERROR(N121/W121,0)</f>
        <v>0</v>
      </c>
      <c r="Y121" s="68"/>
      <c r="Z121" s="57"/>
      <c r="AA121" s="69" t="str">
        <f aca="false">IF(OR(U121="",Y121="",Z121=""),"",IF(AND(U121&gt;Y121,-U121&lt;Z121),"Ok","Not Ok"))</f>
        <v/>
      </c>
      <c r="AB121" s="70"/>
    </row>
    <row r="122" customFormat="false" ht="12.8" hidden="false" customHeight="false" outlineLevel="0" collapsed="false">
      <c r="A122" s="48" t="str">
        <f aca="false">TB_audited!A105</f>
        <v>General and administrative expense</v>
      </c>
      <c r="B122" s="49"/>
      <c r="C122" s="50"/>
      <c r="D122" s="51" t="n">
        <f aca="false">TB_audited!B105</f>
        <v>52220</v>
      </c>
      <c r="E122" s="52" t="str">
        <f aca="false">TB_audited!C105</f>
        <v>910/0410</v>
      </c>
      <c r="F122" s="53" t="str">
        <f aca="false">TB_audited!D105</f>
        <v>PROFESIONAL FEE</v>
      </c>
      <c r="G122" s="54" t="n">
        <f aca="false">IF($D$8="Interim",TB_audited!G105,TB_audited!E105)</f>
        <v>63000000</v>
      </c>
      <c r="H122" s="55" t="str">
        <f aca="false">IFERROR(VLOOKUP($A122,RA_result!$B$3:$N$62,11,0),"")</f>
        <v/>
      </c>
      <c r="I122" s="55" t="str">
        <f aca="false">IFERROR(VLOOKUP($A122,RA_result!$B$3:$N$62,12,0),"")</f>
        <v/>
      </c>
      <c r="J122" s="55" t="str">
        <f aca="false">IFERROR(VLOOKUP($A122,RA_result!$B$3:$N$62,13,0),"")</f>
        <v/>
      </c>
      <c r="K122" s="56" t="s">
        <v>53</v>
      </c>
      <c r="L122" s="56" t="s">
        <v>54</v>
      </c>
      <c r="M122" s="57" t="n">
        <v>63000000</v>
      </c>
      <c r="N122" s="54" t="n">
        <f aca="false">G122-M122</f>
        <v>0</v>
      </c>
      <c r="O122" s="55" t="str">
        <f aca="false">IFERROR(VLOOKUP($A122,RA_result!$B$3:$N$62,7,0),"")</f>
        <v>TM</v>
      </c>
      <c r="P122" s="52" t="str">
        <f aca="false">IFERROR(VLOOKUP($A122,RA_result!$B$3:$N$62,9,0),"")</f>
        <v>L</v>
      </c>
      <c r="Q122" s="52" t="str">
        <f aca="false">IFERROR(VLOOKUP($A122,RA_result!$B$3:$N$62,10,0),"")</f>
        <v/>
      </c>
      <c r="R122" s="58" t="s">
        <v>55</v>
      </c>
      <c r="S122" s="59" t="n">
        <f aca="false">IFERROR(VLOOKUP($A122,RA_result!$B$3:$N$62,4,0),"")</f>
        <v>1053550393.05383</v>
      </c>
      <c r="T122" s="60" t="n">
        <v>0.9</v>
      </c>
      <c r="U122" s="59" t="n">
        <f aca="false">IFERROR(IF(VLOOKUP($A122,RA_result!$B$3:$N$62,6,0)="",S122*T122,VLOOKUP($A122,RA_result!$B$3:$N$62,6,0)),"")</f>
        <v>948195353.748447</v>
      </c>
      <c r="V122" s="61" t="n">
        <v>1.3</v>
      </c>
      <c r="W122" s="62" t="n">
        <f aca="false">IFERROR((S122*30%)/V122,0)</f>
        <v>243127013.781653</v>
      </c>
      <c r="X122" s="63" t="n">
        <f aca="false">IFERROR(N122/W122,0)</f>
        <v>0</v>
      </c>
      <c r="Y122" s="68"/>
      <c r="Z122" s="57"/>
      <c r="AA122" s="69" t="str">
        <f aca="false">IF(OR(U122="",Y122="",Z122=""),"",IF(AND(U122&gt;Y122,-U122&lt;Z122),"Ok","Not Ok"))</f>
        <v/>
      </c>
      <c r="AB122" s="70"/>
    </row>
    <row r="123" customFormat="false" ht="12.8" hidden="false" customHeight="false" outlineLevel="0" collapsed="false">
      <c r="A123" s="48" t="str">
        <f aca="false">TB_audited!A106</f>
        <v>General and administrative expense</v>
      </c>
      <c r="B123" s="49"/>
      <c r="C123" s="50"/>
      <c r="D123" s="51" t="n">
        <f aca="false">TB_audited!B106</f>
        <v>52221</v>
      </c>
      <c r="E123" s="52" t="str">
        <f aca="false">TB_audited!C106</f>
        <v>910/0420</v>
      </c>
      <c r="F123" s="53" t="str">
        <f aca="false">TB_audited!D106</f>
        <v>RENTAL OF FORKLIFT</v>
      </c>
      <c r="G123" s="54" t="n">
        <f aca="false">IF($D$8="Interim",TB_audited!G106,TB_audited!E106)</f>
        <v>2200000</v>
      </c>
      <c r="H123" s="55" t="str">
        <f aca="false">IFERROR(VLOOKUP($A123,RA_result!$B$3:$N$62,11,0),"")</f>
        <v/>
      </c>
      <c r="I123" s="55" t="str">
        <f aca="false">IFERROR(VLOOKUP($A123,RA_result!$B$3:$N$62,12,0),"")</f>
        <v/>
      </c>
      <c r="J123" s="55" t="str">
        <f aca="false">IFERROR(VLOOKUP($A123,RA_result!$B$3:$N$62,13,0),"")</f>
        <v/>
      </c>
      <c r="K123" s="56"/>
      <c r="L123" s="56"/>
      <c r="M123" s="57" t="n">
        <v>2200000</v>
      </c>
      <c r="N123" s="54" t="n">
        <f aca="false">G123-M123</f>
        <v>0</v>
      </c>
      <c r="O123" s="55" t="str">
        <f aca="false">IFERROR(VLOOKUP($A123,RA_result!$B$3:$N$62,7,0),"")</f>
        <v>TM</v>
      </c>
      <c r="P123" s="52" t="str">
        <f aca="false">IFERROR(VLOOKUP($A123,RA_result!$B$3:$N$62,9,0),"")</f>
        <v>L</v>
      </c>
      <c r="Q123" s="52" t="str">
        <f aca="false">IFERROR(VLOOKUP($A123,RA_result!$B$3:$N$62,10,0),"")</f>
        <v/>
      </c>
      <c r="R123" s="58" t="s">
        <v>55</v>
      </c>
      <c r="S123" s="59" t="n">
        <f aca="false">IFERROR(VLOOKUP($A123,RA_result!$B$3:$N$62,4,0),"")</f>
        <v>1053550393.05383</v>
      </c>
      <c r="T123" s="60" t="n">
        <v>0.9</v>
      </c>
      <c r="U123" s="59" t="n">
        <f aca="false">IFERROR(IF(VLOOKUP($A123,RA_result!$B$3:$N$62,6,0)="",S123*T123,VLOOKUP($A123,RA_result!$B$3:$N$62,6,0)),"")</f>
        <v>948195353.748447</v>
      </c>
      <c r="V123" s="61" t="n">
        <v>1.3</v>
      </c>
      <c r="W123" s="62" t="n">
        <f aca="false">IFERROR((S123*30%)/V123,0)</f>
        <v>243127013.781653</v>
      </c>
      <c r="X123" s="63" t="n">
        <f aca="false">IFERROR(N123/W123,0)</f>
        <v>0</v>
      </c>
      <c r="Y123" s="68"/>
      <c r="Z123" s="57"/>
      <c r="AA123" s="69" t="str">
        <f aca="false">IF(OR(U123="",Y123="",Z123=""),"",IF(AND(U123&gt;Y123,-U123&lt;Z123),"Ok","Not Ok"))</f>
        <v/>
      </c>
      <c r="AB123" s="70"/>
    </row>
    <row r="124" customFormat="false" ht="12.8" hidden="false" customHeight="false" outlineLevel="0" collapsed="false">
      <c r="A124" s="48" t="str">
        <f aca="false">TB_audited!A107</f>
        <v>Depreciation and amortization expense</v>
      </c>
      <c r="B124" s="49"/>
      <c r="C124" s="50"/>
      <c r="D124" s="51" t="n">
        <f aca="false">TB_audited!B107</f>
        <v>52301</v>
      </c>
      <c r="E124" s="52" t="str">
        <f aca="false">TB_audited!C107</f>
        <v>910/0432</v>
      </c>
      <c r="F124" s="53" t="str">
        <f aca="false">TB_audited!D107</f>
        <v>DEPRECIATION EXPENSE OF WAREHOUSE</v>
      </c>
      <c r="G124" s="54" t="n">
        <f aca="false">IF($D$8="Interim",TB_audited!G107,TB_audited!E107)</f>
        <v>471376668</v>
      </c>
      <c r="H124" s="55" t="str">
        <f aca="false">IFERROR(VLOOKUP($A124,RA_result!$B$3:$N$62,11,0),"")</f>
        <v/>
      </c>
      <c r="I124" s="55" t="str">
        <f aca="false">IFERROR(VLOOKUP($A124,RA_result!$B$3:$N$62,12,0),"")</f>
        <v>Ya</v>
      </c>
      <c r="J124" s="55" t="str">
        <f aca="false">IFERROR(VLOOKUP($A124,RA_result!$B$3:$N$62,13,0),"")</f>
        <v>YE</v>
      </c>
      <c r="K124" s="56"/>
      <c r="L124" s="56"/>
      <c r="M124" s="57" t="n">
        <v>471376668</v>
      </c>
      <c r="N124" s="54" t="n">
        <f aca="false">G124-M124</f>
        <v>0</v>
      </c>
      <c r="O124" s="55" t="str">
        <f aca="false">IFERROR(VLOOKUP($A124,RA_result!$B$3:$N$62,7,0),"")</f>
        <v>M</v>
      </c>
      <c r="P124" s="52" t="str">
        <f aca="false">IFERROR(VLOOKUP($A124,RA_result!$B$3:$N$62,9,0),"")</f>
        <v>L</v>
      </c>
      <c r="Q124" s="52" t="str">
        <f aca="false">IFERROR(VLOOKUP($A124,RA_result!$B$3:$N$62,10,0),"")</f>
        <v/>
      </c>
      <c r="R124" s="58" t="s">
        <v>55</v>
      </c>
      <c r="S124" s="59" t="n">
        <f aca="false">IFERROR(VLOOKUP($A124,RA_result!$B$3:$N$62,4,0),"")</f>
        <v>1053550393.05383</v>
      </c>
      <c r="T124" s="60" t="n">
        <v>0.9</v>
      </c>
      <c r="U124" s="59" t="n">
        <f aca="false">IFERROR(IF(VLOOKUP($A124,RA_result!$B$3:$N$62,6,0)="",S124*T124,VLOOKUP($A124,RA_result!$B$3:$N$62,6,0)),"")</f>
        <v>948195353.748447</v>
      </c>
      <c r="V124" s="61" t="s">
        <v>56</v>
      </c>
      <c r="W124" s="62" t="n">
        <f aca="false">IFERROR((S124*30%)/V124,0)</f>
        <v>0</v>
      </c>
      <c r="X124" s="63" t="n">
        <f aca="false">IFERROR(N124/W124,0)</f>
        <v>0</v>
      </c>
      <c r="Y124" s="68"/>
      <c r="Z124" s="57"/>
      <c r="AA124" s="69" t="str">
        <f aca="false">IF(OR(U124="",Y124="",Z124=""),"",IF(AND(U124&gt;Y124,-U124&lt;Z124),"Ok","Not Ok"))</f>
        <v/>
      </c>
      <c r="AB124" s="70"/>
    </row>
    <row r="125" customFormat="false" ht="12.8" hidden="false" customHeight="false" outlineLevel="0" collapsed="false">
      <c r="A125" s="48" t="str">
        <f aca="false">TB_audited!A108</f>
        <v>Depreciation and amortization expense</v>
      </c>
      <c r="B125" s="49"/>
      <c r="C125" s="50"/>
      <c r="D125" s="51" t="n">
        <f aca="false">TB_audited!B108</f>
        <v>52302</v>
      </c>
      <c r="E125" s="52" t="str">
        <f aca="false">TB_audited!C108</f>
        <v>910/0434</v>
      </c>
      <c r="F125" s="53" t="str">
        <f aca="false">TB_audited!D108</f>
        <v>DEPRECIATION EXPENSE OF OFFICE EQUIPMENT</v>
      </c>
      <c r="G125" s="54" t="n">
        <f aca="false">IF($D$8="Interim",TB_audited!G108,TB_audited!E108)</f>
        <v>23626808</v>
      </c>
      <c r="H125" s="55" t="str">
        <f aca="false">IFERROR(VLOOKUP($A125,RA_result!$B$3:$N$62,11,0),"")</f>
        <v/>
      </c>
      <c r="I125" s="55" t="str">
        <f aca="false">IFERROR(VLOOKUP($A125,RA_result!$B$3:$N$62,12,0),"")</f>
        <v>Ya</v>
      </c>
      <c r="J125" s="55" t="str">
        <f aca="false">IFERROR(VLOOKUP($A125,RA_result!$B$3:$N$62,13,0),"")</f>
        <v>YE</v>
      </c>
      <c r="K125" s="56"/>
      <c r="L125" s="56"/>
      <c r="M125" s="57" t="n">
        <v>23626808</v>
      </c>
      <c r="N125" s="54" t="n">
        <f aca="false">G125-M125</f>
        <v>0</v>
      </c>
      <c r="O125" s="55" t="str">
        <f aca="false">IFERROR(VLOOKUP($A125,RA_result!$B$3:$N$62,7,0),"")</f>
        <v>M</v>
      </c>
      <c r="P125" s="52" t="str">
        <f aca="false">IFERROR(VLOOKUP($A125,RA_result!$B$3:$N$62,9,0),"")</f>
        <v>L</v>
      </c>
      <c r="Q125" s="52" t="str">
        <f aca="false">IFERROR(VLOOKUP($A125,RA_result!$B$3:$N$62,10,0),"")</f>
        <v/>
      </c>
      <c r="R125" s="58" t="s">
        <v>55</v>
      </c>
      <c r="S125" s="59" t="n">
        <f aca="false">IFERROR(VLOOKUP($A125,RA_result!$B$3:$N$62,4,0),"")</f>
        <v>1053550393.05383</v>
      </c>
      <c r="T125" s="60" t="n">
        <v>0.9</v>
      </c>
      <c r="U125" s="59" t="n">
        <f aca="false">IFERROR(IF(VLOOKUP($A125,RA_result!$B$3:$N$62,6,0)="",S125*T125,VLOOKUP($A125,RA_result!$B$3:$N$62,6,0)),"")</f>
        <v>948195353.748447</v>
      </c>
      <c r="V125" s="61" t="s">
        <v>56</v>
      </c>
      <c r="W125" s="62" t="n">
        <f aca="false">IFERROR((S125*30%)/V125,0)</f>
        <v>0</v>
      </c>
      <c r="X125" s="63" t="n">
        <f aca="false">IFERROR(N125/W125,0)</f>
        <v>0</v>
      </c>
      <c r="Y125" s="68"/>
      <c r="Z125" s="57"/>
      <c r="AA125" s="69" t="str">
        <f aca="false">IF(OR(U125="",Y125="",Z125=""),"",IF(AND(U125&gt;Y125,-U125&lt;Z125),"Ok","Not Ok"))</f>
        <v/>
      </c>
      <c r="AB125" s="70"/>
    </row>
    <row r="126" customFormat="false" ht="12.8" hidden="false" customHeight="false" outlineLevel="0" collapsed="false">
      <c r="A126" s="48" t="str">
        <f aca="false">TB_audited!A109</f>
        <v>Depreciation and amortization expense</v>
      </c>
      <c r="B126" s="49"/>
      <c r="C126" s="50"/>
      <c r="D126" s="51" t="n">
        <f aca="false">TB_audited!B109</f>
        <v>52303</v>
      </c>
      <c r="E126" s="52" t="str">
        <f aca="false">TB_audited!C109</f>
        <v>910/0438</v>
      </c>
      <c r="F126" s="53" t="str">
        <f aca="false">TB_audited!D109</f>
        <v>DEPRECIATION EXPENSE OF INTANGIBLE ASSETS</v>
      </c>
      <c r="G126" s="54" t="n">
        <f aca="false">IF($D$8="Interim",TB_audited!G109,TB_audited!E109)</f>
        <v>375000</v>
      </c>
      <c r="H126" s="55" t="str">
        <f aca="false">IFERROR(VLOOKUP($A126,RA_result!$B$3:$N$62,11,0),"")</f>
        <v/>
      </c>
      <c r="I126" s="55" t="str">
        <f aca="false">IFERROR(VLOOKUP($A126,RA_result!$B$3:$N$62,12,0),"")</f>
        <v>Ya</v>
      </c>
      <c r="J126" s="55" t="str">
        <f aca="false">IFERROR(VLOOKUP($A126,RA_result!$B$3:$N$62,13,0),"")</f>
        <v>YE</v>
      </c>
      <c r="K126" s="56"/>
      <c r="L126" s="56"/>
      <c r="M126" s="57" t="n">
        <v>375000</v>
      </c>
      <c r="N126" s="54" t="n">
        <f aca="false">G126-M126</f>
        <v>0</v>
      </c>
      <c r="O126" s="55" t="str">
        <f aca="false">IFERROR(VLOOKUP($A126,RA_result!$B$3:$N$62,7,0),"")</f>
        <v>M</v>
      </c>
      <c r="P126" s="52" t="str">
        <f aca="false">IFERROR(VLOOKUP($A126,RA_result!$B$3:$N$62,9,0),"")</f>
        <v>L</v>
      </c>
      <c r="Q126" s="52" t="str">
        <f aca="false">IFERROR(VLOOKUP($A126,RA_result!$B$3:$N$62,10,0),"")</f>
        <v/>
      </c>
      <c r="R126" s="58" t="s">
        <v>55</v>
      </c>
      <c r="S126" s="59" t="n">
        <f aca="false">IFERROR(VLOOKUP($A126,RA_result!$B$3:$N$62,4,0),"")</f>
        <v>1053550393.05383</v>
      </c>
      <c r="T126" s="60" t="n">
        <v>0.9</v>
      </c>
      <c r="U126" s="59" t="n">
        <f aca="false">IFERROR(IF(VLOOKUP($A126,RA_result!$B$3:$N$62,6,0)="",S126*T126,VLOOKUP($A126,RA_result!$B$3:$N$62,6,0)),"")</f>
        <v>948195353.748447</v>
      </c>
      <c r="V126" s="61" t="s">
        <v>56</v>
      </c>
      <c r="W126" s="62" t="n">
        <f aca="false">IFERROR((S126*30%)/V126,0)</f>
        <v>0</v>
      </c>
      <c r="X126" s="63" t="n">
        <f aca="false">IFERROR(N126/W126,0)</f>
        <v>0</v>
      </c>
      <c r="Y126" s="68"/>
      <c r="Z126" s="57"/>
      <c r="AA126" s="69" t="str">
        <f aca="false">IF(OR(U126="",Y126="",Z126=""),"",IF(AND(U126&gt;Y126,-U126&lt;Z126),"Ok","Not Ok"))</f>
        <v/>
      </c>
      <c r="AB126" s="70"/>
    </row>
    <row r="127" customFormat="false" ht="12.8" hidden="false" customHeight="false" outlineLevel="0" collapsed="false">
      <c r="A127" s="48" t="str">
        <f aca="false">TB_audited!A110</f>
        <v>General and administrative expense</v>
      </c>
      <c r="B127" s="49"/>
      <c r="C127" s="50"/>
      <c r="D127" s="51" t="n">
        <f aca="false">TB_audited!B110</f>
        <v>52222</v>
      </c>
      <c r="E127" s="52" t="str">
        <f aca="false">TB_audited!C110</f>
        <v>910/0460</v>
      </c>
      <c r="F127" s="53" t="str">
        <f aca="false">TB_audited!D110</f>
        <v>PAJAK BUMI DAN BANGUNAN</v>
      </c>
      <c r="G127" s="54" t="n">
        <f aca="false">IF($D$8="Interim",TB_audited!G110,TB_audited!E110)</f>
        <v>15056808</v>
      </c>
      <c r="H127" s="55" t="str">
        <f aca="false">IFERROR(VLOOKUP($A127,RA_result!$B$3:$N$62,11,0),"")</f>
        <v/>
      </c>
      <c r="I127" s="55" t="str">
        <f aca="false">IFERROR(VLOOKUP($A127,RA_result!$B$3:$N$62,12,0),"")</f>
        <v/>
      </c>
      <c r="J127" s="55" t="str">
        <f aca="false">IFERROR(VLOOKUP($A127,RA_result!$B$3:$N$62,13,0),"")</f>
        <v/>
      </c>
      <c r="K127" s="56" t="s">
        <v>53</v>
      </c>
      <c r="L127" s="56" t="s">
        <v>54</v>
      </c>
      <c r="M127" s="57" t="n">
        <v>15056808</v>
      </c>
      <c r="N127" s="54" t="n">
        <f aca="false">G127-M127</f>
        <v>0</v>
      </c>
      <c r="O127" s="55" t="str">
        <f aca="false">IFERROR(VLOOKUP($A127,RA_result!$B$3:$N$62,7,0),"")</f>
        <v>TM</v>
      </c>
      <c r="P127" s="52" t="str">
        <f aca="false">IFERROR(VLOOKUP($A127,RA_result!$B$3:$N$62,9,0),"")</f>
        <v>L</v>
      </c>
      <c r="Q127" s="52" t="str">
        <f aca="false">IFERROR(VLOOKUP($A127,RA_result!$B$3:$N$62,10,0),"")</f>
        <v/>
      </c>
      <c r="R127" s="58" t="s">
        <v>55</v>
      </c>
      <c r="S127" s="59" t="n">
        <f aca="false">IFERROR(VLOOKUP($A127,RA_result!$B$3:$N$62,4,0),"")</f>
        <v>1053550393.05383</v>
      </c>
      <c r="T127" s="60" t="n">
        <v>0.9</v>
      </c>
      <c r="U127" s="59" t="n">
        <f aca="false">IFERROR(IF(VLOOKUP($A127,RA_result!$B$3:$N$62,6,0)="",S127*T127,VLOOKUP($A127,RA_result!$B$3:$N$62,6,0)),"")</f>
        <v>948195353.748447</v>
      </c>
      <c r="V127" s="61" t="n">
        <v>1.3</v>
      </c>
      <c r="W127" s="62" t="n">
        <f aca="false">IFERROR((S127*30%)/V127,0)</f>
        <v>243127013.781653</v>
      </c>
      <c r="X127" s="63" t="n">
        <f aca="false">IFERROR(N127/W127,0)</f>
        <v>0</v>
      </c>
      <c r="Y127" s="68"/>
      <c r="Z127" s="57"/>
      <c r="AA127" s="69" t="str">
        <f aca="false">IF(OR(U127="",Y127="",Z127=""),"",IF(AND(U127&gt;Y127,-U127&lt;Z127),"Ok","Not Ok"))</f>
        <v/>
      </c>
      <c r="AB127" s="70"/>
    </row>
    <row r="128" customFormat="false" ht="12.8" hidden="false" customHeight="false" outlineLevel="0" collapsed="false">
      <c r="A128" s="48" t="str">
        <f aca="false">TB_audited!A111</f>
        <v>General and administrative expense</v>
      </c>
      <c r="B128" s="49"/>
      <c r="C128" s="50"/>
      <c r="D128" s="51" t="n">
        <f aca="false">TB_audited!B111</f>
        <v>52223</v>
      </c>
      <c r="E128" s="52" t="str">
        <f aca="false">TB_audited!C111</f>
        <v>910/0481</v>
      </c>
      <c r="F128" s="53" t="str">
        <f aca="false">TB_audited!D111</f>
        <v>OFFICE SUPPLIES</v>
      </c>
      <c r="G128" s="54" t="n">
        <f aca="false">IF($D$8="Interim",TB_audited!G111,TB_audited!E111)</f>
        <v>3278309</v>
      </c>
      <c r="H128" s="55" t="str">
        <f aca="false">IFERROR(VLOOKUP($A128,RA_result!$B$3:$N$62,11,0),"")</f>
        <v/>
      </c>
      <c r="I128" s="55" t="str">
        <f aca="false">IFERROR(VLOOKUP($A128,RA_result!$B$3:$N$62,12,0),"")</f>
        <v/>
      </c>
      <c r="J128" s="55" t="str">
        <f aca="false">IFERROR(VLOOKUP($A128,RA_result!$B$3:$N$62,13,0),"")</f>
        <v/>
      </c>
      <c r="K128" s="56"/>
      <c r="L128" s="56"/>
      <c r="M128" s="57" t="n">
        <v>3278309</v>
      </c>
      <c r="N128" s="54" t="n">
        <f aca="false">G128-M128</f>
        <v>0</v>
      </c>
      <c r="O128" s="55" t="str">
        <f aca="false">IFERROR(VLOOKUP($A128,RA_result!$B$3:$N$62,7,0),"")</f>
        <v>TM</v>
      </c>
      <c r="P128" s="52" t="str">
        <f aca="false">IFERROR(VLOOKUP($A128,RA_result!$B$3:$N$62,9,0),"")</f>
        <v>L</v>
      </c>
      <c r="Q128" s="52" t="str">
        <f aca="false">IFERROR(VLOOKUP($A128,RA_result!$B$3:$N$62,10,0),"")</f>
        <v/>
      </c>
      <c r="R128" s="58" t="s">
        <v>55</v>
      </c>
      <c r="S128" s="59" t="n">
        <f aca="false">IFERROR(VLOOKUP($A128,RA_result!$B$3:$N$62,4,0),"")</f>
        <v>1053550393.05383</v>
      </c>
      <c r="T128" s="60" t="n">
        <v>0.9</v>
      </c>
      <c r="U128" s="59" t="n">
        <f aca="false">IFERROR(IF(VLOOKUP($A128,RA_result!$B$3:$N$62,6,0)="",S128*T128,VLOOKUP($A128,RA_result!$B$3:$N$62,6,0)),"")</f>
        <v>948195353.748447</v>
      </c>
      <c r="V128" s="61" t="n">
        <v>1.3</v>
      </c>
      <c r="W128" s="62" t="n">
        <f aca="false">IFERROR((S128*30%)/V128,0)</f>
        <v>243127013.781653</v>
      </c>
      <c r="X128" s="63" t="n">
        <f aca="false">IFERROR(N128/W128,0)</f>
        <v>0</v>
      </c>
      <c r="Y128" s="68"/>
      <c r="Z128" s="57"/>
      <c r="AA128" s="69" t="str">
        <f aca="false">IF(OR(U128="",Y128="",Z128=""),"",IF(AND(U128&gt;Y128,-U128&lt;Z128),"Ok","Not Ok"))</f>
        <v/>
      </c>
      <c r="AB128" s="70"/>
    </row>
    <row r="129" customFormat="false" ht="12.8" hidden="false" customHeight="false" outlineLevel="0" collapsed="false">
      <c r="A129" s="48" t="str">
        <f aca="false">TB_audited!A112</f>
        <v>General and administrative expense</v>
      </c>
      <c r="B129" s="49"/>
      <c r="C129" s="50"/>
      <c r="D129" s="51" t="n">
        <f aca="false">TB_audited!B112</f>
        <v>52224</v>
      </c>
      <c r="E129" s="52" t="str">
        <f aca="false">TB_audited!C112</f>
        <v>910/0510</v>
      </c>
      <c r="F129" s="53" t="str">
        <f aca="false">TB_audited!D112</f>
        <v>OUTSTATION EXPENSES</v>
      </c>
      <c r="G129" s="54" t="n">
        <f aca="false">IF($D$8="Interim",TB_audited!G112,TB_audited!E112)</f>
        <v>4703400</v>
      </c>
      <c r="H129" s="55" t="str">
        <f aca="false">IFERROR(VLOOKUP($A129,RA_result!$B$3:$N$62,11,0),"")</f>
        <v/>
      </c>
      <c r="I129" s="55" t="str">
        <f aca="false">IFERROR(VLOOKUP($A129,RA_result!$B$3:$N$62,12,0),"")</f>
        <v/>
      </c>
      <c r="J129" s="55" t="str">
        <f aca="false">IFERROR(VLOOKUP($A129,RA_result!$B$3:$N$62,13,0),"")</f>
        <v/>
      </c>
      <c r="K129" s="56"/>
      <c r="L129" s="56"/>
      <c r="M129" s="57" t="n">
        <v>4703400</v>
      </c>
      <c r="N129" s="54" t="n">
        <f aca="false">G129-M129</f>
        <v>0</v>
      </c>
      <c r="O129" s="55" t="str">
        <f aca="false">IFERROR(VLOOKUP($A129,RA_result!$B$3:$N$62,7,0),"")</f>
        <v>TM</v>
      </c>
      <c r="P129" s="52" t="str">
        <f aca="false">IFERROR(VLOOKUP($A129,RA_result!$B$3:$N$62,9,0),"")</f>
        <v>L</v>
      </c>
      <c r="Q129" s="52" t="str">
        <f aca="false">IFERROR(VLOOKUP($A129,RA_result!$B$3:$N$62,10,0),"")</f>
        <v/>
      </c>
      <c r="R129" s="58" t="s">
        <v>55</v>
      </c>
      <c r="S129" s="59" t="n">
        <f aca="false">IFERROR(VLOOKUP($A129,RA_result!$B$3:$N$62,4,0),"")</f>
        <v>1053550393.05383</v>
      </c>
      <c r="T129" s="60" t="n">
        <v>0.9</v>
      </c>
      <c r="U129" s="59" t="n">
        <f aca="false">IFERROR(IF(VLOOKUP($A129,RA_result!$B$3:$N$62,6,0)="",S129*T129,VLOOKUP($A129,RA_result!$B$3:$N$62,6,0)),"")</f>
        <v>948195353.748447</v>
      </c>
      <c r="V129" s="61" t="n">
        <v>1.3</v>
      </c>
      <c r="W129" s="62" t="n">
        <f aca="false">IFERROR((S129*30%)/V129,0)</f>
        <v>243127013.781653</v>
      </c>
      <c r="X129" s="63" t="n">
        <f aca="false">IFERROR(N129/W129,0)</f>
        <v>0</v>
      </c>
      <c r="Y129" s="68"/>
      <c r="Z129" s="57"/>
      <c r="AA129" s="69" t="str">
        <f aca="false">IF(OR(U129="",Y129="",Z129=""),"",IF(AND(U129&gt;Y129,-U129&lt;Z129),"Ok","Not Ok"))</f>
        <v/>
      </c>
      <c r="AB129" s="70"/>
    </row>
    <row r="130" customFormat="false" ht="12.8" hidden="false" customHeight="false" outlineLevel="0" collapsed="false">
      <c r="A130" s="48" t="str">
        <f aca="false">TB_audited!A113</f>
        <v>General and administrative expense</v>
      </c>
      <c r="B130" s="49"/>
      <c r="C130" s="50"/>
      <c r="D130" s="51" t="n">
        <f aca="false">TB_audited!B113</f>
        <v>52225</v>
      </c>
      <c r="E130" s="52" t="str">
        <f aca="false">TB_audited!C113</f>
        <v>910/0610</v>
      </c>
      <c r="F130" s="53" t="str">
        <f aca="false">TB_audited!D113</f>
        <v>RENTAL OF PHOTOCOPY</v>
      </c>
      <c r="G130" s="54" t="n">
        <f aca="false">IF($D$8="Interim",TB_audited!G113,TB_audited!E113)</f>
        <v>7200000</v>
      </c>
      <c r="H130" s="55" t="str">
        <f aca="false">IFERROR(VLOOKUP($A130,RA_result!$B$3:$N$62,11,0),"")</f>
        <v/>
      </c>
      <c r="I130" s="55" t="str">
        <f aca="false">IFERROR(VLOOKUP($A130,RA_result!$B$3:$N$62,12,0),"")</f>
        <v/>
      </c>
      <c r="J130" s="55" t="str">
        <f aca="false">IFERROR(VLOOKUP($A130,RA_result!$B$3:$N$62,13,0),"")</f>
        <v/>
      </c>
      <c r="K130" s="56"/>
      <c r="L130" s="56"/>
      <c r="M130" s="57" t="n">
        <v>7200000</v>
      </c>
      <c r="N130" s="54" t="n">
        <f aca="false">G130-M130</f>
        <v>0</v>
      </c>
      <c r="O130" s="55" t="str">
        <f aca="false">IFERROR(VLOOKUP($A130,RA_result!$B$3:$N$62,7,0),"")</f>
        <v>TM</v>
      </c>
      <c r="P130" s="52" t="str">
        <f aca="false">IFERROR(VLOOKUP($A130,RA_result!$B$3:$N$62,9,0),"")</f>
        <v>L</v>
      </c>
      <c r="Q130" s="52" t="str">
        <f aca="false">IFERROR(VLOOKUP($A130,RA_result!$B$3:$N$62,10,0),"")</f>
        <v/>
      </c>
      <c r="R130" s="58" t="s">
        <v>55</v>
      </c>
      <c r="S130" s="59" t="n">
        <f aca="false">IFERROR(VLOOKUP($A130,RA_result!$B$3:$N$62,4,0),"")</f>
        <v>1053550393.05383</v>
      </c>
      <c r="T130" s="60" t="n">
        <v>0.9</v>
      </c>
      <c r="U130" s="59" t="n">
        <f aca="false">IFERROR(IF(VLOOKUP($A130,RA_result!$B$3:$N$62,6,0)="",S130*T130,VLOOKUP($A130,RA_result!$B$3:$N$62,6,0)),"")</f>
        <v>948195353.748447</v>
      </c>
      <c r="V130" s="61" t="n">
        <v>1.3</v>
      </c>
      <c r="W130" s="62" t="n">
        <f aca="false">IFERROR((S130*30%)/V130,0)</f>
        <v>243127013.781653</v>
      </c>
      <c r="X130" s="63" t="n">
        <f aca="false">IFERROR(N130/W130,0)</f>
        <v>0</v>
      </c>
      <c r="Y130" s="68"/>
      <c r="Z130" s="57"/>
      <c r="AA130" s="69" t="str">
        <f aca="false">IF(OR(U130="",Y130="",Z130=""),"",IF(AND(U130&gt;Y130,-U130&lt;Z130),"Ok","Not Ok"))</f>
        <v/>
      </c>
      <c r="AB130" s="70"/>
    </row>
    <row r="131" customFormat="false" ht="12.8" hidden="false" customHeight="false" outlineLevel="0" collapsed="false">
      <c r="A131" s="48" t="str">
        <f aca="false">TB_audited!A114</f>
        <v>Human resources expense</v>
      </c>
      <c r="B131" s="49"/>
      <c r="C131" s="50"/>
      <c r="D131" s="51" t="n">
        <f aca="false">TB_audited!B114</f>
        <v>52104</v>
      </c>
      <c r="E131" s="52" t="str">
        <f aca="false">TB_audited!C114</f>
        <v>910/0700</v>
      </c>
      <c r="F131" s="53" t="str">
        <f aca="false">TB_audited!D114</f>
        <v>EMPLOYEE BENEFIT EXPENSES</v>
      </c>
      <c r="G131" s="54" t="n">
        <f aca="false">IF($D$8="Interim",TB_audited!G114,TB_audited!E114)</f>
        <v>228229222</v>
      </c>
      <c r="H131" s="55" t="str">
        <f aca="false">IFERROR(VLOOKUP($A131,RA_result!$B$3:$N$62,11,0),"")</f>
        <v/>
      </c>
      <c r="I131" s="55" t="str">
        <f aca="false">IFERROR(VLOOKUP($A131,RA_result!$B$3:$N$62,12,0),"")</f>
        <v>Ya</v>
      </c>
      <c r="J131" s="55" t="str">
        <f aca="false">IFERROR(VLOOKUP($A131,RA_result!$B$3:$N$62,13,0),"")</f>
        <v>YE</v>
      </c>
      <c r="K131" s="56" t="s">
        <v>54</v>
      </c>
      <c r="L131" s="56" t="s">
        <v>53</v>
      </c>
      <c r="M131" s="57" t="n">
        <v>224255794</v>
      </c>
      <c r="N131" s="54" t="n">
        <f aca="false">G131-M131</f>
        <v>3973428</v>
      </c>
      <c r="O131" s="55" t="str">
        <f aca="false">IFERROR(VLOOKUP($A131,RA_result!$B$3:$N$62,7,0),"")</f>
        <v>M</v>
      </c>
      <c r="P131" s="52" t="str">
        <f aca="false">IFERROR(VLOOKUP($A131,RA_result!$B$3:$N$62,9,0),"")</f>
        <v>L</v>
      </c>
      <c r="Q131" s="52" t="str">
        <f aca="false">IFERROR(VLOOKUP($A131,RA_result!$B$3:$N$62,10,0),"")</f>
        <v/>
      </c>
      <c r="R131" s="58" t="s">
        <v>55</v>
      </c>
      <c r="S131" s="59" t="n">
        <f aca="false">IFERROR(VLOOKUP($A131,RA_result!$B$3:$N$62,4,0),"")</f>
        <v>1053550393.05383</v>
      </c>
      <c r="T131" s="60" t="n">
        <v>0.9</v>
      </c>
      <c r="U131" s="59" t="n">
        <f aca="false">IFERROR(IF(VLOOKUP($A131,RA_result!$B$3:$N$62,6,0)="",S131*T131,VLOOKUP($A131,RA_result!$B$3:$N$62,6,0)),"")</f>
        <v>948195353.748447</v>
      </c>
      <c r="V131" s="61" t="n">
        <v>1.3</v>
      </c>
      <c r="W131" s="62" t="n">
        <f aca="false">IFERROR((S131*30%)/V131,0)</f>
        <v>243127013.781653</v>
      </c>
      <c r="X131" s="63" t="n">
        <f aca="false">IFERROR(N131/W131,0)</f>
        <v>0.0163430132184671</v>
      </c>
      <c r="Y131" s="68"/>
      <c r="Z131" s="57"/>
      <c r="AA131" s="69" t="str">
        <f aca="false">IF(OR(U131="",Y131="",Z131=""),"",IF(AND(U131&gt;Y131,-U131&lt;Z131),"Ok","Not Ok"))</f>
        <v/>
      </c>
      <c r="AB131" s="70"/>
    </row>
    <row r="132" customFormat="false" ht="12.8" hidden="false" customHeight="false" outlineLevel="0" collapsed="false">
      <c r="A132" s="48" t="str">
        <f aca="false">TB_audited!A115</f>
        <v>General and administrative expense</v>
      </c>
      <c r="B132" s="49"/>
      <c r="C132" s="50"/>
      <c r="D132" s="51" t="n">
        <f aca="false">TB_audited!B115</f>
        <v>52226</v>
      </c>
      <c r="E132" s="52" t="str">
        <f aca="false">TB_audited!C115</f>
        <v>920/0020</v>
      </c>
      <c r="F132" s="53" t="str">
        <f aca="false">TB_audited!D115</f>
        <v>COMMISSION</v>
      </c>
      <c r="G132" s="54" t="n">
        <f aca="false">IF($D$8="Interim",TB_audited!G115,TB_audited!E115)</f>
        <v>722173315</v>
      </c>
      <c r="H132" s="55" t="str">
        <f aca="false">IFERROR(VLOOKUP($A132,RA_result!$B$3:$N$62,11,0),"")</f>
        <v/>
      </c>
      <c r="I132" s="55" t="str">
        <f aca="false">IFERROR(VLOOKUP($A132,RA_result!$B$3:$N$62,12,0),"")</f>
        <v/>
      </c>
      <c r="J132" s="55" t="str">
        <f aca="false">IFERROR(VLOOKUP($A132,RA_result!$B$3:$N$62,13,0),"")</f>
        <v/>
      </c>
      <c r="K132" s="56" t="s">
        <v>53</v>
      </c>
      <c r="L132" s="56" t="s">
        <v>54</v>
      </c>
      <c r="M132" s="57" t="n">
        <v>722173315</v>
      </c>
      <c r="N132" s="54" t="n">
        <f aca="false">G132-M132</f>
        <v>0</v>
      </c>
      <c r="O132" s="55" t="str">
        <f aca="false">IFERROR(VLOOKUP($A132,RA_result!$B$3:$N$62,7,0),"")</f>
        <v>TM</v>
      </c>
      <c r="P132" s="52" t="str">
        <f aca="false">IFERROR(VLOOKUP($A132,RA_result!$B$3:$N$62,9,0),"")</f>
        <v>L</v>
      </c>
      <c r="Q132" s="52" t="str">
        <f aca="false">IFERROR(VLOOKUP($A132,RA_result!$B$3:$N$62,10,0),"")</f>
        <v/>
      </c>
      <c r="R132" s="58" t="s">
        <v>55</v>
      </c>
      <c r="S132" s="59" t="n">
        <f aca="false">IFERROR(VLOOKUP($A132,RA_result!$B$3:$N$62,4,0),"")</f>
        <v>1053550393.05383</v>
      </c>
      <c r="T132" s="60" t="n">
        <v>0.9</v>
      </c>
      <c r="U132" s="59" t="n">
        <f aca="false">IFERROR(IF(VLOOKUP($A132,RA_result!$B$3:$N$62,6,0)="",S132*T132,VLOOKUP($A132,RA_result!$B$3:$N$62,6,0)),"")</f>
        <v>948195353.748447</v>
      </c>
      <c r="V132" s="61" t="n">
        <v>1.3</v>
      </c>
      <c r="W132" s="62" t="n">
        <f aca="false">IFERROR((S132*30%)/V132,0)</f>
        <v>243127013.781653</v>
      </c>
      <c r="X132" s="63" t="n">
        <f aca="false">IFERROR(N132/W132,0)</f>
        <v>0</v>
      </c>
      <c r="Y132" s="68"/>
      <c r="Z132" s="57"/>
      <c r="AA132" s="69" t="str">
        <f aca="false">IF(OR(U132="",Y132="",Z132=""),"",IF(AND(U132&gt;Y132,-U132&lt;Z132),"Ok","Not Ok"))</f>
        <v/>
      </c>
      <c r="AB132" s="70"/>
    </row>
    <row r="133" customFormat="false" ht="12.8" hidden="false" customHeight="false" outlineLevel="0" collapsed="false">
      <c r="A133" s="48" t="str">
        <f aca="false">TB_audited!A116</f>
        <v>General and administrative expense</v>
      </c>
      <c r="B133" s="49"/>
      <c r="C133" s="50"/>
      <c r="D133" s="51" t="n">
        <f aca="false">TB_audited!B116</f>
        <v>52227</v>
      </c>
      <c r="E133" s="52" t="str">
        <f aca="false">TB_audited!C116</f>
        <v>920/0040</v>
      </c>
      <c r="F133" s="53" t="str">
        <f aca="false">TB_audited!D116</f>
        <v>FREIGHT &amp; FORWARDING CHARGES</v>
      </c>
      <c r="G133" s="54" t="n">
        <f aca="false">IF($D$8="Interim",TB_audited!G116,TB_audited!E116)</f>
        <v>1348372569</v>
      </c>
      <c r="H133" s="55" t="str">
        <f aca="false">IFERROR(VLOOKUP($A133,RA_result!$B$3:$N$62,11,0),"")</f>
        <v/>
      </c>
      <c r="I133" s="55" t="str">
        <f aca="false">IFERROR(VLOOKUP($A133,RA_result!$B$3:$N$62,12,0),"")</f>
        <v/>
      </c>
      <c r="J133" s="55" t="str">
        <f aca="false">IFERROR(VLOOKUP($A133,RA_result!$B$3:$N$62,13,0),"")</f>
        <v/>
      </c>
      <c r="K133" s="56" t="s">
        <v>53</v>
      </c>
      <c r="L133" s="56" t="s">
        <v>54</v>
      </c>
      <c r="M133" s="57" t="n">
        <v>298058037</v>
      </c>
      <c r="N133" s="54" t="n">
        <f aca="false">G133-M133</f>
        <v>1050314532</v>
      </c>
      <c r="O133" s="55" t="str">
        <f aca="false">IFERROR(VLOOKUP($A133,RA_result!$B$3:$N$62,7,0),"")</f>
        <v>TM</v>
      </c>
      <c r="P133" s="52" t="str">
        <f aca="false">IFERROR(VLOOKUP($A133,RA_result!$B$3:$N$62,9,0),"")</f>
        <v>L</v>
      </c>
      <c r="Q133" s="52" t="str">
        <f aca="false">IFERROR(VLOOKUP($A133,RA_result!$B$3:$N$62,10,0),"")</f>
        <v/>
      </c>
      <c r="R133" s="58" t="s">
        <v>55</v>
      </c>
      <c r="S133" s="59" t="n">
        <f aca="false">IFERROR(VLOOKUP($A133,RA_result!$B$3:$N$62,4,0),"")</f>
        <v>1053550393.05383</v>
      </c>
      <c r="T133" s="60" t="n">
        <v>0.6</v>
      </c>
      <c r="U133" s="59" t="n">
        <f aca="false">IFERROR(IF(VLOOKUP($A133,RA_result!$B$3:$N$62,6,0)="",S133*T133,VLOOKUP($A133,RA_result!$B$3:$N$62,6,0)),"")</f>
        <v>632130235.832298</v>
      </c>
      <c r="V133" s="61" t="n">
        <v>2.3</v>
      </c>
      <c r="W133" s="62" t="n">
        <f aca="false">IFERROR((S133*30%)/V133,0)</f>
        <v>137419616.485282</v>
      </c>
      <c r="X133" s="63" t="n">
        <f aca="false">IFERROR(N133/W133,0)</f>
        <v>7.64311936580386</v>
      </c>
      <c r="Y133" s="68"/>
      <c r="Z133" s="57"/>
      <c r="AA133" s="69" t="str">
        <f aca="false">IF(OR(U133="",Y133="",Z133=""),"",IF(AND(U133&gt;Y133,-U133&lt;Z133),"Ok","Not Ok"))</f>
        <v/>
      </c>
      <c r="AB133" s="70"/>
    </row>
    <row r="134" customFormat="false" ht="12.8" hidden="false" customHeight="false" outlineLevel="0" collapsed="false">
      <c r="A134" s="48" t="str">
        <f aca="false">TB_audited!A117</f>
        <v>General and administrative expense</v>
      </c>
      <c r="B134" s="49"/>
      <c r="C134" s="50"/>
      <c r="D134" s="51" t="n">
        <f aca="false">TB_audited!B117</f>
        <v>52228</v>
      </c>
      <c r="E134" s="52" t="str">
        <f aca="false">TB_audited!C117</f>
        <v>920/0050</v>
      </c>
      <c r="F134" s="53" t="str">
        <f aca="false">TB_audited!D117</f>
        <v>COMMISSIONING</v>
      </c>
      <c r="G134" s="54" t="n">
        <f aca="false">IF($D$8="Interim",TB_audited!G117,TB_audited!E117)</f>
        <v>458372405</v>
      </c>
      <c r="H134" s="55" t="str">
        <f aca="false">IFERROR(VLOOKUP($A134,RA_result!$B$3:$N$62,11,0),"")</f>
        <v/>
      </c>
      <c r="I134" s="55" t="str">
        <f aca="false">IFERROR(VLOOKUP($A134,RA_result!$B$3:$N$62,12,0),"")</f>
        <v/>
      </c>
      <c r="J134" s="55" t="str">
        <f aca="false">IFERROR(VLOOKUP($A134,RA_result!$B$3:$N$62,13,0),"")</f>
        <v/>
      </c>
      <c r="K134" s="56"/>
      <c r="L134" s="56"/>
      <c r="M134" s="57" t="n">
        <v>192415736</v>
      </c>
      <c r="N134" s="54" t="n">
        <f aca="false">G134-M134</f>
        <v>265956669</v>
      </c>
      <c r="O134" s="55" t="str">
        <f aca="false">IFERROR(VLOOKUP($A134,RA_result!$B$3:$N$62,7,0),"")</f>
        <v>TM</v>
      </c>
      <c r="P134" s="52" t="str">
        <f aca="false">IFERROR(VLOOKUP($A134,RA_result!$B$3:$N$62,9,0),"")</f>
        <v>L</v>
      </c>
      <c r="Q134" s="52" t="str">
        <f aca="false">IFERROR(VLOOKUP($A134,RA_result!$B$3:$N$62,10,0),"")</f>
        <v/>
      </c>
      <c r="R134" s="58" t="s">
        <v>55</v>
      </c>
      <c r="S134" s="59" t="n">
        <f aca="false">IFERROR(VLOOKUP($A134,RA_result!$B$3:$N$62,4,0),"")</f>
        <v>1053550393.05383</v>
      </c>
      <c r="T134" s="60" t="n">
        <v>0.7</v>
      </c>
      <c r="U134" s="59" t="n">
        <f aca="false">IFERROR(IF(VLOOKUP($A134,RA_result!$B$3:$N$62,6,0)="",S134*T134,VLOOKUP($A134,RA_result!$B$3:$N$62,6,0)),"")</f>
        <v>737485275.137681</v>
      </c>
      <c r="V134" s="61" t="n">
        <v>2.3</v>
      </c>
      <c r="W134" s="62" t="n">
        <f aca="false">IFERROR((S134*30%)/V134,0)</f>
        <v>137419616.485282</v>
      </c>
      <c r="X134" s="63" t="n">
        <f aca="false">IFERROR(N134/W134,0)</f>
        <v>1.93536174675967</v>
      </c>
      <c r="Y134" s="68" t="n">
        <v>28989276.921</v>
      </c>
      <c r="Z134" s="57" t="n">
        <v>-28989276.921</v>
      </c>
      <c r="AA134" s="69" t="str">
        <f aca="false">IF(OR(U134="",Y134="",Z134=""),"",IF(AND(U134&gt;Y134,-U134&lt;Z134),"Ok","Not Ok"))</f>
        <v>Ok</v>
      </c>
      <c r="AB134" s="70"/>
    </row>
    <row r="135" customFormat="false" ht="12.8" hidden="false" customHeight="false" outlineLevel="0" collapsed="false">
      <c r="A135" s="48" t="str">
        <f aca="false">TB_audited!A118</f>
        <v>Other expenses besides interest expense </v>
      </c>
      <c r="B135" s="49"/>
      <c r="C135" s="50"/>
      <c r="D135" s="51" t="n">
        <f aca="false">TB_audited!B118</f>
        <v>53202</v>
      </c>
      <c r="E135" s="52" t="str">
        <f aca="false">TB_audited!C118</f>
        <v>921/0060</v>
      </c>
      <c r="F135" s="53" t="str">
        <f aca="false">TB_audited!D118</f>
        <v>WRITE OFF DEBT</v>
      </c>
      <c r="G135" s="54" t="n">
        <f aca="false">IF($D$8="Interim",TB_audited!G118,TB_audited!E118)</f>
        <v>4488341</v>
      </c>
      <c r="H135" s="55" t="str">
        <f aca="false">IFERROR(VLOOKUP($A135,RA_result!$B$3:$N$62,11,0),"")</f>
        <v/>
      </c>
      <c r="I135" s="55" t="str">
        <f aca="false">IFERROR(VLOOKUP($A135,RA_result!$B$3:$N$62,12,0),"")</f>
        <v>Ya</v>
      </c>
      <c r="J135" s="55" t="str">
        <f aca="false">IFERROR(VLOOKUP($A135,RA_result!$B$3:$N$62,13,0),"")</f>
        <v>YE</v>
      </c>
      <c r="K135" s="56"/>
      <c r="L135" s="56"/>
      <c r="M135" s="57" t="n">
        <v>4488341</v>
      </c>
      <c r="N135" s="54" t="n">
        <f aca="false">G135-M135</f>
        <v>0</v>
      </c>
      <c r="O135" s="55" t="str">
        <f aca="false">IFERROR(VLOOKUP($A135,RA_result!$B$3:$N$62,7,0),"")</f>
        <v>M</v>
      </c>
      <c r="P135" s="52" t="str">
        <f aca="false">IFERROR(VLOOKUP($A135,RA_result!$B$3:$N$62,9,0),"")</f>
        <v>L</v>
      </c>
      <c r="Q135" s="52" t="str">
        <f aca="false">IFERROR(VLOOKUP($A135,RA_result!$B$3:$N$62,10,0),"")</f>
        <v/>
      </c>
      <c r="R135" s="58" t="s">
        <v>55</v>
      </c>
      <c r="S135" s="59" t="n">
        <f aca="false">IFERROR(VLOOKUP($A135,RA_result!$B$3:$N$62,4,0),"")</f>
        <v>1053550393.05383</v>
      </c>
      <c r="T135" s="60" t="n">
        <v>0.9</v>
      </c>
      <c r="U135" s="59" t="n">
        <f aca="false">IFERROR(IF(VLOOKUP($A135,RA_result!$B$3:$N$62,6,0)="",S135*T135,VLOOKUP($A135,RA_result!$B$3:$N$62,6,0)),"")</f>
        <v>948195353.748447</v>
      </c>
      <c r="V135" s="61" t="n">
        <v>1.3</v>
      </c>
      <c r="W135" s="62" t="n">
        <f aca="false">IFERROR((S135*30%)/V135,0)</f>
        <v>243127013.781653</v>
      </c>
      <c r="X135" s="63" t="n">
        <f aca="false">IFERROR(N135/W135,0)</f>
        <v>0</v>
      </c>
      <c r="Y135" s="68"/>
      <c r="Z135" s="57"/>
      <c r="AA135" s="69" t="str">
        <f aca="false">IF(OR(U135="",Y135="",Z135=""),"",IF(AND(U135&gt;Y135,-U135&lt;Z135),"Ok","Not Ok"))</f>
        <v/>
      </c>
      <c r="AB135" s="70"/>
    </row>
    <row r="136" customFormat="false" ht="12.8" hidden="false" customHeight="false" outlineLevel="0" collapsed="false">
      <c r="A136" s="48" t="str">
        <f aca="false">TB_audited!A119</f>
        <v>Current tax expense</v>
      </c>
      <c r="B136" s="49"/>
      <c r="C136" s="50"/>
      <c r="D136" s="51" t="n">
        <f aca="false">TB_audited!B119</f>
        <v>54101</v>
      </c>
      <c r="E136" s="52" t="str">
        <f aca="false">TB_audited!C119</f>
        <v>980/0010</v>
      </c>
      <c r="F136" s="53" t="str">
        <f aca="false">TB_audited!D119</f>
        <v>INCOME TAX EXPENSES</v>
      </c>
      <c r="G136" s="54" t="n">
        <f aca="false">IF($D$8="Interim",TB_audited!G119,TB_audited!E119)</f>
        <v>5442533360</v>
      </c>
      <c r="H136" s="55" t="str">
        <f aca="false">IFERROR(VLOOKUP($A136,RA_result!$B$3:$N$62,11,0),"")</f>
        <v/>
      </c>
      <c r="I136" s="55" t="str">
        <f aca="false">IFERROR(VLOOKUP($A136,RA_result!$B$3:$N$62,12,0),"")</f>
        <v>Ya</v>
      </c>
      <c r="J136" s="55" t="str">
        <f aca="false">IFERROR(VLOOKUP($A136,RA_result!$B$3:$N$62,13,0),"")</f>
        <v>YE</v>
      </c>
      <c r="K136" s="56"/>
      <c r="L136" s="56"/>
      <c r="M136" s="57" t="n">
        <v>5424661440</v>
      </c>
      <c r="N136" s="54" t="n">
        <f aca="false">G136-M136</f>
        <v>17871920</v>
      </c>
      <c r="O136" s="55" t="str">
        <f aca="false">IFERROR(VLOOKUP($A136,RA_result!$B$3:$N$62,7,0),"")</f>
        <v>M</v>
      </c>
      <c r="P136" s="52" t="str">
        <f aca="false">IFERROR(VLOOKUP($A136,RA_result!$B$3:$N$62,9,0),"")</f>
        <v>L</v>
      </c>
      <c r="Q136" s="52" t="str">
        <f aca="false">IFERROR(VLOOKUP($A136,RA_result!$B$3:$N$62,10,0),"")</f>
        <v/>
      </c>
      <c r="R136" s="58" t="s">
        <v>55</v>
      </c>
      <c r="S136" s="59" t="n">
        <f aca="false">IFERROR(VLOOKUP($A136,RA_result!$B$3:$N$62,4,0),"")</f>
        <v>1053550393.05383</v>
      </c>
      <c r="T136" s="60" t="n">
        <v>0.9</v>
      </c>
      <c r="U136" s="59" t="n">
        <f aca="false">IFERROR(IF(VLOOKUP($A136,RA_result!$B$3:$N$62,6,0)="",S136*T136,VLOOKUP($A136,RA_result!$B$3:$N$62,6,0)),"")</f>
        <v>948195353.748447</v>
      </c>
      <c r="V136" s="61" t="n">
        <v>1.3</v>
      </c>
      <c r="W136" s="62" t="n">
        <f aca="false">IFERROR((S136*30%)/V136,0)</f>
        <v>243127013.781653</v>
      </c>
      <c r="X136" s="63" t="n">
        <f aca="false">IFERROR(N136/W136,0)</f>
        <v>0.0735085736546346</v>
      </c>
      <c r="Y136" s="68"/>
      <c r="Z136" s="57"/>
      <c r="AA136" s="69" t="str">
        <f aca="false">IF(OR(U136="",Y136="",Z136=""),"",IF(AND(U136&gt;Y136,-U136&lt;Z136),"Ok","Not Ok"))</f>
        <v/>
      </c>
      <c r="AB136" s="70"/>
    </row>
    <row r="137" customFormat="false" ht="12.8" hidden="false" customHeight="false" outlineLevel="0" collapsed="false">
      <c r="A137" s="48" t="str">
        <f aca="false">TB_audited!A120</f>
        <v>Other expenses besides interest expense </v>
      </c>
      <c r="B137" s="49"/>
      <c r="C137" s="50"/>
      <c r="D137" s="51" t="n">
        <f aca="false">TB_audited!B120</f>
        <v>53203</v>
      </c>
      <c r="E137" s="52" t="str">
        <f aca="false">TB_audited!C120</f>
        <v>921/0070</v>
      </c>
      <c r="F137" s="53" t="str">
        <f aca="false">TB_audited!D120</f>
        <v>BAD DEBT EXPENSES</v>
      </c>
      <c r="G137" s="54" t="n">
        <f aca="false">IF($D$8="Interim",TB_audited!G120,TB_audited!E120)</f>
        <v>1143226407</v>
      </c>
      <c r="H137" s="55" t="str">
        <f aca="false">IFERROR(VLOOKUP($A137,RA_result!$B$3:$N$62,11,0),"")</f>
        <v/>
      </c>
      <c r="I137" s="55" t="str">
        <f aca="false">IFERROR(VLOOKUP($A137,RA_result!$B$3:$N$62,12,0),"")</f>
        <v>Ya</v>
      </c>
      <c r="J137" s="55" t="str">
        <f aca="false">IFERROR(VLOOKUP($A137,RA_result!$B$3:$N$62,13,0),"")</f>
        <v>YE</v>
      </c>
      <c r="K137" s="56" t="s">
        <v>54</v>
      </c>
      <c r="L137" s="56" t="s">
        <v>53</v>
      </c>
      <c r="M137" s="57" t="n">
        <v>1143226407</v>
      </c>
      <c r="N137" s="54" t="n">
        <f aca="false">G137-M137</f>
        <v>0</v>
      </c>
      <c r="O137" s="55" t="str">
        <f aca="false">IFERROR(VLOOKUP($A137,RA_result!$B$3:$N$62,7,0),"")</f>
        <v>M</v>
      </c>
      <c r="P137" s="52" t="str">
        <f aca="false">IFERROR(VLOOKUP($A137,RA_result!$B$3:$N$62,9,0),"")</f>
        <v>L</v>
      </c>
      <c r="Q137" s="52" t="str">
        <f aca="false">IFERROR(VLOOKUP($A137,RA_result!$B$3:$N$62,10,0),"")</f>
        <v/>
      </c>
      <c r="R137" s="58" t="s">
        <v>55</v>
      </c>
      <c r="S137" s="59" t="n">
        <f aca="false">IFERROR(VLOOKUP($A137,RA_result!$B$3:$N$62,4,0),"")</f>
        <v>1053550393.05383</v>
      </c>
      <c r="T137" s="60" t="n">
        <v>0.9</v>
      </c>
      <c r="U137" s="59" t="n">
        <f aca="false">IFERROR(IF(VLOOKUP($A137,RA_result!$B$3:$N$62,6,0)="",S137*T137,VLOOKUP($A137,RA_result!$B$3:$N$62,6,0)),"")</f>
        <v>948195353.748447</v>
      </c>
      <c r="V137" s="61" t="n">
        <v>1.3</v>
      </c>
      <c r="W137" s="62" t="n">
        <f aca="false">IFERROR((S137*30%)/V137,0)</f>
        <v>243127013.781653</v>
      </c>
      <c r="X137" s="63" t="n">
        <f aca="false">IFERROR(N137/W137,0)</f>
        <v>0</v>
      </c>
      <c r="Y137" s="68"/>
      <c r="Z137" s="57"/>
      <c r="AA137" s="69" t="str">
        <f aca="false">IF(OR(U137="",Y137="",Z137=""),"",IF(AND(U137&gt;Y137,-U137&lt;Z137),"Ok","Not Ok"))</f>
        <v/>
      </c>
      <c r="AB137" s="70"/>
    </row>
    <row r="138" customFormat="false" ht="12.8" hidden="false" customHeight="false" outlineLevel="0" collapsed="false">
      <c r="A138" s="48" t="str">
        <f aca="false">TB_audited!A121</f>
        <v>Other expenses besides interest expense </v>
      </c>
      <c r="B138" s="49"/>
      <c r="C138" s="50"/>
      <c r="D138" s="51" t="n">
        <f aca="false">TB_audited!B121</f>
        <v>53204</v>
      </c>
      <c r="E138" s="52" t="str">
        <f aca="false">TB_audited!C121</f>
        <v>921/0080</v>
      </c>
      <c r="F138" s="53" t="str">
        <f aca="false">TB_audited!D121</f>
        <v>ADVANCE IMPAIRMENT</v>
      </c>
      <c r="G138" s="54" t="n">
        <f aca="false">IF($D$8="Interim",TB_audited!G121,TB_audited!E121)</f>
        <v>1593816913</v>
      </c>
      <c r="H138" s="55" t="str">
        <f aca="false">IFERROR(VLOOKUP($A138,RA_result!$B$3:$N$62,11,0),"")</f>
        <v/>
      </c>
      <c r="I138" s="55" t="str">
        <f aca="false">IFERROR(VLOOKUP($A138,RA_result!$B$3:$N$62,12,0),"")</f>
        <v>Ya</v>
      </c>
      <c r="J138" s="55" t="str">
        <f aca="false">IFERROR(VLOOKUP($A138,RA_result!$B$3:$N$62,13,0),"")</f>
        <v>YE</v>
      </c>
      <c r="K138" s="56" t="s">
        <v>54</v>
      </c>
      <c r="L138" s="56" t="s">
        <v>53</v>
      </c>
      <c r="M138" s="57" t="n">
        <v>1593816913</v>
      </c>
      <c r="N138" s="54" t="n">
        <f aca="false">G138-M138</f>
        <v>0</v>
      </c>
      <c r="O138" s="55" t="str">
        <f aca="false">IFERROR(VLOOKUP($A138,RA_result!$B$3:$N$62,7,0),"")</f>
        <v>M</v>
      </c>
      <c r="P138" s="52" t="str">
        <f aca="false">IFERROR(VLOOKUP($A138,RA_result!$B$3:$N$62,9,0),"")</f>
        <v>L</v>
      </c>
      <c r="Q138" s="52" t="str">
        <f aca="false">IFERROR(VLOOKUP($A138,RA_result!$B$3:$N$62,10,0),"")</f>
        <v/>
      </c>
      <c r="R138" s="58" t="s">
        <v>55</v>
      </c>
      <c r="S138" s="59" t="n">
        <f aca="false">IFERROR(VLOOKUP($A138,RA_result!$B$3:$N$62,4,0),"")</f>
        <v>1053550393.05383</v>
      </c>
      <c r="T138" s="60" t="n">
        <v>0.9</v>
      </c>
      <c r="U138" s="59" t="n">
        <f aca="false">IFERROR(IF(VLOOKUP($A138,RA_result!$B$3:$N$62,6,0)="",S138*T138,VLOOKUP($A138,RA_result!$B$3:$N$62,6,0)),"")</f>
        <v>948195353.748447</v>
      </c>
      <c r="V138" s="61" t="n">
        <v>1.3</v>
      </c>
      <c r="W138" s="62" t="n">
        <f aca="false">IFERROR((S138*30%)/V138,0)</f>
        <v>243127013.781653</v>
      </c>
      <c r="X138" s="63" t="n">
        <f aca="false">IFERROR(N138/W138,0)</f>
        <v>0</v>
      </c>
      <c r="Y138" s="68"/>
      <c r="Z138" s="57"/>
      <c r="AA138" s="69" t="str">
        <f aca="false">IF(OR(U138="",Y138="",Z138=""),"",IF(AND(U138&gt;Y138,-U138&lt;Z138),"Ok","Not Ok"))</f>
        <v/>
      </c>
      <c r="AB138" s="70"/>
    </row>
    <row r="139" customFormat="false" ht="12.8" hidden="false" customHeight="false" outlineLevel="0" collapsed="false">
      <c r="A139" s="48" t="str">
        <f aca="false">TB_audited!A122</f>
        <v>Other expenses besides interest expense </v>
      </c>
      <c r="B139" s="49"/>
      <c r="C139" s="50"/>
      <c r="D139" s="51" t="n">
        <f aca="false">TB_audited!B122</f>
        <v>53205</v>
      </c>
      <c r="E139" s="52" t="str">
        <f aca="false">TB_audited!C122</f>
        <v>921/0020</v>
      </c>
      <c r="F139" s="53" t="str">
        <f aca="false">TB_audited!D122</f>
        <v>SUNDRY EXPENSES</v>
      </c>
      <c r="G139" s="54" t="n">
        <f aca="false">IF($D$8="Interim",TB_audited!G122,TB_audited!E122)</f>
        <v>0</v>
      </c>
      <c r="H139" s="55" t="str">
        <f aca="false">IFERROR(VLOOKUP($A139,RA_result!$B$3:$N$62,11,0),"")</f>
        <v/>
      </c>
      <c r="I139" s="55" t="str">
        <f aca="false">IFERROR(VLOOKUP($A139,RA_result!$B$3:$N$62,12,0),"")</f>
        <v>Ya</v>
      </c>
      <c r="J139" s="55" t="str">
        <f aca="false">IFERROR(VLOOKUP($A139,RA_result!$B$3:$N$62,13,0),"")</f>
        <v>YE</v>
      </c>
      <c r="K139" s="56"/>
      <c r="L139" s="56"/>
      <c r="M139" s="57" t="n">
        <v>0</v>
      </c>
      <c r="N139" s="54" t="n">
        <f aca="false">G139-M139</f>
        <v>0</v>
      </c>
      <c r="O139" s="55" t="str">
        <f aca="false">IFERROR(VLOOKUP($A139,RA_result!$B$3:$N$62,7,0),"")</f>
        <v>M</v>
      </c>
      <c r="P139" s="52" t="str">
        <f aca="false">IFERROR(VLOOKUP($A139,RA_result!$B$3:$N$62,9,0),"")</f>
        <v>L</v>
      </c>
      <c r="Q139" s="52" t="str">
        <f aca="false">IFERROR(VLOOKUP($A139,RA_result!$B$3:$N$62,10,0),"")</f>
        <v/>
      </c>
      <c r="R139" s="58" t="s">
        <v>55</v>
      </c>
      <c r="S139" s="59" t="n">
        <f aca="false">IFERROR(VLOOKUP($A139,RA_result!$B$3:$N$62,4,0),"")</f>
        <v>1053550393.05383</v>
      </c>
      <c r="T139" s="60" t="n">
        <v>0.9</v>
      </c>
      <c r="U139" s="59" t="n">
        <f aca="false">IFERROR(IF(VLOOKUP($A139,RA_result!$B$3:$N$62,6,0)="",S139*T139,VLOOKUP($A139,RA_result!$B$3:$N$62,6,0)),"")</f>
        <v>948195353.748447</v>
      </c>
      <c r="V139" s="61" t="n">
        <v>1.3</v>
      </c>
      <c r="W139" s="62" t="n">
        <f aca="false">IFERROR((S139*30%)/V139,0)</f>
        <v>243127013.781653</v>
      </c>
      <c r="X139" s="63" t="n">
        <f aca="false">IFERROR(N139/W139,0)</f>
        <v>0</v>
      </c>
      <c r="Y139" s="68"/>
      <c r="Z139" s="57"/>
      <c r="AA139" s="69" t="str">
        <f aca="false">IF(OR(U139="",Y139="",Z139=""),"",IF(AND(U139&gt;Y139,-U139&lt;Z139),"Ok","Not Ok"))</f>
        <v/>
      </c>
      <c r="AB139" s="70"/>
    </row>
    <row r="140" customFormat="false" ht="12.8" hidden="false" customHeight="false" outlineLevel="0" collapsed="false">
      <c r="A140" s="48" t="str">
        <f aca="false">TB_audited!A123</f>
        <v>Other expenses besides interest expense </v>
      </c>
      <c r="B140" s="49"/>
      <c r="C140" s="50"/>
      <c r="D140" s="51" t="n">
        <f aca="false">TB_audited!B123</f>
        <v>53206</v>
      </c>
      <c r="E140" s="52" t="str">
        <f aca="false">TB_audited!C123</f>
        <v>921/0030</v>
      </c>
      <c r="F140" s="53" t="str">
        <f aca="false">TB_audited!D123</f>
        <v>ROUNDUP OR DOWN</v>
      </c>
      <c r="G140" s="54" t="n">
        <f aca="false">IF($D$8="Interim",TB_audited!G123,TB_audited!E123)</f>
        <v>0</v>
      </c>
      <c r="H140" s="55" t="str">
        <f aca="false">IFERROR(VLOOKUP($A140,RA_result!$B$3:$N$62,11,0),"")</f>
        <v/>
      </c>
      <c r="I140" s="55" t="str">
        <f aca="false">IFERROR(VLOOKUP($A140,RA_result!$B$3:$N$62,12,0),"")</f>
        <v>Ya</v>
      </c>
      <c r="J140" s="55" t="str">
        <f aca="false">IFERROR(VLOOKUP($A140,RA_result!$B$3:$N$62,13,0),"")</f>
        <v>YE</v>
      </c>
      <c r="K140" s="56"/>
      <c r="L140" s="56"/>
      <c r="M140" s="57" t="n">
        <v>0</v>
      </c>
      <c r="N140" s="54" t="n">
        <f aca="false">G140-M140</f>
        <v>0</v>
      </c>
      <c r="O140" s="55" t="str">
        <f aca="false">IFERROR(VLOOKUP($A140,RA_result!$B$3:$N$62,7,0),"")</f>
        <v>M</v>
      </c>
      <c r="P140" s="52" t="str">
        <f aca="false">IFERROR(VLOOKUP($A140,RA_result!$B$3:$N$62,9,0),"")</f>
        <v>L</v>
      </c>
      <c r="Q140" s="52" t="str">
        <f aca="false">IFERROR(VLOOKUP($A140,RA_result!$B$3:$N$62,10,0),"")</f>
        <v/>
      </c>
      <c r="R140" s="58" t="s">
        <v>55</v>
      </c>
      <c r="S140" s="59" t="n">
        <f aca="false">IFERROR(VLOOKUP($A140,RA_result!$B$3:$N$62,4,0),"")</f>
        <v>1053550393.05383</v>
      </c>
      <c r="T140" s="60" t="n">
        <v>0.9</v>
      </c>
      <c r="U140" s="59" t="n">
        <f aca="false">IFERROR(IF(VLOOKUP($A140,RA_result!$B$3:$N$62,6,0)="",S140*T140,VLOOKUP($A140,RA_result!$B$3:$N$62,6,0)),"")</f>
        <v>948195353.748447</v>
      </c>
      <c r="V140" s="61" t="n">
        <v>1.3</v>
      </c>
      <c r="W140" s="62" t="n">
        <f aca="false">IFERROR((S140*30%)/V140,0)</f>
        <v>243127013.781653</v>
      </c>
      <c r="X140" s="63" t="n">
        <f aca="false">IFERROR(N140/W140,0)</f>
        <v>0</v>
      </c>
      <c r="Y140" s="68"/>
      <c r="Z140" s="57"/>
      <c r="AA140" s="69" t="str">
        <f aca="false">IF(OR(U140="",Y140="",Z140=""),"",IF(AND(U140&gt;Y140,-U140&lt;Z140),"Ok","Not Ok"))</f>
        <v/>
      </c>
      <c r="AB140" s="70"/>
    </row>
    <row r="141" customFormat="false" ht="12.8" hidden="false" customHeight="false" outlineLevel="0" collapsed="false">
      <c r="A141" s="48" t="str">
        <f aca="false">TB_audited!A124</f>
        <v>Depreciation and amortization expense</v>
      </c>
      <c r="B141" s="49"/>
      <c r="C141" s="50"/>
      <c r="D141" s="51" t="n">
        <f aca="false">TB_audited!B124</f>
        <v>52304</v>
      </c>
      <c r="E141" s="52" t="str">
        <f aca="false">TB_audited!C124</f>
        <v>910/0435</v>
      </c>
      <c r="F141" s="53" t="str">
        <f aca="false">TB_audited!D124</f>
        <v>DEPRECIATION EXPENSE OF MOTOR VEHICLE</v>
      </c>
      <c r="G141" s="54" t="n">
        <f aca="false">IF($D$8="Interim",TB_audited!G124,TB_audited!E124)</f>
        <v>0</v>
      </c>
      <c r="H141" s="55" t="str">
        <f aca="false">IFERROR(VLOOKUP($A141,RA_result!$B$3:$N$62,11,0),"")</f>
        <v/>
      </c>
      <c r="I141" s="55" t="str">
        <f aca="false">IFERROR(VLOOKUP($A141,RA_result!$B$3:$N$62,12,0),"")</f>
        <v>Ya</v>
      </c>
      <c r="J141" s="55" t="str">
        <f aca="false">IFERROR(VLOOKUP($A141,RA_result!$B$3:$N$62,13,0),"")</f>
        <v>YE</v>
      </c>
      <c r="K141" s="56"/>
      <c r="L141" s="56"/>
      <c r="M141" s="57" t="n">
        <v>0</v>
      </c>
      <c r="N141" s="54" t="n">
        <f aca="false">G141-M141</f>
        <v>0</v>
      </c>
      <c r="O141" s="55" t="str">
        <f aca="false">IFERROR(VLOOKUP($A141,RA_result!$B$3:$N$62,7,0),"")</f>
        <v>M</v>
      </c>
      <c r="P141" s="52" t="str">
        <f aca="false">IFERROR(VLOOKUP($A141,RA_result!$B$3:$N$62,9,0),"")</f>
        <v>L</v>
      </c>
      <c r="Q141" s="52" t="str">
        <f aca="false">IFERROR(VLOOKUP($A141,RA_result!$B$3:$N$62,10,0),"")</f>
        <v/>
      </c>
      <c r="R141" s="58" t="s">
        <v>55</v>
      </c>
      <c r="S141" s="59" t="n">
        <f aca="false">IFERROR(VLOOKUP($A141,RA_result!$B$3:$N$62,4,0),"")</f>
        <v>1053550393.05383</v>
      </c>
      <c r="T141" s="60" t="n">
        <v>0.9</v>
      </c>
      <c r="U141" s="59" t="n">
        <f aca="false">IFERROR(IF(VLOOKUP($A141,RA_result!$B$3:$N$62,6,0)="",S141*T141,VLOOKUP($A141,RA_result!$B$3:$N$62,6,0)),"")</f>
        <v>948195353.748447</v>
      </c>
      <c r="V141" s="61" t="s">
        <v>56</v>
      </c>
      <c r="W141" s="62" t="n">
        <f aca="false">IFERROR((S141*30%)/V141,0)</f>
        <v>0</v>
      </c>
      <c r="X141" s="63" t="n">
        <f aca="false">IFERROR(N141/W141,0)</f>
        <v>0</v>
      </c>
      <c r="Y141" s="68"/>
      <c r="Z141" s="57"/>
      <c r="AA141" s="69" t="str">
        <f aca="false">IF(OR(U141="",Y141="",Z141=""),"",IF(AND(U141&gt;Y141,-U141&lt;Z141),"Ok","Not Ok"))</f>
        <v/>
      </c>
      <c r="AB141" s="70"/>
    </row>
    <row r="142" customFormat="false" ht="12.8" hidden="false" customHeight="false" outlineLevel="0" collapsed="false">
      <c r="A142" s="48" t="str">
        <f aca="false">TB_audited!A125</f>
        <v>General and administrative expense</v>
      </c>
      <c r="B142" s="49"/>
      <c r="C142" s="50"/>
      <c r="D142" s="51" t="n">
        <f aca="false">TB_audited!B125</f>
        <v>52229</v>
      </c>
      <c r="E142" s="52" t="str">
        <f aca="false">TB_audited!C125</f>
        <v>910/0090</v>
      </c>
      <c r="F142" s="53" t="str">
        <f aca="false">TB_audited!D125</f>
        <v>MEDICAL FEE</v>
      </c>
      <c r="G142" s="54" t="n">
        <f aca="false">IF($D$8="Interim",TB_audited!G125,TB_audited!E125)</f>
        <v>0</v>
      </c>
      <c r="H142" s="55" t="str">
        <f aca="false">IFERROR(VLOOKUP($A142,RA_result!$B$3:$N$62,11,0),"")</f>
        <v/>
      </c>
      <c r="I142" s="55" t="str">
        <f aca="false">IFERROR(VLOOKUP($A142,RA_result!$B$3:$N$62,12,0),"")</f>
        <v/>
      </c>
      <c r="J142" s="55" t="str">
        <f aca="false">IFERROR(VLOOKUP($A142,RA_result!$B$3:$N$62,13,0),"")</f>
        <v/>
      </c>
      <c r="K142" s="56"/>
      <c r="L142" s="56"/>
      <c r="M142" s="57"/>
      <c r="N142" s="54" t="n">
        <f aca="false">G142-M142</f>
        <v>0</v>
      </c>
      <c r="O142" s="55" t="str">
        <f aca="false">IFERROR(VLOOKUP($A142,RA_result!$B$3:$N$62,7,0),"")</f>
        <v>TM</v>
      </c>
      <c r="P142" s="52" t="str">
        <f aca="false">IFERROR(VLOOKUP($A142,RA_result!$B$3:$N$62,9,0),"")</f>
        <v>L</v>
      </c>
      <c r="Q142" s="52" t="str">
        <f aca="false">IFERROR(VLOOKUP($A142,RA_result!$B$3:$N$62,10,0),"")</f>
        <v/>
      </c>
      <c r="R142" s="58" t="s">
        <v>55</v>
      </c>
      <c r="S142" s="59" t="n">
        <f aca="false">IFERROR(VLOOKUP($A142,RA_result!$B$3:$N$62,4,0),"")</f>
        <v>1053550393.05383</v>
      </c>
      <c r="T142" s="60" t="n">
        <v>0.9</v>
      </c>
      <c r="U142" s="59" t="n">
        <f aca="false">IFERROR(IF(VLOOKUP($A142,RA_result!$B$3:$N$62,6,0)="",S142*T142,VLOOKUP($A142,RA_result!$B$3:$N$62,6,0)),"")</f>
        <v>948195353.748447</v>
      </c>
      <c r="V142" s="61" t="n">
        <v>2</v>
      </c>
      <c r="W142" s="62" t="n">
        <f aca="false">IFERROR((S142*30%)/V142,0)</f>
        <v>158032558.958075</v>
      </c>
      <c r="X142" s="63" t="n">
        <f aca="false">IFERROR(N142/W142,0)</f>
        <v>0</v>
      </c>
      <c r="Y142" s="68"/>
      <c r="Z142" s="57"/>
      <c r="AA142" s="69" t="str">
        <f aca="false">IF(OR(U142="",Y142="",Z142=""),"",IF(AND(U142&gt;Y142,-U142&lt;Z142),"Ok","Not Ok"))</f>
        <v/>
      </c>
      <c r="AB142" s="70"/>
    </row>
    <row r="143" customFormat="false" ht="12.8" hidden="false" customHeight="false" outlineLevel="0" collapsed="false">
      <c r="A143" s="48" t="str">
        <f aca="false">TB_audited!A126</f>
        <v>Other revenues besides interest income</v>
      </c>
      <c r="B143" s="49"/>
      <c r="C143" s="50"/>
      <c r="D143" s="51" t="n">
        <f aca="false">TB_audited!B126</f>
        <v>42205</v>
      </c>
      <c r="E143" s="52" t="str">
        <f aca="false">TB_audited!C126</f>
        <v>850/0000</v>
      </c>
      <c r="F143" s="53" t="str">
        <f aca="false">TB_audited!D126</f>
        <v>GAIN/ (LOSS) ON DISPOSAL OF FIXED ASSETS</v>
      </c>
      <c r="G143" s="54" t="n">
        <f aca="false">IF($D$8="Interim",TB_audited!G126,TB_audited!E126)</f>
        <v>-0</v>
      </c>
      <c r="H143" s="55" t="str">
        <f aca="false">IFERROR(VLOOKUP($A143,RA_result!$B$3:$N$62,11,0),"")</f>
        <v/>
      </c>
      <c r="I143" s="55" t="str">
        <f aca="false">IFERROR(VLOOKUP($A143,RA_result!$B$3:$N$62,12,0),"")</f>
        <v>Ya</v>
      </c>
      <c r="J143" s="55" t="str">
        <f aca="false">IFERROR(VLOOKUP($A143,RA_result!$B$3:$N$62,13,0),"")</f>
        <v>YE</v>
      </c>
      <c r="K143" s="56"/>
      <c r="L143" s="56"/>
      <c r="M143" s="57" t="n">
        <v>0</v>
      </c>
      <c r="N143" s="54" t="n">
        <f aca="false">G143-M143</f>
        <v>0</v>
      </c>
      <c r="O143" s="55" t="str">
        <f aca="false">IFERROR(VLOOKUP($A143,RA_result!$B$3:$N$62,7,0),"")</f>
        <v>M</v>
      </c>
      <c r="P143" s="52" t="str">
        <f aca="false">IFERROR(VLOOKUP($A143,RA_result!$B$3:$N$62,9,0),"")</f>
        <v>L</v>
      </c>
      <c r="Q143" s="52" t="str">
        <f aca="false">IFERROR(VLOOKUP($A143,RA_result!$B$3:$N$62,10,0),"")</f>
        <v/>
      </c>
      <c r="R143" s="58" t="s">
        <v>55</v>
      </c>
      <c r="S143" s="59" t="n">
        <f aca="false">IFERROR(VLOOKUP($A143,RA_result!$B$3:$N$62,4,0),"")</f>
        <v>1053550393.05383</v>
      </c>
      <c r="T143" s="60" t="s">
        <v>56</v>
      </c>
      <c r="U143" s="59" t="str">
        <f aca="false">IFERROR(IF(VLOOKUP($A143,RA_result!$B$3:$N$62,6,0)="",S143*T143,VLOOKUP($A143,RA_result!$B$3:$N$62,6,0)),"")</f>
        <v/>
      </c>
      <c r="V143" s="61" t="s">
        <v>56</v>
      </c>
      <c r="W143" s="62" t="n">
        <f aca="false">IFERROR((S143*30%)/V143,0)</f>
        <v>0</v>
      </c>
      <c r="X143" s="63" t="n">
        <f aca="false">IFERROR(N143/W143,0)</f>
        <v>0</v>
      </c>
      <c r="Y143" s="68"/>
      <c r="Z143" s="57"/>
      <c r="AA143" s="69" t="str">
        <f aca="false">IF(OR(U143="",Y143="",Z143=""),"",IF(AND(U143&gt;Y143,-U143&lt;Z143),"Ok","Not Ok"))</f>
        <v/>
      </c>
      <c r="AB143" s="70"/>
    </row>
    <row r="144" customFormat="false" ht="12.8" hidden="false" customHeight="false" outlineLevel="0" collapsed="false">
      <c r="A144" s="48" t="str">
        <f aca="false">TB_audited!A127</f>
        <v>Other revenues besides interest income</v>
      </c>
      <c r="B144" s="49"/>
      <c r="C144" s="50"/>
      <c r="D144" s="51" t="n">
        <f aca="false">TB_audited!B127</f>
        <v>42206</v>
      </c>
      <c r="E144" s="52" t="str">
        <f aca="false">TB_audited!C127</f>
        <v>810/0010</v>
      </c>
      <c r="F144" s="53" t="str">
        <f aca="false">TB_audited!D127</f>
        <v>GAIN / ( LOSS) ON FOREIGN EXCHANGE FOR DEBTORS</v>
      </c>
      <c r="G144" s="54" t="n">
        <f aca="false">IF($D$8="Interim",TB_audited!G127,TB_audited!E127)</f>
        <v>-0</v>
      </c>
      <c r="H144" s="55" t="str">
        <f aca="false">IFERROR(VLOOKUP($A144,RA_result!$B$3:$N$62,11,0),"")</f>
        <v/>
      </c>
      <c r="I144" s="55" t="str">
        <f aca="false">IFERROR(VLOOKUP($A144,RA_result!$B$3:$N$62,12,0),"")</f>
        <v>Ya</v>
      </c>
      <c r="J144" s="55" t="str">
        <f aca="false">IFERROR(VLOOKUP($A144,RA_result!$B$3:$N$62,13,0),"")</f>
        <v>YE</v>
      </c>
      <c r="K144" s="56"/>
      <c r="L144" s="56"/>
      <c r="M144" s="57" t="n">
        <v>0</v>
      </c>
      <c r="N144" s="54" t="n">
        <f aca="false">G144-M144</f>
        <v>0</v>
      </c>
      <c r="O144" s="55" t="str">
        <f aca="false">IFERROR(VLOOKUP($A144,RA_result!$B$3:$N$62,7,0),"")</f>
        <v>M</v>
      </c>
      <c r="P144" s="52" t="str">
        <f aca="false">IFERROR(VLOOKUP($A144,RA_result!$B$3:$N$62,9,0),"")</f>
        <v>L</v>
      </c>
      <c r="Q144" s="52" t="str">
        <f aca="false">IFERROR(VLOOKUP($A144,RA_result!$B$3:$N$62,10,0),"")</f>
        <v/>
      </c>
      <c r="R144" s="58" t="s">
        <v>55</v>
      </c>
      <c r="S144" s="59" t="n">
        <f aca="false">IFERROR(VLOOKUP($A144,RA_result!$B$3:$N$62,4,0),"")</f>
        <v>1053550393.05383</v>
      </c>
      <c r="T144" s="60" t="s">
        <v>56</v>
      </c>
      <c r="U144" s="59" t="str">
        <f aca="false">IFERROR(IF(VLOOKUP($A144,RA_result!$B$3:$N$62,6,0)="",S144*T144,VLOOKUP($A144,RA_result!$B$3:$N$62,6,0)),"")</f>
        <v/>
      </c>
      <c r="V144" s="61" t="s">
        <v>56</v>
      </c>
      <c r="W144" s="62" t="n">
        <f aca="false">IFERROR((S144*30%)/V144,0)</f>
        <v>0</v>
      </c>
      <c r="X144" s="63" t="n">
        <f aca="false">IFERROR(N144/W144,0)</f>
        <v>0</v>
      </c>
      <c r="Y144" s="68"/>
      <c r="Z144" s="57"/>
      <c r="AA144" s="69" t="str">
        <f aca="false">IF(OR(U144="",Y144="",Z144=""),"",IF(AND(U144&gt;Y144,-U144&lt;Z144),"Ok","Not Ok"))</f>
        <v/>
      </c>
      <c r="AB144" s="70"/>
    </row>
    <row r="145" customFormat="false" ht="12.8" hidden="false" customHeight="false" outlineLevel="0" collapsed="false">
      <c r="A145" s="48" t="str">
        <f aca="false">TB_audited!A128</f>
        <v>General and administrative expense</v>
      </c>
      <c r="B145" s="49"/>
      <c r="C145" s="50"/>
      <c r="D145" s="51" t="n">
        <f aca="false">TB_audited!B128</f>
        <v>52230</v>
      </c>
      <c r="E145" s="52" t="str">
        <f aca="false">TB_audited!C128</f>
        <v>980/0020</v>
      </c>
      <c r="F145" s="53" t="str">
        <f aca="false">TB_audited!D128</f>
        <v>Taxation</v>
      </c>
      <c r="G145" s="54" t="n">
        <f aca="false">IF($D$8="Interim",TB_audited!G128,TB_audited!E128)</f>
        <v>558931077</v>
      </c>
      <c r="H145" s="55" t="str">
        <f aca="false">IFERROR(VLOOKUP($A145,RA_result!$B$3:$N$62,11,0),"")</f>
        <v/>
      </c>
      <c r="I145" s="55" t="str">
        <f aca="false">IFERROR(VLOOKUP($A145,RA_result!$B$3:$N$62,12,0),"")</f>
        <v/>
      </c>
      <c r="J145" s="55" t="str">
        <f aca="false">IFERROR(VLOOKUP($A145,RA_result!$B$3:$N$62,13,0),"")</f>
        <v/>
      </c>
      <c r="K145" s="56" t="s">
        <v>54</v>
      </c>
      <c r="L145" s="56" t="s">
        <v>53</v>
      </c>
      <c r="M145" s="57" t="n">
        <v>558931077</v>
      </c>
      <c r="N145" s="54" t="n">
        <f aca="false">G145-M145</f>
        <v>0</v>
      </c>
      <c r="O145" s="55" t="str">
        <f aca="false">IFERROR(VLOOKUP($A145,RA_result!$B$3:$N$62,7,0),"")</f>
        <v>TM</v>
      </c>
      <c r="P145" s="52" t="str">
        <f aca="false">IFERROR(VLOOKUP($A145,RA_result!$B$3:$N$62,9,0),"")</f>
        <v>L</v>
      </c>
      <c r="Q145" s="52" t="str">
        <f aca="false">IFERROR(VLOOKUP($A145,RA_result!$B$3:$N$62,10,0),"")</f>
        <v/>
      </c>
      <c r="R145" s="58" t="s">
        <v>55</v>
      </c>
      <c r="S145" s="59" t="n">
        <f aca="false">IFERROR(VLOOKUP($A145,RA_result!$B$3:$N$62,4,0),"")</f>
        <v>1053550393.05383</v>
      </c>
      <c r="T145" s="60" t="n">
        <v>0.9</v>
      </c>
      <c r="U145" s="59" t="n">
        <f aca="false">IFERROR(IF(VLOOKUP($A145,RA_result!$B$3:$N$62,6,0)="",S145*T145,VLOOKUP($A145,RA_result!$B$3:$N$62,6,0)),"")</f>
        <v>948195353.748447</v>
      </c>
      <c r="V145" s="61" t="n">
        <v>1.3</v>
      </c>
      <c r="W145" s="62" t="n">
        <f aca="false">IFERROR((S145*30%)/V145,0)</f>
        <v>243127013.781653</v>
      </c>
      <c r="X145" s="63" t="n">
        <f aca="false">IFERROR(N145/W145,0)</f>
        <v>0</v>
      </c>
      <c r="Y145" s="68"/>
      <c r="Z145" s="57"/>
      <c r="AA145" s="69" t="str">
        <f aca="false">IF(OR(U145="",Y145="",Z145=""),"",IF(AND(U145&gt;Y145,-U145&lt;Z145),"Ok","Not Ok"))</f>
        <v/>
      </c>
      <c r="AB145" s="70"/>
    </row>
    <row r="146" customFormat="false" ht="12.8" hidden="false" customHeight="false" outlineLevel="0" collapsed="false">
      <c r="A146" s="48" t="n">
        <f aca="false">TB_audited!A129</f>
        <v>0</v>
      </c>
      <c r="B146" s="49"/>
      <c r="C146" s="50"/>
      <c r="D146" s="51" t="n">
        <f aca="false">TB_audited!B129</f>
        <v>0</v>
      </c>
      <c r="E146" s="52" t="n">
        <f aca="false">TB_audited!C129</f>
        <v>0</v>
      </c>
      <c r="F146" s="53" t="n">
        <f aca="false">TB_audited!D129</f>
        <v>0</v>
      </c>
      <c r="G146" s="54" t="n">
        <f aca="false">IF($D$8="Interim",TB_audited!G129,TB_audited!E129)</f>
        <v>0</v>
      </c>
      <c r="H146" s="55" t="str">
        <f aca="false">IFERROR(VLOOKUP($A146,RA_result!$B$3:$N$62,11,0),"")</f>
        <v/>
      </c>
      <c r="I146" s="55" t="str">
        <f aca="false">IFERROR(VLOOKUP($A146,RA_result!$B$3:$N$62,12,0),"")</f>
        <v/>
      </c>
      <c r="J146" s="55" t="str">
        <f aca="false">IFERROR(VLOOKUP($A146,RA_result!$B$3:$N$62,13,0),"")</f>
        <v/>
      </c>
      <c r="K146" s="56"/>
      <c r="L146" s="56"/>
      <c r="M146" s="57" t="n">
        <f aca="false">G146</f>
        <v>0</v>
      </c>
      <c r="N146" s="54" t="n">
        <f aca="false">G146-M146</f>
        <v>0</v>
      </c>
      <c r="O146" s="55" t="str">
        <f aca="false">IFERROR(VLOOKUP($A146,RA_result!$B$3:$N$62,7,0),"")</f>
        <v/>
      </c>
      <c r="P146" s="52" t="str">
        <f aca="false">IFERROR(VLOOKUP($A146,RA_result!$B$3:$N$62,9,0),"")</f>
        <v/>
      </c>
      <c r="Q146" s="52" t="str">
        <f aca="false">IFERROR(VLOOKUP($A146,RA_result!$B$3:$N$62,10,0),"")</f>
        <v/>
      </c>
      <c r="R146" s="58" t="s">
        <v>55</v>
      </c>
      <c r="S146" s="59" t="str">
        <f aca="false">IFERROR(VLOOKUP($A146,RA_result!$B$3:$N$62,4,0),"")</f>
        <v/>
      </c>
      <c r="T146" s="60" t="s">
        <v>56</v>
      </c>
      <c r="U146" s="59" t="str">
        <f aca="false">IFERROR(IF(VLOOKUP($A146,RA_result!$B$3:$N$62,6,0)="",S146*T146,VLOOKUP($A146,RA_result!$B$3:$N$62,6,0)),"")</f>
        <v/>
      </c>
      <c r="V146" s="61" t="s">
        <v>56</v>
      </c>
      <c r="W146" s="62" t="n">
        <f aca="false">IFERROR((S146*30%)/V146,0)</f>
        <v>0</v>
      </c>
      <c r="X146" s="63" t="n">
        <f aca="false">IFERROR(N146/W146,0)</f>
        <v>0</v>
      </c>
      <c r="Y146" s="68"/>
      <c r="Z146" s="57"/>
      <c r="AA146" s="69" t="str">
        <f aca="false">IF(OR(U146="",Y146="",Z146=""),"",IF(AND(U146&gt;Y146,-U146&lt;Z146),"Ok","Not Ok"))</f>
        <v/>
      </c>
      <c r="AB146" s="70"/>
    </row>
    <row r="147" customFormat="false" ht="12.8" hidden="false" customHeight="false" outlineLevel="0" collapsed="false">
      <c r="A147" s="48" t="n">
        <f aca="false">TB_audited!A130</f>
        <v>0</v>
      </c>
      <c r="B147" s="49"/>
      <c r="C147" s="50"/>
      <c r="D147" s="51" t="n">
        <f aca="false">TB_audited!B130</f>
        <v>0</v>
      </c>
      <c r="E147" s="52" t="n">
        <f aca="false">TB_audited!C130</f>
        <v>0</v>
      </c>
      <c r="F147" s="53" t="n">
        <f aca="false">TB_audited!D130</f>
        <v>0</v>
      </c>
      <c r="G147" s="54" t="n">
        <f aca="false">IF($D$8="Interim",TB_audited!G130,TB_audited!E130)</f>
        <v>0</v>
      </c>
      <c r="H147" s="55" t="str">
        <f aca="false">IFERROR(VLOOKUP($A147,RA_result!$B$3:$N$62,11,0),"")</f>
        <v/>
      </c>
      <c r="I147" s="55" t="str">
        <f aca="false">IFERROR(VLOOKUP($A147,RA_result!$B$3:$N$62,12,0),"")</f>
        <v/>
      </c>
      <c r="J147" s="55" t="str">
        <f aca="false">IFERROR(VLOOKUP($A147,RA_result!$B$3:$N$62,13,0),"")</f>
        <v/>
      </c>
      <c r="K147" s="56"/>
      <c r="L147" s="56"/>
      <c r="M147" s="57" t="n">
        <f aca="false">G147</f>
        <v>0</v>
      </c>
      <c r="N147" s="54" t="n">
        <f aca="false">G147-M147</f>
        <v>0</v>
      </c>
      <c r="O147" s="55" t="str">
        <f aca="false">IFERROR(VLOOKUP($A147,RA_result!$B$3:$N$62,7,0),"")</f>
        <v/>
      </c>
      <c r="P147" s="52" t="str">
        <f aca="false">IFERROR(VLOOKUP($A147,RA_result!$B$3:$N$62,9,0),"")</f>
        <v/>
      </c>
      <c r="Q147" s="52" t="str">
        <f aca="false">IFERROR(VLOOKUP($A147,RA_result!$B$3:$N$62,10,0),"")</f>
        <v/>
      </c>
      <c r="R147" s="58" t="s">
        <v>55</v>
      </c>
      <c r="S147" s="59" t="str">
        <f aca="false">IFERROR(VLOOKUP($A147,RA_result!$B$3:$N$62,4,0),"")</f>
        <v/>
      </c>
      <c r="T147" s="60" t="s">
        <v>56</v>
      </c>
      <c r="U147" s="59" t="str">
        <f aca="false">IFERROR(IF(VLOOKUP($A147,RA_result!$B$3:$N$62,6,0)="",S147*T147,VLOOKUP($A147,RA_result!$B$3:$N$62,6,0)),"")</f>
        <v/>
      </c>
      <c r="V147" s="61" t="s">
        <v>56</v>
      </c>
      <c r="W147" s="62" t="n">
        <f aca="false">IFERROR((S147*30%)/V147,0)</f>
        <v>0</v>
      </c>
      <c r="X147" s="63" t="n">
        <f aca="false">IFERROR(N147/W147,0)</f>
        <v>0</v>
      </c>
      <c r="Y147" s="68"/>
      <c r="Z147" s="57"/>
      <c r="AA147" s="69" t="str">
        <f aca="false">IF(OR(U147="",Y147="",Z147=""),"",IF(AND(U147&gt;Y147,-U147&lt;Z147),"Ok","Not Ok"))</f>
        <v/>
      </c>
      <c r="AB147" s="70"/>
    </row>
    <row r="148" customFormat="false" ht="12.8" hidden="false" customHeight="false" outlineLevel="0" collapsed="false">
      <c r="A148" s="48" t="n">
        <f aca="false">TB_audited!A131</f>
        <v>0</v>
      </c>
      <c r="B148" s="49"/>
      <c r="C148" s="50"/>
      <c r="D148" s="51" t="n">
        <f aca="false">TB_audited!B131</f>
        <v>0</v>
      </c>
      <c r="E148" s="52" t="n">
        <f aca="false">TB_audited!C131</f>
        <v>0</v>
      </c>
      <c r="F148" s="53" t="n">
        <f aca="false">TB_audited!D131</f>
        <v>0</v>
      </c>
      <c r="G148" s="54" t="n">
        <f aca="false">IF($D$8="Interim",TB_audited!G131,TB_audited!E131)</f>
        <v>0</v>
      </c>
      <c r="H148" s="55" t="str">
        <f aca="false">IFERROR(VLOOKUP($A148,RA_result!$B$3:$N$62,11,0),"")</f>
        <v/>
      </c>
      <c r="I148" s="55" t="str">
        <f aca="false">IFERROR(VLOOKUP($A148,RA_result!$B$3:$N$62,12,0),"")</f>
        <v/>
      </c>
      <c r="J148" s="55" t="str">
        <f aca="false">IFERROR(VLOOKUP($A148,RA_result!$B$3:$N$62,13,0),"")</f>
        <v/>
      </c>
      <c r="K148" s="56"/>
      <c r="L148" s="56"/>
      <c r="M148" s="57" t="n">
        <f aca="false">G148</f>
        <v>0</v>
      </c>
      <c r="N148" s="54" t="n">
        <f aca="false">G148-M148</f>
        <v>0</v>
      </c>
      <c r="O148" s="55" t="str">
        <f aca="false">IFERROR(VLOOKUP($A148,RA_result!$B$3:$N$62,7,0),"")</f>
        <v/>
      </c>
      <c r="P148" s="52" t="str">
        <f aca="false">IFERROR(VLOOKUP($A148,RA_result!$B$3:$N$62,9,0),"")</f>
        <v/>
      </c>
      <c r="Q148" s="52" t="str">
        <f aca="false">IFERROR(VLOOKUP($A148,RA_result!$B$3:$N$62,10,0),"")</f>
        <v/>
      </c>
      <c r="R148" s="58" t="s">
        <v>55</v>
      </c>
      <c r="S148" s="59" t="str">
        <f aca="false">IFERROR(VLOOKUP($A148,RA_result!$B$3:$N$62,4,0),"")</f>
        <v/>
      </c>
      <c r="T148" s="60" t="s">
        <v>56</v>
      </c>
      <c r="U148" s="59" t="str">
        <f aca="false">IFERROR(IF(VLOOKUP($A148,RA_result!$B$3:$N$62,6,0)="",S148*T148,VLOOKUP($A148,RA_result!$B$3:$N$62,6,0)),"")</f>
        <v/>
      </c>
      <c r="V148" s="61" t="s">
        <v>56</v>
      </c>
      <c r="W148" s="62" t="n">
        <f aca="false">IFERROR((S148*30%)/V148,0)</f>
        <v>0</v>
      </c>
      <c r="X148" s="63" t="n">
        <f aca="false">IFERROR(N148/W148,0)</f>
        <v>0</v>
      </c>
      <c r="Y148" s="68"/>
      <c r="Z148" s="57"/>
      <c r="AA148" s="69" t="str">
        <f aca="false">IF(OR(U148="",Y148="",Z148=""),"",IF(AND(U148&gt;Y148,-U148&lt;Z148),"Ok","Not Ok"))</f>
        <v/>
      </c>
      <c r="AB148" s="70"/>
    </row>
    <row r="149" customFormat="false" ht="12.8" hidden="false" customHeight="false" outlineLevel="0" collapsed="false">
      <c r="A149" s="48" t="n">
        <f aca="false">TB_audited!A132</f>
        <v>0</v>
      </c>
      <c r="B149" s="49"/>
      <c r="C149" s="50"/>
      <c r="D149" s="51" t="n">
        <f aca="false">TB_audited!B132</f>
        <v>0</v>
      </c>
      <c r="E149" s="52" t="n">
        <f aca="false">TB_audited!C132</f>
        <v>0</v>
      </c>
      <c r="F149" s="53" t="n">
        <f aca="false">TB_audited!D132</f>
        <v>0</v>
      </c>
      <c r="G149" s="54" t="n">
        <f aca="false">IF($D$8="Interim",TB_audited!G132,TB_audited!E132)</f>
        <v>0</v>
      </c>
      <c r="H149" s="55" t="str">
        <f aca="false">IFERROR(VLOOKUP($A149,RA_result!$B$3:$N$62,11,0),"")</f>
        <v/>
      </c>
      <c r="I149" s="55" t="str">
        <f aca="false">IFERROR(VLOOKUP($A149,RA_result!$B$3:$N$62,12,0),"")</f>
        <v/>
      </c>
      <c r="J149" s="55" t="str">
        <f aca="false">IFERROR(VLOOKUP($A149,RA_result!$B$3:$N$62,13,0),"")</f>
        <v/>
      </c>
      <c r="K149" s="56"/>
      <c r="L149" s="56"/>
      <c r="M149" s="57" t="n">
        <f aca="false">G149</f>
        <v>0</v>
      </c>
      <c r="N149" s="54" t="n">
        <f aca="false">G149-M149</f>
        <v>0</v>
      </c>
      <c r="O149" s="55" t="str">
        <f aca="false">IFERROR(VLOOKUP($A149,RA_result!$B$3:$N$62,7,0),"")</f>
        <v/>
      </c>
      <c r="P149" s="52" t="str">
        <f aca="false">IFERROR(VLOOKUP($A149,RA_result!$B$3:$N$62,9,0),"")</f>
        <v/>
      </c>
      <c r="Q149" s="52" t="str">
        <f aca="false">IFERROR(VLOOKUP($A149,RA_result!$B$3:$N$62,10,0),"")</f>
        <v/>
      </c>
      <c r="R149" s="58" t="s">
        <v>55</v>
      </c>
      <c r="S149" s="59" t="str">
        <f aca="false">IFERROR(VLOOKUP($A149,RA_result!$B$3:$N$62,4,0),"")</f>
        <v/>
      </c>
      <c r="T149" s="60" t="s">
        <v>56</v>
      </c>
      <c r="U149" s="59" t="str">
        <f aca="false">IFERROR(IF(VLOOKUP($A149,RA_result!$B$3:$N$62,6,0)="",S149*T149,VLOOKUP($A149,RA_result!$B$3:$N$62,6,0)),"")</f>
        <v/>
      </c>
      <c r="V149" s="61" t="s">
        <v>56</v>
      </c>
      <c r="W149" s="62" t="n">
        <f aca="false">IFERROR((S149*30%)/V149,0)</f>
        <v>0</v>
      </c>
      <c r="X149" s="63" t="n">
        <f aca="false">IFERROR(N149/W149,0)</f>
        <v>0</v>
      </c>
      <c r="Y149" s="68"/>
      <c r="Z149" s="57"/>
      <c r="AA149" s="69" t="str">
        <f aca="false">IF(OR(U149="",Y149="",Z149=""),"",IF(AND(U149&gt;Y149,-U149&lt;Z149),"Ok","Not Ok"))</f>
        <v/>
      </c>
      <c r="AB149" s="70"/>
    </row>
    <row r="150" customFormat="false" ht="12.8" hidden="false" customHeight="false" outlineLevel="0" collapsed="false">
      <c r="A150" s="48" t="n">
        <f aca="false">TB_audited!A133</f>
        <v>0</v>
      </c>
      <c r="B150" s="49"/>
      <c r="C150" s="50"/>
      <c r="D150" s="51" t="n">
        <f aca="false">TB_audited!B133</f>
        <v>0</v>
      </c>
      <c r="E150" s="52" t="n">
        <f aca="false">TB_audited!C133</f>
        <v>0</v>
      </c>
      <c r="F150" s="53" t="n">
        <f aca="false">TB_audited!D133</f>
        <v>0</v>
      </c>
      <c r="G150" s="54" t="n">
        <f aca="false">IF($D$8="Interim",TB_audited!G133,TB_audited!E133)</f>
        <v>0</v>
      </c>
      <c r="H150" s="55" t="str">
        <f aca="false">IFERROR(VLOOKUP($A150,RA_result!$B$3:$N$62,11,0),"")</f>
        <v/>
      </c>
      <c r="I150" s="55" t="str">
        <f aca="false">IFERROR(VLOOKUP($A150,RA_result!$B$3:$N$62,12,0),"")</f>
        <v/>
      </c>
      <c r="J150" s="55" t="str">
        <f aca="false">IFERROR(VLOOKUP($A150,RA_result!$B$3:$N$62,13,0),"")</f>
        <v/>
      </c>
      <c r="K150" s="56"/>
      <c r="L150" s="56"/>
      <c r="M150" s="57" t="n">
        <f aca="false">G150</f>
        <v>0</v>
      </c>
      <c r="N150" s="54" t="n">
        <f aca="false">G150-M150</f>
        <v>0</v>
      </c>
      <c r="O150" s="55" t="str">
        <f aca="false">IFERROR(VLOOKUP($A150,RA_result!$B$3:$N$62,7,0),"")</f>
        <v/>
      </c>
      <c r="P150" s="52" t="str">
        <f aca="false">IFERROR(VLOOKUP($A150,RA_result!$B$3:$N$62,9,0),"")</f>
        <v/>
      </c>
      <c r="Q150" s="52" t="str">
        <f aca="false">IFERROR(VLOOKUP($A150,RA_result!$B$3:$N$62,10,0),"")</f>
        <v/>
      </c>
      <c r="R150" s="58" t="s">
        <v>55</v>
      </c>
      <c r="S150" s="59" t="str">
        <f aca="false">IFERROR(VLOOKUP($A150,RA_result!$B$3:$N$62,4,0),"")</f>
        <v/>
      </c>
      <c r="T150" s="60" t="s">
        <v>56</v>
      </c>
      <c r="U150" s="59" t="str">
        <f aca="false">IFERROR(IF(VLOOKUP($A150,RA_result!$B$3:$N$62,6,0)="",S150*T150,VLOOKUP($A150,RA_result!$B$3:$N$62,6,0)),"")</f>
        <v/>
      </c>
      <c r="V150" s="61" t="s">
        <v>56</v>
      </c>
      <c r="W150" s="62" t="n">
        <f aca="false">IFERROR((S150*30%)/V150,0)</f>
        <v>0</v>
      </c>
      <c r="X150" s="63" t="n">
        <f aca="false">IFERROR(N150/W150,0)</f>
        <v>0</v>
      </c>
      <c r="Y150" s="68"/>
      <c r="Z150" s="57"/>
      <c r="AA150" s="69" t="str">
        <f aca="false">IF(OR(U150="",Y150="",Z150=""),"",IF(AND(U150&gt;Y150,-U150&lt;Z150),"Ok","Not Ok"))</f>
        <v/>
      </c>
      <c r="AB150" s="70"/>
    </row>
    <row r="151" customFormat="false" ht="12.8" hidden="false" customHeight="false" outlineLevel="0" collapsed="false">
      <c r="A151" s="48" t="n">
        <f aca="false">TB_audited!A134</f>
        <v>0</v>
      </c>
      <c r="B151" s="49"/>
      <c r="C151" s="50"/>
      <c r="D151" s="51" t="n">
        <f aca="false">TB_audited!B134</f>
        <v>0</v>
      </c>
      <c r="E151" s="52" t="n">
        <f aca="false">TB_audited!C134</f>
        <v>0</v>
      </c>
      <c r="F151" s="53" t="n">
        <f aca="false">TB_audited!D134</f>
        <v>0</v>
      </c>
      <c r="G151" s="54" t="n">
        <f aca="false">IF($D$8="Interim",TB_audited!G134,TB_audited!E134)</f>
        <v>0</v>
      </c>
      <c r="H151" s="55" t="str">
        <f aca="false">IFERROR(VLOOKUP($A151,RA_result!$B$3:$N$62,11,0),"")</f>
        <v/>
      </c>
      <c r="I151" s="55" t="str">
        <f aca="false">IFERROR(VLOOKUP($A151,RA_result!$B$3:$N$62,12,0),"")</f>
        <v/>
      </c>
      <c r="J151" s="55" t="str">
        <f aca="false">IFERROR(VLOOKUP($A151,RA_result!$B$3:$N$62,13,0),"")</f>
        <v/>
      </c>
      <c r="K151" s="56"/>
      <c r="L151" s="56"/>
      <c r="M151" s="57" t="n">
        <f aca="false">G151</f>
        <v>0</v>
      </c>
      <c r="N151" s="54" t="n">
        <f aca="false">G151-M151</f>
        <v>0</v>
      </c>
      <c r="O151" s="55" t="str">
        <f aca="false">IFERROR(VLOOKUP($A151,RA_result!$B$3:$N$62,7,0),"")</f>
        <v/>
      </c>
      <c r="P151" s="52" t="str">
        <f aca="false">IFERROR(VLOOKUP($A151,RA_result!$B$3:$N$62,9,0),"")</f>
        <v/>
      </c>
      <c r="Q151" s="52" t="str">
        <f aca="false">IFERROR(VLOOKUP($A151,RA_result!$B$3:$N$62,10,0),"")</f>
        <v/>
      </c>
      <c r="R151" s="58" t="s">
        <v>55</v>
      </c>
      <c r="S151" s="59" t="str">
        <f aca="false">IFERROR(VLOOKUP($A151,RA_result!$B$3:$N$62,4,0),"")</f>
        <v/>
      </c>
      <c r="T151" s="60" t="s">
        <v>56</v>
      </c>
      <c r="U151" s="59" t="str">
        <f aca="false">IFERROR(IF(VLOOKUP($A151,RA_result!$B$3:$N$62,6,0)="",S151*T151,VLOOKUP($A151,RA_result!$B$3:$N$62,6,0)),"")</f>
        <v/>
      </c>
      <c r="V151" s="61" t="s">
        <v>56</v>
      </c>
      <c r="W151" s="62" t="n">
        <f aca="false">IFERROR((S151*30%)/V151,0)</f>
        <v>0</v>
      </c>
      <c r="X151" s="63" t="n">
        <f aca="false">IFERROR(N151/W151,0)</f>
        <v>0</v>
      </c>
      <c r="Y151" s="68"/>
      <c r="Z151" s="57"/>
      <c r="AA151" s="69" t="str">
        <f aca="false">IF(OR(U151="",Y151="",Z151=""),"",IF(AND(U151&gt;Y151,-U151&lt;Z151),"Ok","Not Ok"))</f>
        <v/>
      </c>
      <c r="AB151" s="70"/>
    </row>
    <row r="152" customFormat="false" ht="12.8" hidden="false" customHeight="false" outlineLevel="0" collapsed="false">
      <c r="A152" s="48" t="n">
        <f aca="false">TB_audited!A135</f>
        <v>0</v>
      </c>
      <c r="B152" s="49"/>
      <c r="C152" s="50"/>
      <c r="D152" s="51" t="n">
        <f aca="false">TB_audited!B135</f>
        <v>0</v>
      </c>
      <c r="E152" s="52" t="n">
        <f aca="false">TB_audited!C135</f>
        <v>0</v>
      </c>
      <c r="F152" s="53" t="n">
        <f aca="false">TB_audited!D135</f>
        <v>0</v>
      </c>
      <c r="G152" s="54" t="n">
        <f aca="false">IF($D$8="Interim",TB_audited!G135,TB_audited!E135)</f>
        <v>0</v>
      </c>
      <c r="H152" s="55" t="str">
        <f aca="false">IFERROR(VLOOKUP($A152,RA_result!$B$3:$N$62,11,0),"")</f>
        <v/>
      </c>
      <c r="I152" s="55" t="str">
        <f aca="false">IFERROR(VLOOKUP($A152,RA_result!$B$3:$N$62,12,0),"")</f>
        <v/>
      </c>
      <c r="J152" s="55" t="str">
        <f aca="false">IFERROR(VLOOKUP($A152,RA_result!$B$3:$N$62,13,0),"")</f>
        <v/>
      </c>
      <c r="K152" s="56"/>
      <c r="L152" s="56"/>
      <c r="M152" s="57" t="n">
        <f aca="false">G152</f>
        <v>0</v>
      </c>
      <c r="N152" s="54" t="n">
        <f aca="false">G152-M152</f>
        <v>0</v>
      </c>
      <c r="O152" s="55" t="str">
        <f aca="false">IFERROR(VLOOKUP($A152,RA_result!$B$3:$N$62,7,0),"")</f>
        <v/>
      </c>
      <c r="P152" s="52" t="str">
        <f aca="false">IFERROR(VLOOKUP($A152,RA_result!$B$3:$N$62,9,0),"")</f>
        <v/>
      </c>
      <c r="Q152" s="52" t="str">
        <f aca="false">IFERROR(VLOOKUP($A152,RA_result!$B$3:$N$62,10,0),"")</f>
        <v/>
      </c>
      <c r="R152" s="58" t="s">
        <v>55</v>
      </c>
      <c r="S152" s="59" t="str">
        <f aca="false">IFERROR(VLOOKUP($A152,RA_result!$B$3:$N$62,4,0),"")</f>
        <v/>
      </c>
      <c r="T152" s="60" t="s">
        <v>56</v>
      </c>
      <c r="U152" s="59" t="str">
        <f aca="false">IFERROR(IF(VLOOKUP($A152,RA_result!$B$3:$N$62,6,0)="",S152*T152,VLOOKUP($A152,RA_result!$B$3:$N$62,6,0)),"")</f>
        <v/>
      </c>
      <c r="V152" s="61" t="s">
        <v>56</v>
      </c>
      <c r="W152" s="62" t="n">
        <f aca="false">IFERROR((S152*30%)/V152,0)</f>
        <v>0</v>
      </c>
      <c r="X152" s="63" t="n">
        <f aca="false">IFERROR(N152/W152,0)</f>
        <v>0</v>
      </c>
      <c r="Y152" s="68"/>
      <c r="Z152" s="57"/>
      <c r="AA152" s="69" t="str">
        <f aca="false">IF(OR(U152="",Y152="",Z152=""),"",IF(AND(U152&gt;Y152,-U152&lt;Z152),"Ok","Not Ok"))</f>
        <v/>
      </c>
      <c r="AB152" s="70"/>
    </row>
    <row r="153" customFormat="false" ht="12.8" hidden="false" customHeight="false" outlineLevel="0" collapsed="false">
      <c r="A153" s="48" t="n">
        <f aca="false">TB_audited!A136</f>
        <v>0</v>
      </c>
      <c r="B153" s="49"/>
      <c r="C153" s="50"/>
      <c r="D153" s="51" t="n">
        <f aca="false">TB_audited!B136</f>
        <v>0</v>
      </c>
      <c r="E153" s="52" t="n">
        <f aca="false">TB_audited!C136</f>
        <v>0</v>
      </c>
      <c r="F153" s="53" t="n">
        <f aca="false">TB_audited!D136</f>
        <v>0</v>
      </c>
      <c r="G153" s="54" t="n">
        <f aca="false">IF($D$8="Interim",TB_audited!G136,TB_audited!E136)</f>
        <v>0</v>
      </c>
      <c r="H153" s="55" t="str">
        <f aca="false">IFERROR(VLOOKUP($A153,RA_result!$B$3:$N$62,11,0),"")</f>
        <v/>
      </c>
      <c r="I153" s="55" t="str">
        <f aca="false">IFERROR(VLOOKUP($A153,RA_result!$B$3:$N$62,12,0),"")</f>
        <v/>
      </c>
      <c r="J153" s="55" t="str">
        <f aca="false">IFERROR(VLOOKUP($A153,RA_result!$B$3:$N$62,13,0),"")</f>
        <v/>
      </c>
      <c r="K153" s="56"/>
      <c r="L153" s="56"/>
      <c r="M153" s="57" t="n">
        <f aca="false">G153</f>
        <v>0</v>
      </c>
      <c r="N153" s="54" t="n">
        <f aca="false">G153-M153</f>
        <v>0</v>
      </c>
      <c r="O153" s="55" t="str">
        <f aca="false">IFERROR(VLOOKUP($A153,RA_result!$B$3:$N$62,7,0),"")</f>
        <v/>
      </c>
      <c r="P153" s="52" t="str">
        <f aca="false">IFERROR(VLOOKUP($A153,RA_result!$B$3:$N$62,9,0),"")</f>
        <v/>
      </c>
      <c r="Q153" s="52" t="str">
        <f aca="false">IFERROR(VLOOKUP($A153,RA_result!$B$3:$N$62,10,0),"")</f>
        <v/>
      </c>
      <c r="R153" s="58" t="s">
        <v>55</v>
      </c>
      <c r="S153" s="59" t="str">
        <f aca="false">IFERROR(VLOOKUP($A153,RA_result!$B$3:$N$62,4,0),"")</f>
        <v/>
      </c>
      <c r="T153" s="60" t="s">
        <v>56</v>
      </c>
      <c r="U153" s="59" t="str">
        <f aca="false">IFERROR(IF(VLOOKUP($A153,RA_result!$B$3:$N$62,6,0)="",S153*T153,VLOOKUP($A153,RA_result!$B$3:$N$62,6,0)),"")</f>
        <v/>
      </c>
      <c r="V153" s="61" t="s">
        <v>56</v>
      </c>
      <c r="W153" s="62" t="n">
        <f aca="false">IFERROR((S153*30%)/V153,0)</f>
        <v>0</v>
      </c>
      <c r="X153" s="63" t="n">
        <f aca="false">IFERROR(N153/W153,0)</f>
        <v>0</v>
      </c>
      <c r="Y153" s="68"/>
      <c r="Z153" s="57"/>
      <c r="AA153" s="69" t="str">
        <f aca="false">IF(OR(U153="",Y153="",Z153=""),"",IF(AND(U153&gt;Y153,-U153&lt;Z153),"Ok","Not Ok"))</f>
        <v/>
      </c>
      <c r="AB153" s="70"/>
    </row>
    <row r="154" customFormat="false" ht="12.8" hidden="false" customHeight="false" outlineLevel="0" collapsed="false">
      <c r="A154" s="48" t="n">
        <f aca="false">TB_audited!A137</f>
        <v>0</v>
      </c>
      <c r="B154" s="49"/>
      <c r="C154" s="50"/>
      <c r="D154" s="51" t="n">
        <f aca="false">TB_audited!B137</f>
        <v>0</v>
      </c>
      <c r="E154" s="52" t="n">
        <f aca="false">TB_audited!C137</f>
        <v>0</v>
      </c>
      <c r="F154" s="53" t="n">
        <f aca="false">TB_audited!D137</f>
        <v>0</v>
      </c>
      <c r="G154" s="54" t="n">
        <f aca="false">IF($D$8="Interim",TB_audited!G137,TB_audited!E137)</f>
        <v>0</v>
      </c>
      <c r="H154" s="55" t="str">
        <f aca="false">IFERROR(VLOOKUP($A154,RA_result!$B$3:$N$62,11,0),"")</f>
        <v/>
      </c>
      <c r="I154" s="55" t="str">
        <f aca="false">IFERROR(VLOOKUP($A154,RA_result!$B$3:$N$62,12,0),"")</f>
        <v/>
      </c>
      <c r="J154" s="55" t="str">
        <f aca="false">IFERROR(VLOOKUP($A154,RA_result!$B$3:$N$62,13,0),"")</f>
        <v/>
      </c>
      <c r="K154" s="56"/>
      <c r="L154" s="56"/>
      <c r="M154" s="57" t="n">
        <f aca="false">G154</f>
        <v>0</v>
      </c>
      <c r="N154" s="54" t="n">
        <f aca="false">G154-M154</f>
        <v>0</v>
      </c>
      <c r="O154" s="55" t="str">
        <f aca="false">IFERROR(VLOOKUP($A154,RA_result!$B$3:$N$62,7,0),"")</f>
        <v/>
      </c>
      <c r="P154" s="52" t="str">
        <f aca="false">IFERROR(VLOOKUP($A154,RA_result!$B$3:$N$62,9,0),"")</f>
        <v/>
      </c>
      <c r="Q154" s="52" t="str">
        <f aca="false">IFERROR(VLOOKUP($A154,RA_result!$B$3:$N$62,10,0),"")</f>
        <v/>
      </c>
      <c r="R154" s="58" t="s">
        <v>55</v>
      </c>
      <c r="S154" s="59" t="str">
        <f aca="false">IFERROR(VLOOKUP($A154,RA_result!$B$3:$N$62,4,0),"")</f>
        <v/>
      </c>
      <c r="T154" s="60" t="s">
        <v>56</v>
      </c>
      <c r="U154" s="59" t="str">
        <f aca="false">IFERROR(IF(VLOOKUP($A154,RA_result!$B$3:$N$62,6,0)="",S154*T154,VLOOKUP($A154,RA_result!$B$3:$N$62,6,0)),"")</f>
        <v/>
      </c>
      <c r="V154" s="61" t="s">
        <v>56</v>
      </c>
      <c r="W154" s="62" t="n">
        <f aca="false">IFERROR((S154*30%)/V154,0)</f>
        <v>0</v>
      </c>
      <c r="X154" s="63" t="n">
        <f aca="false">IFERROR(N154/W154,0)</f>
        <v>0</v>
      </c>
      <c r="Y154" s="68"/>
      <c r="Z154" s="57"/>
      <c r="AA154" s="69" t="str">
        <f aca="false">IF(OR(U154="",Y154="",Z154=""),"",IF(AND(U154&gt;Y154,-U154&lt;Z154),"Ok","Not Ok"))</f>
        <v/>
      </c>
      <c r="AB154" s="70"/>
    </row>
    <row r="155" customFormat="false" ht="12.8" hidden="false" customHeight="false" outlineLevel="0" collapsed="false">
      <c r="A155" s="48" t="n">
        <f aca="false">TB_audited!A138</f>
        <v>0</v>
      </c>
      <c r="B155" s="49"/>
      <c r="C155" s="50"/>
      <c r="D155" s="51" t="n">
        <f aca="false">TB_audited!B138</f>
        <v>0</v>
      </c>
      <c r="E155" s="52" t="n">
        <f aca="false">TB_audited!C138</f>
        <v>0</v>
      </c>
      <c r="F155" s="53" t="n">
        <f aca="false">TB_audited!D138</f>
        <v>0</v>
      </c>
      <c r="G155" s="54" t="n">
        <f aca="false">IF($D$8="Interim",TB_audited!G138,TB_audited!E138)</f>
        <v>0</v>
      </c>
      <c r="H155" s="55" t="str">
        <f aca="false">IFERROR(VLOOKUP($A155,RA_result!$B$3:$N$62,11,0),"")</f>
        <v/>
      </c>
      <c r="I155" s="55" t="str">
        <f aca="false">IFERROR(VLOOKUP($A155,RA_result!$B$3:$N$62,12,0),"")</f>
        <v/>
      </c>
      <c r="J155" s="55" t="str">
        <f aca="false">IFERROR(VLOOKUP($A155,RA_result!$B$3:$N$62,13,0),"")</f>
        <v/>
      </c>
      <c r="K155" s="56"/>
      <c r="L155" s="56"/>
      <c r="M155" s="57" t="n">
        <f aca="false">G155</f>
        <v>0</v>
      </c>
      <c r="N155" s="54" t="n">
        <f aca="false">G155-M155</f>
        <v>0</v>
      </c>
      <c r="O155" s="55" t="str">
        <f aca="false">IFERROR(VLOOKUP($A155,RA_result!$B$3:$N$62,7,0),"")</f>
        <v/>
      </c>
      <c r="P155" s="52" t="str">
        <f aca="false">IFERROR(VLOOKUP($A155,RA_result!$B$3:$N$62,9,0),"")</f>
        <v/>
      </c>
      <c r="Q155" s="52" t="str">
        <f aca="false">IFERROR(VLOOKUP($A155,RA_result!$B$3:$N$62,10,0),"")</f>
        <v/>
      </c>
      <c r="R155" s="58" t="s">
        <v>55</v>
      </c>
      <c r="S155" s="59" t="str">
        <f aca="false">IFERROR(VLOOKUP($A155,RA_result!$B$3:$N$62,4,0),"")</f>
        <v/>
      </c>
      <c r="T155" s="60" t="s">
        <v>56</v>
      </c>
      <c r="U155" s="59" t="str">
        <f aca="false">IFERROR(IF(VLOOKUP($A155,RA_result!$B$3:$N$62,6,0)="",S155*T155,VLOOKUP($A155,RA_result!$B$3:$N$62,6,0)),"")</f>
        <v/>
      </c>
      <c r="V155" s="61" t="s">
        <v>56</v>
      </c>
      <c r="W155" s="62" t="n">
        <f aca="false">IFERROR((S155*30%)/V155,0)</f>
        <v>0</v>
      </c>
      <c r="X155" s="63" t="n">
        <f aca="false">IFERROR(N155/W155,0)</f>
        <v>0</v>
      </c>
      <c r="Y155" s="68"/>
      <c r="Z155" s="57"/>
      <c r="AA155" s="69" t="str">
        <f aca="false">IF(OR(U155="",Y155="",Z155=""),"",IF(AND(U155&gt;Y155,-U155&lt;Z155),"Ok","Not Ok"))</f>
        <v/>
      </c>
      <c r="AB155" s="70"/>
    </row>
    <row r="156" customFormat="false" ht="12.8" hidden="false" customHeight="false" outlineLevel="0" collapsed="false">
      <c r="A156" s="48" t="n">
        <f aca="false">TB_audited!A139</f>
        <v>0</v>
      </c>
      <c r="B156" s="49"/>
      <c r="C156" s="50"/>
      <c r="D156" s="51" t="n">
        <f aca="false">TB_audited!B139</f>
        <v>0</v>
      </c>
      <c r="E156" s="52" t="n">
        <f aca="false">TB_audited!C139</f>
        <v>0</v>
      </c>
      <c r="F156" s="53" t="n">
        <f aca="false">TB_audited!D139</f>
        <v>0</v>
      </c>
      <c r="G156" s="54" t="n">
        <f aca="false">IF($D$8="Interim",TB_audited!G139,TB_audited!E139)</f>
        <v>0</v>
      </c>
      <c r="H156" s="55" t="str">
        <f aca="false">IFERROR(VLOOKUP($A156,RA_result!$B$3:$N$62,11,0),"")</f>
        <v/>
      </c>
      <c r="I156" s="55" t="str">
        <f aca="false">IFERROR(VLOOKUP($A156,RA_result!$B$3:$N$62,12,0),"")</f>
        <v/>
      </c>
      <c r="J156" s="55" t="str">
        <f aca="false">IFERROR(VLOOKUP($A156,RA_result!$B$3:$N$62,13,0),"")</f>
        <v/>
      </c>
      <c r="K156" s="56"/>
      <c r="L156" s="56"/>
      <c r="M156" s="57" t="n">
        <f aca="false">G156</f>
        <v>0</v>
      </c>
      <c r="N156" s="54" t="n">
        <f aca="false">G156-M156</f>
        <v>0</v>
      </c>
      <c r="O156" s="55" t="str">
        <f aca="false">IFERROR(VLOOKUP($A156,RA_result!$B$3:$N$62,7,0),"")</f>
        <v/>
      </c>
      <c r="P156" s="52" t="str">
        <f aca="false">IFERROR(VLOOKUP($A156,RA_result!$B$3:$N$62,9,0),"")</f>
        <v/>
      </c>
      <c r="Q156" s="52" t="str">
        <f aca="false">IFERROR(VLOOKUP($A156,RA_result!$B$3:$N$62,10,0),"")</f>
        <v/>
      </c>
      <c r="R156" s="58" t="s">
        <v>55</v>
      </c>
      <c r="S156" s="59" t="str">
        <f aca="false">IFERROR(VLOOKUP($A156,RA_result!$B$3:$N$62,4,0),"")</f>
        <v/>
      </c>
      <c r="T156" s="60" t="s">
        <v>56</v>
      </c>
      <c r="U156" s="59" t="str">
        <f aca="false">IFERROR(IF(VLOOKUP($A156,RA_result!$B$3:$N$62,6,0)="",S156*T156,VLOOKUP($A156,RA_result!$B$3:$N$62,6,0)),"")</f>
        <v/>
      </c>
      <c r="V156" s="61" t="s">
        <v>56</v>
      </c>
      <c r="W156" s="62" t="n">
        <f aca="false">IFERROR((S156*30%)/V156,0)</f>
        <v>0</v>
      </c>
      <c r="X156" s="63" t="n">
        <f aca="false">IFERROR(N156/W156,0)</f>
        <v>0</v>
      </c>
      <c r="Y156" s="68"/>
      <c r="Z156" s="57"/>
      <c r="AA156" s="69" t="str">
        <f aca="false">IF(OR(U156="",Y156="",Z156=""),"",IF(AND(U156&gt;Y156,-U156&lt;Z156),"Ok","Not Ok"))</f>
        <v/>
      </c>
      <c r="AB156" s="70"/>
    </row>
    <row r="157" customFormat="false" ht="12.8" hidden="false" customHeight="false" outlineLevel="0" collapsed="false">
      <c r="A157" s="48" t="n">
        <f aca="false">TB_audited!A140</f>
        <v>0</v>
      </c>
      <c r="B157" s="49"/>
      <c r="C157" s="50"/>
      <c r="D157" s="51" t="n">
        <f aca="false">TB_audited!B140</f>
        <v>0</v>
      </c>
      <c r="E157" s="52" t="n">
        <f aca="false">TB_audited!C140</f>
        <v>0</v>
      </c>
      <c r="F157" s="53" t="n">
        <f aca="false">TB_audited!D140</f>
        <v>0</v>
      </c>
      <c r="G157" s="54" t="n">
        <f aca="false">IF($D$8="Interim",TB_audited!G140,TB_audited!E140)</f>
        <v>0</v>
      </c>
      <c r="H157" s="55" t="str">
        <f aca="false">IFERROR(VLOOKUP($A157,RA_result!$B$3:$N$62,11,0),"")</f>
        <v/>
      </c>
      <c r="I157" s="55" t="str">
        <f aca="false">IFERROR(VLOOKUP($A157,RA_result!$B$3:$N$62,12,0),"")</f>
        <v/>
      </c>
      <c r="J157" s="55" t="str">
        <f aca="false">IFERROR(VLOOKUP($A157,RA_result!$B$3:$N$62,13,0),"")</f>
        <v/>
      </c>
      <c r="K157" s="56"/>
      <c r="L157" s="56"/>
      <c r="M157" s="57" t="n">
        <f aca="false">G157</f>
        <v>0</v>
      </c>
      <c r="N157" s="54" t="n">
        <f aca="false">G157-M157</f>
        <v>0</v>
      </c>
      <c r="O157" s="55" t="str">
        <f aca="false">IFERROR(VLOOKUP($A157,RA_result!$B$3:$N$62,7,0),"")</f>
        <v/>
      </c>
      <c r="P157" s="52" t="str">
        <f aca="false">IFERROR(VLOOKUP($A157,RA_result!$B$3:$N$62,9,0),"")</f>
        <v/>
      </c>
      <c r="Q157" s="52" t="str">
        <f aca="false">IFERROR(VLOOKUP($A157,RA_result!$B$3:$N$62,10,0),"")</f>
        <v/>
      </c>
      <c r="R157" s="58" t="s">
        <v>55</v>
      </c>
      <c r="S157" s="59" t="str">
        <f aca="false">IFERROR(VLOOKUP($A157,RA_result!$B$3:$N$62,4,0),"")</f>
        <v/>
      </c>
      <c r="T157" s="60" t="s">
        <v>56</v>
      </c>
      <c r="U157" s="59" t="str">
        <f aca="false">IFERROR(IF(VLOOKUP($A157,RA_result!$B$3:$N$62,6,0)="",S157*T157,VLOOKUP($A157,RA_result!$B$3:$N$62,6,0)),"")</f>
        <v/>
      </c>
      <c r="V157" s="61" t="s">
        <v>56</v>
      </c>
      <c r="W157" s="62" t="n">
        <f aca="false">IFERROR((S157*30%)/V157,0)</f>
        <v>0</v>
      </c>
      <c r="X157" s="63" t="n">
        <f aca="false">IFERROR(N157/W157,0)</f>
        <v>0</v>
      </c>
      <c r="Y157" s="68"/>
      <c r="Z157" s="57"/>
      <c r="AA157" s="69" t="str">
        <f aca="false">IF(OR(U157="",Y157="",Z157=""),"",IF(AND(U157&gt;Y157,-U157&lt;Z157),"Ok","Not Ok"))</f>
        <v/>
      </c>
      <c r="AB157" s="70"/>
    </row>
    <row r="158" customFormat="false" ht="12.8" hidden="false" customHeight="false" outlineLevel="0" collapsed="false">
      <c r="A158" s="48" t="n">
        <f aca="false">TB_audited!A141</f>
        <v>0</v>
      </c>
      <c r="B158" s="49"/>
      <c r="C158" s="50"/>
      <c r="D158" s="51" t="n">
        <f aca="false">TB_audited!B141</f>
        <v>0</v>
      </c>
      <c r="E158" s="52" t="n">
        <f aca="false">TB_audited!C141</f>
        <v>0</v>
      </c>
      <c r="F158" s="53" t="n">
        <f aca="false">TB_audited!D141</f>
        <v>0</v>
      </c>
      <c r="G158" s="54" t="n">
        <f aca="false">IF($D$8="Interim",TB_audited!G141,TB_audited!E141)</f>
        <v>0</v>
      </c>
      <c r="H158" s="55" t="str">
        <f aca="false">IFERROR(VLOOKUP($A158,RA_result!$B$3:$N$62,11,0),"")</f>
        <v/>
      </c>
      <c r="I158" s="55" t="str">
        <f aca="false">IFERROR(VLOOKUP($A158,RA_result!$B$3:$N$62,12,0),"")</f>
        <v/>
      </c>
      <c r="J158" s="55" t="str">
        <f aca="false">IFERROR(VLOOKUP($A158,RA_result!$B$3:$N$62,13,0),"")</f>
        <v/>
      </c>
      <c r="K158" s="56"/>
      <c r="L158" s="56"/>
      <c r="M158" s="57" t="n">
        <f aca="false">G158</f>
        <v>0</v>
      </c>
      <c r="N158" s="54" t="n">
        <f aca="false">G158-M158</f>
        <v>0</v>
      </c>
      <c r="O158" s="55" t="str">
        <f aca="false">IFERROR(VLOOKUP($A158,RA_result!$B$3:$N$62,7,0),"")</f>
        <v/>
      </c>
      <c r="P158" s="52" t="str">
        <f aca="false">IFERROR(VLOOKUP($A158,RA_result!$B$3:$N$62,9,0),"")</f>
        <v/>
      </c>
      <c r="Q158" s="52" t="str">
        <f aca="false">IFERROR(VLOOKUP($A158,RA_result!$B$3:$N$62,10,0),"")</f>
        <v/>
      </c>
      <c r="R158" s="58" t="s">
        <v>55</v>
      </c>
      <c r="S158" s="59" t="str">
        <f aca="false">IFERROR(VLOOKUP($A158,RA_result!$B$3:$N$62,4,0),"")</f>
        <v/>
      </c>
      <c r="T158" s="60" t="s">
        <v>56</v>
      </c>
      <c r="U158" s="59" t="str">
        <f aca="false">IFERROR(IF(VLOOKUP($A158,RA_result!$B$3:$N$62,6,0)="",S158*T158,VLOOKUP($A158,RA_result!$B$3:$N$62,6,0)),"")</f>
        <v/>
      </c>
      <c r="V158" s="61" t="s">
        <v>56</v>
      </c>
      <c r="W158" s="62" t="n">
        <f aca="false">IFERROR((S158*30%)/V158,0)</f>
        <v>0</v>
      </c>
      <c r="X158" s="63" t="n">
        <f aca="false">IFERROR(N158/W158,0)</f>
        <v>0</v>
      </c>
      <c r="Y158" s="68"/>
      <c r="Z158" s="57"/>
      <c r="AA158" s="69" t="str">
        <f aca="false">IF(OR(U158="",Y158="",Z158=""),"",IF(AND(U158&gt;Y158,-U158&lt;Z158),"Ok","Not Ok"))</f>
        <v/>
      </c>
      <c r="AB158" s="70"/>
    </row>
    <row r="159" customFormat="false" ht="12.8" hidden="false" customHeight="false" outlineLevel="0" collapsed="false">
      <c r="A159" s="48" t="n">
        <f aca="false">TB_audited!A142</f>
        <v>0</v>
      </c>
      <c r="B159" s="49"/>
      <c r="C159" s="50"/>
      <c r="D159" s="51" t="n">
        <f aca="false">TB_audited!B142</f>
        <v>0</v>
      </c>
      <c r="E159" s="52" t="n">
        <f aca="false">TB_audited!C142</f>
        <v>0</v>
      </c>
      <c r="F159" s="53" t="n">
        <f aca="false">TB_audited!D142</f>
        <v>0</v>
      </c>
      <c r="G159" s="54" t="n">
        <f aca="false">IF($D$8="Interim",TB_audited!G142,TB_audited!E142)</f>
        <v>0</v>
      </c>
      <c r="H159" s="55" t="str">
        <f aca="false">IFERROR(VLOOKUP($A159,RA_result!$B$3:$N$62,11,0),"")</f>
        <v/>
      </c>
      <c r="I159" s="55" t="str">
        <f aca="false">IFERROR(VLOOKUP($A159,RA_result!$B$3:$N$62,12,0),"")</f>
        <v/>
      </c>
      <c r="J159" s="55" t="str">
        <f aca="false">IFERROR(VLOOKUP($A159,RA_result!$B$3:$N$62,13,0),"")</f>
        <v/>
      </c>
      <c r="K159" s="56"/>
      <c r="L159" s="56"/>
      <c r="M159" s="57" t="n">
        <f aca="false">G159</f>
        <v>0</v>
      </c>
      <c r="N159" s="54" t="n">
        <f aca="false">G159-M159</f>
        <v>0</v>
      </c>
      <c r="O159" s="55" t="str">
        <f aca="false">IFERROR(VLOOKUP($A159,RA_result!$B$3:$N$62,7,0),"")</f>
        <v/>
      </c>
      <c r="P159" s="52" t="str">
        <f aca="false">IFERROR(VLOOKUP($A159,RA_result!$B$3:$N$62,9,0),"")</f>
        <v/>
      </c>
      <c r="Q159" s="52" t="str">
        <f aca="false">IFERROR(VLOOKUP($A159,RA_result!$B$3:$N$62,10,0),"")</f>
        <v/>
      </c>
      <c r="R159" s="58" t="s">
        <v>55</v>
      </c>
      <c r="S159" s="59" t="str">
        <f aca="false">IFERROR(VLOOKUP($A159,RA_result!$B$3:$N$62,4,0),"")</f>
        <v/>
      </c>
      <c r="T159" s="60" t="s">
        <v>56</v>
      </c>
      <c r="U159" s="59" t="str">
        <f aca="false">IFERROR(IF(VLOOKUP($A159,RA_result!$B$3:$N$62,6,0)="",S159*T159,VLOOKUP($A159,RA_result!$B$3:$N$62,6,0)),"")</f>
        <v/>
      </c>
      <c r="V159" s="61" t="s">
        <v>56</v>
      </c>
      <c r="W159" s="62" t="n">
        <f aca="false">IFERROR((S159*30%)/V159,0)</f>
        <v>0</v>
      </c>
      <c r="X159" s="63" t="n">
        <f aca="false">IFERROR(N159/W159,0)</f>
        <v>0</v>
      </c>
      <c r="Y159" s="68"/>
      <c r="Z159" s="57"/>
      <c r="AA159" s="69" t="str">
        <f aca="false">IF(OR(U159="",Y159="",Z159=""),"",IF(AND(U159&gt;Y159,-U159&lt;Z159),"Ok","Not Ok"))</f>
        <v/>
      </c>
      <c r="AB159" s="70"/>
    </row>
    <row r="160" customFormat="false" ht="12.8" hidden="false" customHeight="false" outlineLevel="0" collapsed="false">
      <c r="A160" s="48" t="n">
        <f aca="false">TB_audited!A143</f>
        <v>0</v>
      </c>
      <c r="B160" s="49"/>
      <c r="C160" s="50"/>
      <c r="D160" s="51" t="n">
        <f aca="false">TB_audited!B143</f>
        <v>0</v>
      </c>
      <c r="E160" s="52" t="n">
        <f aca="false">TB_audited!C143</f>
        <v>0</v>
      </c>
      <c r="F160" s="53" t="n">
        <f aca="false">TB_audited!D143</f>
        <v>0</v>
      </c>
      <c r="G160" s="54" t="n">
        <f aca="false">IF($D$8="Interim",TB_audited!G143,TB_audited!E143)</f>
        <v>0</v>
      </c>
      <c r="H160" s="55" t="str">
        <f aca="false">IFERROR(VLOOKUP($A160,RA_result!$B$3:$N$62,11,0),"")</f>
        <v/>
      </c>
      <c r="I160" s="55" t="str">
        <f aca="false">IFERROR(VLOOKUP($A160,RA_result!$B$3:$N$62,12,0),"")</f>
        <v/>
      </c>
      <c r="J160" s="55" t="str">
        <f aca="false">IFERROR(VLOOKUP($A160,RA_result!$B$3:$N$62,13,0),"")</f>
        <v/>
      </c>
      <c r="K160" s="56"/>
      <c r="L160" s="56"/>
      <c r="M160" s="57" t="n">
        <f aca="false">G160</f>
        <v>0</v>
      </c>
      <c r="N160" s="54" t="n">
        <f aca="false">G160-M160</f>
        <v>0</v>
      </c>
      <c r="O160" s="55" t="str">
        <f aca="false">IFERROR(VLOOKUP($A160,RA_result!$B$3:$N$62,7,0),"")</f>
        <v/>
      </c>
      <c r="P160" s="52" t="str">
        <f aca="false">IFERROR(VLOOKUP($A160,RA_result!$B$3:$N$62,9,0),"")</f>
        <v/>
      </c>
      <c r="Q160" s="52" t="str">
        <f aca="false">IFERROR(VLOOKUP($A160,RA_result!$B$3:$N$62,10,0),"")</f>
        <v/>
      </c>
      <c r="R160" s="58" t="s">
        <v>55</v>
      </c>
      <c r="S160" s="59" t="str">
        <f aca="false">IFERROR(VLOOKUP($A160,RA_result!$B$3:$N$62,4,0),"")</f>
        <v/>
      </c>
      <c r="T160" s="60" t="s">
        <v>56</v>
      </c>
      <c r="U160" s="59" t="str">
        <f aca="false">IFERROR(IF(VLOOKUP($A160,RA_result!$B$3:$N$62,6,0)="",S160*T160,VLOOKUP($A160,RA_result!$B$3:$N$62,6,0)),"")</f>
        <v/>
      </c>
      <c r="V160" s="61" t="s">
        <v>56</v>
      </c>
      <c r="W160" s="62" t="n">
        <f aca="false">IFERROR((S160*30%)/V160,0)</f>
        <v>0</v>
      </c>
      <c r="X160" s="63" t="n">
        <f aca="false">IFERROR(N160/W160,0)</f>
        <v>0</v>
      </c>
      <c r="Y160" s="68"/>
      <c r="Z160" s="57"/>
      <c r="AA160" s="69" t="str">
        <f aca="false">IF(OR(U160="",Y160="",Z160=""),"",IF(AND(U160&gt;Y160,-U160&lt;Z160),"Ok","Not Ok"))</f>
        <v/>
      </c>
      <c r="AB160" s="70"/>
    </row>
    <row r="161" customFormat="false" ht="12.8" hidden="false" customHeight="false" outlineLevel="0" collapsed="false">
      <c r="A161" s="48" t="n">
        <f aca="false">TB_audited!A144</f>
        <v>0</v>
      </c>
      <c r="B161" s="49"/>
      <c r="C161" s="50"/>
      <c r="D161" s="51" t="n">
        <f aca="false">TB_audited!B144</f>
        <v>0</v>
      </c>
      <c r="E161" s="52" t="n">
        <f aca="false">TB_audited!C144</f>
        <v>0</v>
      </c>
      <c r="F161" s="53" t="n">
        <f aca="false">TB_audited!D144</f>
        <v>0</v>
      </c>
      <c r="G161" s="54" t="n">
        <f aca="false">IF($D$8="Interim",TB_audited!G144,TB_audited!E144)</f>
        <v>0</v>
      </c>
      <c r="H161" s="55" t="str">
        <f aca="false">IFERROR(VLOOKUP($A161,RA_result!$B$3:$N$62,11,0),"")</f>
        <v/>
      </c>
      <c r="I161" s="55" t="str">
        <f aca="false">IFERROR(VLOOKUP($A161,RA_result!$B$3:$N$62,12,0),"")</f>
        <v/>
      </c>
      <c r="J161" s="55" t="str">
        <f aca="false">IFERROR(VLOOKUP($A161,RA_result!$B$3:$N$62,13,0),"")</f>
        <v/>
      </c>
      <c r="K161" s="56"/>
      <c r="L161" s="56"/>
      <c r="M161" s="57" t="n">
        <f aca="false">G161</f>
        <v>0</v>
      </c>
      <c r="N161" s="54" t="n">
        <f aca="false">G161-M161</f>
        <v>0</v>
      </c>
      <c r="O161" s="55" t="str">
        <f aca="false">IFERROR(VLOOKUP($A161,RA_result!$B$3:$N$62,7,0),"")</f>
        <v/>
      </c>
      <c r="P161" s="52" t="str">
        <f aca="false">IFERROR(VLOOKUP($A161,RA_result!$B$3:$N$62,9,0),"")</f>
        <v/>
      </c>
      <c r="Q161" s="52" t="str">
        <f aca="false">IFERROR(VLOOKUP($A161,RA_result!$B$3:$N$62,10,0),"")</f>
        <v/>
      </c>
      <c r="R161" s="58" t="s">
        <v>55</v>
      </c>
      <c r="S161" s="59" t="str">
        <f aca="false">IFERROR(VLOOKUP($A161,RA_result!$B$3:$N$62,4,0),"")</f>
        <v/>
      </c>
      <c r="T161" s="60" t="s">
        <v>56</v>
      </c>
      <c r="U161" s="59" t="str">
        <f aca="false">IFERROR(IF(VLOOKUP($A161,RA_result!$B$3:$N$62,6,0)="",S161*T161,VLOOKUP($A161,RA_result!$B$3:$N$62,6,0)),"")</f>
        <v/>
      </c>
      <c r="V161" s="61" t="s">
        <v>56</v>
      </c>
      <c r="W161" s="62" t="n">
        <f aca="false">IFERROR((S161*30%)/V161,0)</f>
        <v>0</v>
      </c>
      <c r="X161" s="63" t="n">
        <f aca="false">IFERROR(N161/W161,0)</f>
        <v>0</v>
      </c>
      <c r="Y161" s="68"/>
      <c r="Z161" s="57"/>
      <c r="AA161" s="69" t="str">
        <f aca="false">IF(OR(U161="",Y161="",Z161=""),"",IF(AND(U161&gt;Y161,-U161&lt;Z161),"Ok","Not Ok"))</f>
        <v/>
      </c>
      <c r="AB161" s="70"/>
    </row>
    <row r="162" customFormat="false" ht="12.8" hidden="false" customHeight="false" outlineLevel="0" collapsed="false">
      <c r="A162" s="48" t="n">
        <f aca="false">TB_audited!A145</f>
        <v>0</v>
      </c>
      <c r="B162" s="49"/>
      <c r="C162" s="50"/>
      <c r="D162" s="51" t="n">
        <f aca="false">TB_audited!B145</f>
        <v>0</v>
      </c>
      <c r="E162" s="52" t="n">
        <f aca="false">TB_audited!C145</f>
        <v>0</v>
      </c>
      <c r="F162" s="53" t="n">
        <f aca="false">TB_audited!D145</f>
        <v>0</v>
      </c>
      <c r="G162" s="54" t="n">
        <f aca="false">IF($D$8="Interim",TB_audited!G145,TB_audited!E145)</f>
        <v>0</v>
      </c>
      <c r="H162" s="55" t="str">
        <f aca="false">IFERROR(VLOOKUP($A162,RA_result!$B$3:$N$62,11,0),"")</f>
        <v/>
      </c>
      <c r="I162" s="55" t="str">
        <f aca="false">IFERROR(VLOOKUP($A162,RA_result!$B$3:$N$62,12,0),"")</f>
        <v/>
      </c>
      <c r="J162" s="55" t="str">
        <f aca="false">IFERROR(VLOOKUP($A162,RA_result!$B$3:$N$62,13,0),"")</f>
        <v/>
      </c>
      <c r="K162" s="56"/>
      <c r="L162" s="56"/>
      <c r="M162" s="57" t="n">
        <f aca="false">G162</f>
        <v>0</v>
      </c>
      <c r="N162" s="54" t="n">
        <f aca="false">G162-M162</f>
        <v>0</v>
      </c>
      <c r="O162" s="55" t="str">
        <f aca="false">IFERROR(VLOOKUP($A162,RA_result!$B$3:$N$62,7,0),"")</f>
        <v/>
      </c>
      <c r="P162" s="52" t="str">
        <f aca="false">IFERROR(VLOOKUP($A162,RA_result!$B$3:$N$62,9,0),"")</f>
        <v/>
      </c>
      <c r="Q162" s="52" t="str">
        <f aca="false">IFERROR(VLOOKUP($A162,RA_result!$B$3:$N$62,10,0),"")</f>
        <v/>
      </c>
      <c r="R162" s="58" t="s">
        <v>55</v>
      </c>
      <c r="S162" s="59" t="str">
        <f aca="false">IFERROR(VLOOKUP($A162,RA_result!$B$3:$N$62,4,0),"")</f>
        <v/>
      </c>
      <c r="T162" s="60" t="s">
        <v>56</v>
      </c>
      <c r="U162" s="59" t="str">
        <f aca="false">IFERROR(IF(VLOOKUP($A162,RA_result!$B$3:$N$62,6,0)="",S162*T162,VLOOKUP($A162,RA_result!$B$3:$N$62,6,0)),"")</f>
        <v/>
      </c>
      <c r="V162" s="61" t="s">
        <v>56</v>
      </c>
      <c r="W162" s="62" t="n">
        <f aca="false">IFERROR((S162*30%)/V162,0)</f>
        <v>0</v>
      </c>
      <c r="X162" s="63" t="n">
        <f aca="false">IFERROR(N162/W162,0)</f>
        <v>0</v>
      </c>
      <c r="Y162" s="68"/>
      <c r="Z162" s="57"/>
      <c r="AA162" s="69" t="str">
        <f aca="false">IF(OR(U162="",Y162="",Z162=""),"",IF(AND(U162&gt;Y162,-U162&lt;Z162),"Ok","Not Ok"))</f>
        <v/>
      </c>
      <c r="AB162" s="70"/>
    </row>
    <row r="163" customFormat="false" ht="12.8" hidden="false" customHeight="false" outlineLevel="0" collapsed="false">
      <c r="A163" s="48" t="n">
        <f aca="false">TB_audited!A146</f>
        <v>0</v>
      </c>
      <c r="B163" s="49"/>
      <c r="C163" s="50"/>
      <c r="D163" s="51" t="n">
        <f aca="false">TB_audited!B146</f>
        <v>0</v>
      </c>
      <c r="E163" s="52" t="n">
        <f aca="false">TB_audited!C146</f>
        <v>0</v>
      </c>
      <c r="F163" s="53" t="n">
        <f aca="false">TB_audited!D146</f>
        <v>0</v>
      </c>
      <c r="G163" s="54" t="n">
        <f aca="false">IF($D$8="Interim",TB_audited!G146,TB_audited!E146)</f>
        <v>0</v>
      </c>
      <c r="H163" s="55" t="str">
        <f aca="false">IFERROR(VLOOKUP($A163,RA_result!$B$3:$N$62,11,0),"")</f>
        <v/>
      </c>
      <c r="I163" s="55" t="str">
        <f aca="false">IFERROR(VLOOKUP($A163,RA_result!$B$3:$N$62,12,0),"")</f>
        <v/>
      </c>
      <c r="J163" s="55" t="str">
        <f aca="false">IFERROR(VLOOKUP($A163,RA_result!$B$3:$N$62,13,0),"")</f>
        <v/>
      </c>
      <c r="K163" s="56"/>
      <c r="L163" s="56"/>
      <c r="M163" s="57" t="n">
        <f aca="false">G163</f>
        <v>0</v>
      </c>
      <c r="N163" s="54" t="n">
        <f aca="false">G163-M163</f>
        <v>0</v>
      </c>
      <c r="O163" s="55" t="str">
        <f aca="false">IFERROR(VLOOKUP($A163,RA_result!$B$3:$N$62,7,0),"")</f>
        <v/>
      </c>
      <c r="P163" s="52" t="str">
        <f aca="false">IFERROR(VLOOKUP($A163,RA_result!$B$3:$N$62,9,0),"")</f>
        <v/>
      </c>
      <c r="Q163" s="52" t="str">
        <f aca="false">IFERROR(VLOOKUP($A163,RA_result!$B$3:$N$62,10,0),"")</f>
        <v/>
      </c>
      <c r="R163" s="58" t="s">
        <v>55</v>
      </c>
      <c r="S163" s="59" t="str">
        <f aca="false">IFERROR(VLOOKUP($A163,RA_result!$B$3:$N$62,4,0),"")</f>
        <v/>
      </c>
      <c r="T163" s="60" t="s">
        <v>56</v>
      </c>
      <c r="U163" s="59" t="str">
        <f aca="false">IFERROR(IF(VLOOKUP($A163,RA_result!$B$3:$N$62,6,0)="",S163*T163,VLOOKUP($A163,RA_result!$B$3:$N$62,6,0)),"")</f>
        <v/>
      </c>
      <c r="V163" s="61" t="s">
        <v>56</v>
      </c>
      <c r="W163" s="62" t="n">
        <f aca="false">IFERROR((S163*30%)/V163,0)</f>
        <v>0</v>
      </c>
      <c r="X163" s="63" t="n">
        <f aca="false">IFERROR(N163/W163,0)</f>
        <v>0</v>
      </c>
      <c r="Y163" s="68"/>
      <c r="Z163" s="57"/>
      <c r="AA163" s="69" t="str">
        <f aca="false">IF(OR(U163="",Y163="",Z163=""),"",IF(AND(U163&gt;Y163,-U163&lt;Z163),"Ok","Not Ok"))</f>
        <v/>
      </c>
      <c r="AB163" s="70"/>
    </row>
    <row r="164" customFormat="false" ht="12.8" hidden="false" customHeight="false" outlineLevel="0" collapsed="false">
      <c r="A164" s="48" t="n">
        <f aca="false">TB_audited!A147</f>
        <v>0</v>
      </c>
      <c r="B164" s="49"/>
      <c r="C164" s="50"/>
      <c r="D164" s="51" t="n">
        <f aca="false">TB_audited!B147</f>
        <v>0</v>
      </c>
      <c r="E164" s="52" t="n">
        <f aca="false">TB_audited!C147</f>
        <v>0</v>
      </c>
      <c r="F164" s="53" t="n">
        <f aca="false">TB_audited!D147</f>
        <v>0</v>
      </c>
      <c r="G164" s="54" t="n">
        <f aca="false">IF($D$8="Interim",TB_audited!G147,TB_audited!E147)</f>
        <v>0</v>
      </c>
      <c r="H164" s="55" t="str">
        <f aca="false">IFERROR(VLOOKUP($A164,RA_result!$B$3:$N$62,11,0),"")</f>
        <v/>
      </c>
      <c r="I164" s="55" t="str">
        <f aca="false">IFERROR(VLOOKUP($A164,RA_result!$B$3:$N$62,12,0),"")</f>
        <v/>
      </c>
      <c r="J164" s="55" t="str">
        <f aca="false">IFERROR(VLOOKUP($A164,RA_result!$B$3:$N$62,13,0),"")</f>
        <v/>
      </c>
      <c r="K164" s="56"/>
      <c r="L164" s="56"/>
      <c r="M164" s="57" t="n">
        <f aca="false">G164</f>
        <v>0</v>
      </c>
      <c r="N164" s="54" t="n">
        <f aca="false">G164-M164</f>
        <v>0</v>
      </c>
      <c r="O164" s="55" t="str">
        <f aca="false">IFERROR(VLOOKUP($A164,RA_result!$B$3:$N$62,7,0),"")</f>
        <v/>
      </c>
      <c r="P164" s="52" t="str">
        <f aca="false">IFERROR(VLOOKUP($A164,RA_result!$B$3:$N$62,9,0),"")</f>
        <v/>
      </c>
      <c r="Q164" s="52" t="str">
        <f aca="false">IFERROR(VLOOKUP($A164,RA_result!$B$3:$N$62,10,0),"")</f>
        <v/>
      </c>
      <c r="R164" s="58" t="s">
        <v>55</v>
      </c>
      <c r="S164" s="59" t="str">
        <f aca="false">IFERROR(VLOOKUP($A164,RA_result!$B$3:$N$62,4,0),"")</f>
        <v/>
      </c>
      <c r="T164" s="60" t="s">
        <v>56</v>
      </c>
      <c r="U164" s="59" t="str">
        <f aca="false">IFERROR(IF(VLOOKUP($A164,RA_result!$B$3:$N$62,6,0)="",S164*T164,VLOOKUP($A164,RA_result!$B$3:$N$62,6,0)),"")</f>
        <v/>
      </c>
      <c r="V164" s="61" t="s">
        <v>56</v>
      </c>
      <c r="W164" s="62" t="n">
        <f aca="false">IFERROR((S164*30%)/V164,0)</f>
        <v>0</v>
      </c>
      <c r="X164" s="63" t="n">
        <f aca="false">IFERROR(N164/W164,0)</f>
        <v>0</v>
      </c>
      <c r="Y164" s="68"/>
      <c r="Z164" s="57"/>
      <c r="AA164" s="69" t="str">
        <f aca="false">IF(OR(U164="",Y164="",Z164=""),"",IF(AND(U164&gt;Y164,-U164&lt;Z164),"Ok","Not Ok"))</f>
        <v/>
      </c>
      <c r="AB164" s="70"/>
    </row>
    <row r="165" customFormat="false" ht="12.8" hidden="false" customHeight="false" outlineLevel="0" collapsed="false">
      <c r="A165" s="48" t="n">
        <f aca="false">TB_audited!A148</f>
        <v>0</v>
      </c>
      <c r="B165" s="49"/>
      <c r="C165" s="50"/>
      <c r="D165" s="51" t="n">
        <f aca="false">TB_audited!B148</f>
        <v>0</v>
      </c>
      <c r="E165" s="52" t="n">
        <f aca="false">TB_audited!C148</f>
        <v>0</v>
      </c>
      <c r="F165" s="53" t="n">
        <f aca="false">TB_audited!D148</f>
        <v>0</v>
      </c>
      <c r="G165" s="54" t="n">
        <f aca="false">IF($D$8="Interim",TB_audited!G148,TB_audited!E148)</f>
        <v>0</v>
      </c>
      <c r="H165" s="55" t="str">
        <f aca="false">IFERROR(VLOOKUP($A165,RA_result!$B$3:$N$62,11,0),"")</f>
        <v/>
      </c>
      <c r="I165" s="55" t="str">
        <f aca="false">IFERROR(VLOOKUP($A165,RA_result!$B$3:$N$62,12,0),"")</f>
        <v/>
      </c>
      <c r="J165" s="55" t="str">
        <f aca="false">IFERROR(VLOOKUP($A165,RA_result!$B$3:$N$62,13,0),"")</f>
        <v/>
      </c>
      <c r="K165" s="56"/>
      <c r="L165" s="56"/>
      <c r="M165" s="57" t="n">
        <f aca="false">G165</f>
        <v>0</v>
      </c>
      <c r="N165" s="54" t="n">
        <f aca="false">G165-M165</f>
        <v>0</v>
      </c>
      <c r="O165" s="55" t="str">
        <f aca="false">IFERROR(VLOOKUP($A165,RA_result!$B$3:$N$62,7,0),"")</f>
        <v/>
      </c>
      <c r="P165" s="52" t="str">
        <f aca="false">IFERROR(VLOOKUP($A165,RA_result!$B$3:$N$62,9,0),"")</f>
        <v/>
      </c>
      <c r="Q165" s="52" t="str">
        <f aca="false">IFERROR(VLOOKUP($A165,RA_result!$B$3:$N$62,10,0),"")</f>
        <v/>
      </c>
      <c r="R165" s="58" t="s">
        <v>55</v>
      </c>
      <c r="S165" s="59" t="str">
        <f aca="false">IFERROR(VLOOKUP($A165,RA_result!$B$3:$N$62,4,0),"")</f>
        <v/>
      </c>
      <c r="T165" s="60" t="s">
        <v>56</v>
      </c>
      <c r="U165" s="59" t="str">
        <f aca="false">IFERROR(IF(VLOOKUP($A165,RA_result!$B$3:$N$62,6,0)="",S165*T165,VLOOKUP($A165,RA_result!$B$3:$N$62,6,0)),"")</f>
        <v/>
      </c>
      <c r="V165" s="61" t="s">
        <v>56</v>
      </c>
      <c r="W165" s="62" t="n">
        <f aca="false">IFERROR((S165*30%)/V165,0)</f>
        <v>0</v>
      </c>
      <c r="X165" s="63" t="n">
        <f aca="false">IFERROR(N165/W165,0)</f>
        <v>0</v>
      </c>
      <c r="Y165" s="68"/>
      <c r="Z165" s="57"/>
      <c r="AA165" s="69" t="str">
        <f aca="false">IF(OR(U165="",Y165="",Z165=""),"",IF(AND(U165&gt;Y165,-U165&lt;Z165),"Ok","Not Ok"))</f>
        <v/>
      </c>
      <c r="AB165" s="70"/>
    </row>
    <row r="166" customFormat="false" ht="12.8" hidden="false" customHeight="false" outlineLevel="0" collapsed="false">
      <c r="A166" s="48" t="n">
        <f aca="false">TB_audited!A149</f>
        <v>0</v>
      </c>
      <c r="B166" s="49"/>
      <c r="C166" s="50"/>
      <c r="D166" s="51" t="n">
        <f aca="false">TB_audited!B149</f>
        <v>0</v>
      </c>
      <c r="E166" s="52" t="n">
        <f aca="false">TB_audited!C149</f>
        <v>0</v>
      </c>
      <c r="F166" s="53" t="n">
        <f aca="false">TB_audited!D149</f>
        <v>0</v>
      </c>
      <c r="G166" s="54" t="n">
        <f aca="false">IF($D$8="Interim",TB_audited!G149,TB_audited!E149)</f>
        <v>0</v>
      </c>
      <c r="H166" s="55" t="str">
        <f aca="false">IFERROR(VLOOKUP($A166,RA_result!$B$3:$N$62,11,0),"")</f>
        <v/>
      </c>
      <c r="I166" s="55" t="str">
        <f aca="false">IFERROR(VLOOKUP($A166,RA_result!$B$3:$N$62,12,0),"")</f>
        <v/>
      </c>
      <c r="J166" s="55" t="str">
        <f aca="false">IFERROR(VLOOKUP($A166,RA_result!$B$3:$N$62,13,0),"")</f>
        <v/>
      </c>
      <c r="K166" s="56"/>
      <c r="L166" s="56"/>
      <c r="M166" s="57" t="n">
        <f aca="false">G166</f>
        <v>0</v>
      </c>
      <c r="N166" s="54" t="n">
        <f aca="false">G166-M166</f>
        <v>0</v>
      </c>
      <c r="O166" s="55" t="str">
        <f aca="false">IFERROR(VLOOKUP($A166,RA_result!$B$3:$N$62,7,0),"")</f>
        <v/>
      </c>
      <c r="P166" s="52" t="str">
        <f aca="false">IFERROR(VLOOKUP($A166,RA_result!$B$3:$N$62,9,0),"")</f>
        <v/>
      </c>
      <c r="Q166" s="52" t="str">
        <f aca="false">IFERROR(VLOOKUP($A166,RA_result!$B$3:$N$62,10,0),"")</f>
        <v/>
      </c>
      <c r="R166" s="58" t="s">
        <v>55</v>
      </c>
      <c r="S166" s="59" t="str">
        <f aca="false">IFERROR(VLOOKUP($A166,RA_result!$B$3:$N$62,4,0),"")</f>
        <v/>
      </c>
      <c r="T166" s="60" t="s">
        <v>56</v>
      </c>
      <c r="U166" s="59" t="str">
        <f aca="false">IFERROR(IF(VLOOKUP($A166,RA_result!$B$3:$N$62,6,0)="",S166*T166,VLOOKUP($A166,RA_result!$B$3:$N$62,6,0)),"")</f>
        <v/>
      </c>
      <c r="V166" s="61" t="s">
        <v>56</v>
      </c>
      <c r="W166" s="62" t="n">
        <f aca="false">IFERROR((S166*30%)/V166,0)</f>
        <v>0</v>
      </c>
      <c r="X166" s="63" t="n">
        <f aca="false">IFERROR(N166/W166,0)</f>
        <v>0</v>
      </c>
      <c r="Y166" s="68"/>
      <c r="Z166" s="57"/>
      <c r="AA166" s="69" t="str">
        <f aca="false">IF(OR(U166="",Y166="",Z166=""),"",IF(AND(U166&gt;Y166,-U166&lt;Z166),"Ok","Not Ok"))</f>
        <v/>
      </c>
      <c r="AB166" s="70"/>
    </row>
    <row r="167" customFormat="false" ht="12.8" hidden="false" customHeight="false" outlineLevel="0" collapsed="false">
      <c r="A167" s="48" t="n">
        <f aca="false">TB_audited!A150</f>
        <v>0</v>
      </c>
      <c r="B167" s="49"/>
      <c r="C167" s="50"/>
      <c r="D167" s="51" t="n">
        <f aca="false">TB_audited!B150</f>
        <v>0</v>
      </c>
      <c r="E167" s="52" t="n">
        <f aca="false">TB_audited!C150</f>
        <v>0</v>
      </c>
      <c r="F167" s="53" t="n">
        <f aca="false">TB_audited!D150</f>
        <v>0</v>
      </c>
      <c r="G167" s="54" t="n">
        <f aca="false">IF($D$8="Interim",TB_audited!G150,TB_audited!E150)</f>
        <v>0</v>
      </c>
      <c r="H167" s="55" t="str">
        <f aca="false">IFERROR(VLOOKUP($A167,RA_result!$B$3:$N$62,11,0),"")</f>
        <v/>
      </c>
      <c r="I167" s="55" t="str">
        <f aca="false">IFERROR(VLOOKUP($A167,RA_result!$B$3:$N$62,12,0),"")</f>
        <v/>
      </c>
      <c r="J167" s="55" t="str">
        <f aca="false">IFERROR(VLOOKUP($A167,RA_result!$B$3:$N$62,13,0),"")</f>
        <v/>
      </c>
      <c r="K167" s="56"/>
      <c r="L167" s="56"/>
      <c r="M167" s="57" t="n">
        <f aca="false">G167</f>
        <v>0</v>
      </c>
      <c r="N167" s="54" t="n">
        <f aca="false">G167-M167</f>
        <v>0</v>
      </c>
      <c r="O167" s="55" t="str">
        <f aca="false">IFERROR(VLOOKUP($A167,RA_result!$B$3:$N$62,7,0),"")</f>
        <v/>
      </c>
      <c r="P167" s="52" t="str">
        <f aca="false">IFERROR(VLOOKUP($A167,RA_result!$B$3:$N$62,9,0),"")</f>
        <v/>
      </c>
      <c r="Q167" s="52" t="str">
        <f aca="false">IFERROR(VLOOKUP($A167,RA_result!$B$3:$N$62,10,0),"")</f>
        <v/>
      </c>
      <c r="R167" s="58" t="s">
        <v>55</v>
      </c>
      <c r="S167" s="59" t="str">
        <f aca="false">IFERROR(VLOOKUP($A167,RA_result!$B$3:$N$62,4,0),"")</f>
        <v/>
      </c>
      <c r="T167" s="60" t="s">
        <v>56</v>
      </c>
      <c r="U167" s="59" t="str">
        <f aca="false">IFERROR(IF(VLOOKUP($A167,RA_result!$B$3:$N$62,6,0)="",S167*T167,VLOOKUP($A167,RA_result!$B$3:$N$62,6,0)),"")</f>
        <v/>
      </c>
      <c r="V167" s="61" t="s">
        <v>56</v>
      </c>
      <c r="W167" s="62" t="n">
        <f aca="false">IFERROR((S167*30%)/V167,0)</f>
        <v>0</v>
      </c>
      <c r="X167" s="63" t="n">
        <f aca="false">IFERROR(N167/W167,0)</f>
        <v>0</v>
      </c>
      <c r="Y167" s="68"/>
      <c r="Z167" s="57"/>
      <c r="AA167" s="69" t="str">
        <f aca="false">IF(OR(U167="",Y167="",Z167=""),"",IF(AND(U167&gt;Y167,-U167&lt;Z167),"Ok","Not Ok"))</f>
        <v/>
      </c>
      <c r="AB167" s="70"/>
    </row>
    <row r="168" customFormat="false" ht="12.8" hidden="false" customHeight="false" outlineLevel="0" collapsed="false">
      <c r="A168" s="48" t="n">
        <f aca="false">TB_audited!A151</f>
        <v>0</v>
      </c>
      <c r="B168" s="49"/>
      <c r="C168" s="50"/>
      <c r="D168" s="51" t="n">
        <f aca="false">TB_audited!B151</f>
        <v>0</v>
      </c>
      <c r="E168" s="52" t="n">
        <f aca="false">TB_audited!C151</f>
        <v>0</v>
      </c>
      <c r="F168" s="53" t="n">
        <f aca="false">TB_audited!D151</f>
        <v>0</v>
      </c>
      <c r="G168" s="54" t="n">
        <f aca="false">IF($D$8="Interim",TB_audited!G151,TB_audited!E151)</f>
        <v>0</v>
      </c>
      <c r="H168" s="55" t="str">
        <f aca="false">IFERROR(VLOOKUP($A168,RA_result!$B$3:$N$62,11,0),"")</f>
        <v/>
      </c>
      <c r="I168" s="55" t="str">
        <f aca="false">IFERROR(VLOOKUP($A168,RA_result!$B$3:$N$62,12,0),"")</f>
        <v/>
      </c>
      <c r="J168" s="55" t="str">
        <f aca="false">IFERROR(VLOOKUP($A168,RA_result!$B$3:$N$62,13,0),"")</f>
        <v/>
      </c>
      <c r="K168" s="56"/>
      <c r="L168" s="56"/>
      <c r="M168" s="57" t="n">
        <f aca="false">G168</f>
        <v>0</v>
      </c>
      <c r="N168" s="54" t="n">
        <f aca="false">G168-M168</f>
        <v>0</v>
      </c>
      <c r="O168" s="55" t="str">
        <f aca="false">IFERROR(VLOOKUP($A168,RA_result!$B$3:$N$62,7,0),"")</f>
        <v/>
      </c>
      <c r="P168" s="52" t="str">
        <f aca="false">IFERROR(VLOOKUP($A168,RA_result!$B$3:$N$62,9,0),"")</f>
        <v/>
      </c>
      <c r="Q168" s="52" t="str">
        <f aca="false">IFERROR(VLOOKUP($A168,RA_result!$B$3:$N$62,10,0),"")</f>
        <v/>
      </c>
      <c r="R168" s="58" t="s">
        <v>55</v>
      </c>
      <c r="S168" s="59" t="str">
        <f aca="false">IFERROR(VLOOKUP($A168,RA_result!$B$3:$N$62,4,0),"")</f>
        <v/>
      </c>
      <c r="T168" s="60" t="s">
        <v>56</v>
      </c>
      <c r="U168" s="59" t="str">
        <f aca="false">IFERROR(IF(VLOOKUP($A168,RA_result!$B$3:$N$62,6,0)="",S168*T168,VLOOKUP($A168,RA_result!$B$3:$N$62,6,0)),"")</f>
        <v/>
      </c>
      <c r="V168" s="61" t="s">
        <v>56</v>
      </c>
      <c r="W168" s="62" t="n">
        <f aca="false">IFERROR((S168*30%)/V168,0)</f>
        <v>0</v>
      </c>
      <c r="X168" s="63" t="n">
        <f aca="false">IFERROR(N168/W168,0)</f>
        <v>0</v>
      </c>
      <c r="Y168" s="68"/>
      <c r="Z168" s="57"/>
      <c r="AA168" s="69" t="str">
        <f aca="false">IF(OR(U168="",Y168="",Z168=""),"",IF(AND(U168&gt;Y168,-U168&lt;Z168),"Ok","Not Ok"))</f>
        <v/>
      </c>
      <c r="AB168" s="70"/>
    </row>
    <row r="169" customFormat="false" ht="12.8" hidden="false" customHeight="false" outlineLevel="0" collapsed="false">
      <c r="A169" s="48" t="n">
        <f aca="false">TB_audited!A152</f>
        <v>0</v>
      </c>
      <c r="B169" s="49"/>
      <c r="C169" s="50"/>
      <c r="D169" s="51" t="n">
        <f aca="false">TB_audited!B152</f>
        <v>0</v>
      </c>
      <c r="E169" s="52" t="n">
        <f aca="false">TB_audited!C152</f>
        <v>0</v>
      </c>
      <c r="F169" s="53" t="n">
        <f aca="false">TB_audited!D152</f>
        <v>0</v>
      </c>
      <c r="G169" s="54" t="n">
        <f aca="false">IF($D$8="Interim",TB_audited!G152,TB_audited!E152)</f>
        <v>0</v>
      </c>
      <c r="H169" s="55" t="str">
        <f aca="false">IFERROR(VLOOKUP($A169,RA_result!$B$3:$N$62,11,0),"")</f>
        <v/>
      </c>
      <c r="I169" s="55" t="str">
        <f aca="false">IFERROR(VLOOKUP($A169,RA_result!$B$3:$N$62,12,0),"")</f>
        <v/>
      </c>
      <c r="J169" s="55" t="str">
        <f aca="false">IFERROR(VLOOKUP($A169,RA_result!$B$3:$N$62,13,0),"")</f>
        <v/>
      </c>
      <c r="K169" s="56"/>
      <c r="L169" s="56"/>
      <c r="M169" s="57" t="n">
        <f aca="false">G169</f>
        <v>0</v>
      </c>
      <c r="N169" s="54" t="n">
        <f aca="false">G169-M169</f>
        <v>0</v>
      </c>
      <c r="O169" s="55" t="str">
        <f aca="false">IFERROR(VLOOKUP($A169,RA_result!$B$3:$N$62,7,0),"")</f>
        <v/>
      </c>
      <c r="P169" s="52" t="str">
        <f aca="false">IFERROR(VLOOKUP($A169,RA_result!$B$3:$N$62,9,0),"")</f>
        <v/>
      </c>
      <c r="Q169" s="52" t="str">
        <f aca="false">IFERROR(VLOOKUP($A169,RA_result!$B$3:$N$62,10,0),"")</f>
        <v/>
      </c>
      <c r="R169" s="58" t="s">
        <v>55</v>
      </c>
      <c r="S169" s="59" t="str">
        <f aca="false">IFERROR(VLOOKUP($A169,RA_result!$B$3:$N$62,4,0),"")</f>
        <v/>
      </c>
      <c r="T169" s="60" t="s">
        <v>56</v>
      </c>
      <c r="U169" s="59" t="str">
        <f aca="false">IFERROR(IF(VLOOKUP($A169,RA_result!$B$3:$N$62,6,0)="",S169*T169,VLOOKUP($A169,RA_result!$B$3:$N$62,6,0)),"")</f>
        <v/>
      </c>
      <c r="V169" s="61" t="s">
        <v>56</v>
      </c>
      <c r="W169" s="62" t="n">
        <f aca="false">IFERROR((S169*30%)/V169,0)</f>
        <v>0</v>
      </c>
      <c r="X169" s="63" t="n">
        <f aca="false">IFERROR(N169/W169,0)</f>
        <v>0</v>
      </c>
      <c r="Y169" s="68"/>
      <c r="Z169" s="57"/>
      <c r="AA169" s="69" t="str">
        <f aca="false">IF(OR(U169="",Y169="",Z169=""),"",IF(AND(U169&gt;Y169,-U169&lt;Z169),"Ok","Not Ok"))</f>
        <v/>
      </c>
      <c r="AB169" s="70"/>
    </row>
    <row r="170" customFormat="false" ht="12.8" hidden="false" customHeight="false" outlineLevel="0" collapsed="false">
      <c r="A170" s="48" t="n">
        <f aca="false">TB_audited!A153</f>
        <v>0</v>
      </c>
      <c r="B170" s="49"/>
      <c r="C170" s="50"/>
      <c r="D170" s="51" t="n">
        <f aca="false">TB_audited!B153</f>
        <v>0</v>
      </c>
      <c r="E170" s="52" t="n">
        <f aca="false">TB_audited!C153</f>
        <v>0</v>
      </c>
      <c r="F170" s="53" t="n">
        <f aca="false">TB_audited!D153</f>
        <v>0</v>
      </c>
      <c r="G170" s="54" t="n">
        <f aca="false">IF($D$8="Interim",TB_audited!G153,TB_audited!E153)</f>
        <v>0</v>
      </c>
      <c r="H170" s="55" t="str">
        <f aca="false">IFERROR(VLOOKUP($A170,RA_result!$B$3:$N$62,11,0),"")</f>
        <v/>
      </c>
      <c r="I170" s="55" t="str">
        <f aca="false">IFERROR(VLOOKUP($A170,RA_result!$B$3:$N$62,12,0),"")</f>
        <v/>
      </c>
      <c r="J170" s="55" t="str">
        <f aca="false">IFERROR(VLOOKUP($A170,RA_result!$B$3:$N$62,13,0),"")</f>
        <v/>
      </c>
      <c r="K170" s="56"/>
      <c r="L170" s="56"/>
      <c r="M170" s="57" t="n">
        <f aca="false">G170</f>
        <v>0</v>
      </c>
      <c r="N170" s="54" t="n">
        <f aca="false">G170-M170</f>
        <v>0</v>
      </c>
      <c r="O170" s="55" t="str">
        <f aca="false">IFERROR(VLOOKUP($A170,RA_result!$B$3:$N$62,7,0),"")</f>
        <v/>
      </c>
      <c r="P170" s="52" t="str">
        <f aca="false">IFERROR(VLOOKUP($A170,RA_result!$B$3:$N$62,9,0),"")</f>
        <v/>
      </c>
      <c r="Q170" s="52" t="str">
        <f aca="false">IFERROR(VLOOKUP($A170,RA_result!$B$3:$N$62,10,0),"")</f>
        <v/>
      </c>
      <c r="R170" s="58" t="s">
        <v>55</v>
      </c>
      <c r="S170" s="59" t="str">
        <f aca="false">IFERROR(VLOOKUP($A170,RA_result!$B$3:$N$62,4,0),"")</f>
        <v/>
      </c>
      <c r="T170" s="60" t="s">
        <v>56</v>
      </c>
      <c r="U170" s="59" t="str">
        <f aca="false">IFERROR(IF(VLOOKUP($A170,RA_result!$B$3:$N$62,6,0)="",S170*T170,VLOOKUP($A170,RA_result!$B$3:$N$62,6,0)),"")</f>
        <v/>
      </c>
      <c r="V170" s="61" t="s">
        <v>56</v>
      </c>
      <c r="W170" s="62" t="n">
        <f aca="false">IFERROR((S170*30%)/V170,0)</f>
        <v>0</v>
      </c>
      <c r="X170" s="63" t="n">
        <f aca="false">IFERROR(N170/W170,0)</f>
        <v>0</v>
      </c>
      <c r="Y170" s="68"/>
      <c r="Z170" s="57"/>
      <c r="AA170" s="69" t="str">
        <f aca="false">IF(OR(U170="",Y170="",Z170=""),"",IF(AND(U170&gt;Y170,-U170&lt;Z170),"Ok","Not Ok"))</f>
        <v/>
      </c>
      <c r="AB170" s="70"/>
    </row>
    <row r="171" customFormat="false" ht="12.8" hidden="false" customHeight="false" outlineLevel="0" collapsed="false">
      <c r="A171" s="48" t="n">
        <f aca="false">TB_audited!A154</f>
        <v>0</v>
      </c>
      <c r="B171" s="49"/>
      <c r="C171" s="50"/>
      <c r="D171" s="51" t="n">
        <f aca="false">TB_audited!B154</f>
        <v>0</v>
      </c>
      <c r="E171" s="52" t="n">
        <f aca="false">TB_audited!C154</f>
        <v>0</v>
      </c>
      <c r="F171" s="53" t="n">
        <f aca="false">TB_audited!D154</f>
        <v>0</v>
      </c>
      <c r="G171" s="54" t="n">
        <f aca="false">IF($D$8="Interim",TB_audited!G154,TB_audited!E154)</f>
        <v>0</v>
      </c>
      <c r="H171" s="55" t="str">
        <f aca="false">IFERROR(VLOOKUP($A171,RA_result!$B$3:$N$62,11,0),"")</f>
        <v/>
      </c>
      <c r="I171" s="55" t="str">
        <f aca="false">IFERROR(VLOOKUP($A171,RA_result!$B$3:$N$62,12,0),"")</f>
        <v/>
      </c>
      <c r="J171" s="55" t="str">
        <f aca="false">IFERROR(VLOOKUP($A171,RA_result!$B$3:$N$62,13,0),"")</f>
        <v/>
      </c>
      <c r="K171" s="56"/>
      <c r="L171" s="56"/>
      <c r="M171" s="57" t="n">
        <f aca="false">G171</f>
        <v>0</v>
      </c>
      <c r="N171" s="54" t="n">
        <f aca="false">G171-M171</f>
        <v>0</v>
      </c>
      <c r="O171" s="55" t="str">
        <f aca="false">IFERROR(VLOOKUP($A171,RA_result!$B$3:$N$62,7,0),"")</f>
        <v/>
      </c>
      <c r="P171" s="52" t="str">
        <f aca="false">IFERROR(VLOOKUP($A171,RA_result!$B$3:$N$62,9,0),"")</f>
        <v/>
      </c>
      <c r="Q171" s="52" t="str">
        <f aca="false">IFERROR(VLOOKUP($A171,RA_result!$B$3:$N$62,10,0),"")</f>
        <v/>
      </c>
      <c r="R171" s="58" t="s">
        <v>55</v>
      </c>
      <c r="S171" s="59" t="str">
        <f aca="false">IFERROR(VLOOKUP($A171,RA_result!$B$3:$N$62,4,0),"")</f>
        <v/>
      </c>
      <c r="T171" s="60" t="s">
        <v>56</v>
      </c>
      <c r="U171" s="59" t="str">
        <f aca="false">IFERROR(IF(VLOOKUP($A171,RA_result!$B$3:$N$62,6,0)="",S171*T171,VLOOKUP($A171,RA_result!$B$3:$N$62,6,0)),"")</f>
        <v/>
      </c>
      <c r="V171" s="61" t="s">
        <v>56</v>
      </c>
      <c r="W171" s="62" t="n">
        <f aca="false">IFERROR((S171*30%)/V171,0)</f>
        <v>0</v>
      </c>
      <c r="X171" s="63" t="n">
        <f aca="false">IFERROR(N171/W171,0)</f>
        <v>0</v>
      </c>
      <c r="Y171" s="68"/>
      <c r="Z171" s="57"/>
      <c r="AA171" s="69" t="str">
        <f aca="false">IF(OR(U171="",Y171="",Z171=""),"",IF(AND(U171&gt;Y171,-U171&lt;Z171),"Ok","Not Ok"))</f>
        <v/>
      </c>
      <c r="AB171" s="70"/>
    </row>
    <row r="172" customFormat="false" ht="12.8" hidden="false" customHeight="false" outlineLevel="0" collapsed="false">
      <c r="A172" s="48" t="n">
        <f aca="false">TB_audited!A155</f>
        <v>0</v>
      </c>
      <c r="B172" s="49"/>
      <c r="C172" s="50"/>
      <c r="D172" s="51" t="n">
        <f aca="false">TB_audited!B155</f>
        <v>0</v>
      </c>
      <c r="E172" s="52" t="n">
        <f aca="false">TB_audited!C155</f>
        <v>0</v>
      </c>
      <c r="F172" s="53" t="n">
        <f aca="false">TB_audited!D155</f>
        <v>0</v>
      </c>
      <c r="G172" s="54" t="n">
        <f aca="false">IF($D$8="Interim",TB_audited!G155,TB_audited!E155)</f>
        <v>0</v>
      </c>
      <c r="H172" s="55" t="str">
        <f aca="false">IFERROR(VLOOKUP($A172,RA_result!$B$3:$N$62,11,0),"")</f>
        <v/>
      </c>
      <c r="I172" s="55" t="str">
        <f aca="false">IFERROR(VLOOKUP($A172,RA_result!$B$3:$N$62,12,0),"")</f>
        <v/>
      </c>
      <c r="J172" s="55" t="str">
        <f aca="false">IFERROR(VLOOKUP($A172,RA_result!$B$3:$N$62,13,0),"")</f>
        <v/>
      </c>
      <c r="K172" s="56"/>
      <c r="L172" s="56"/>
      <c r="M172" s="57" t="n">
        <f aca="false">G172</f>
        <v>0</v>
      </c>
      <c r="N172" s="54" t="n">
        <f aca="false">G172-M172</f>
        <v>0</v>
      </c>
      <c r="O172" s="55" t="str">
        <f aca="false">IFERROR(VLOOKUP($A172,RA_result!$B$3:$N$62,7,0),"")</f>
        <v/>
      </c>
      <c r="P172" s="52" t="str">
        <f aca="false">IFERROR(VLOOKUP($A172,RA_result!$B$3:$N$62,9,0),"")</f>
        <v/>
      </c>
      <c r="Q172" s="52" t="str">
        <f aca="false">IFERROR(VLOOKUP($A172,RA_result!$B$3:$N$62,10,0),"")</f>
        <v/>
      </c>
      <c r="R172" s="58" t="s">
        <v>55</v>
      </c>
      <c r="S172" s="59" t="str">
        <f aca="false">IFERROR(VLOOKUP($A172,RA_result!$B$3:$N$62,4,0),"")</f>
        <v/>
      </c>
      <c r="T172" s="60" t="s">
        <v>56</v>
      </c>
      <c r="U172" s="59" t="str">
        <f aca="false">IFERROR(IF(VLOOKUP($A172,RA_result!$B$3:$N$62,6,0)="",S172*T172,VLOOKUP($A172,RA_result!$B$3:$N$62,6,0)),"")</f>
        <v/>
      </c>
      <c r="V172" s="61" t="s">
        <v>56</v>
      </c>
      <c r="W172" s="62" t="n">
        <f aca="false">IFERROR((S172*30%)/V172,0)</f>
        <v>0</v>
      </c>
      <c r="X172" s="63" t="n">
        <f aca="false">IFERROR(N172/W172,0)</f>
        <v>0</v>
      </c>
      <c r="Y172" s="68"/>
      <c r="Z172" s="57"/>
      <c r="AA172" s="69" t="str">
        <f aca="false">IF(OR(U172="",Y172="",Z172=""),"",IF(AND(U172&gt;Y172,-U172&lt;Z172),"Ok","Not Ok"))</f>
        <v/>
      </c>
      <c r="AB172" s="70"/>
    </row>
    <row r="173" customFormat="false" ht="12.8" hidden="false" customHeight="false" outlineLevel="0" collapsed="false">
      <c r="A173" s="48" t="n">
        <f aca="false">TB_audited!A156</f>
        <v>0</v>
      </c>
      <c r="B173" s="49"/>
      <c r="C173" s="50"/>
      <c r="D173" s="51" t="n">
        <f aca="false">TB_audited!B156</f>
        <v>0</v>
      </c>
      <c r="E173" s="52" t="n">
        <f aca="false">TB_audited!C156</f>
        <v>0</v>
      </c>
      <c r="F173" s="53" t="n">
        <f aca="false">TB_audited!D156</f>
        <v>0</v>
      </c>
      <c r="G173" s="54" t="n">
        <f aca="false">IF($D$8="Interim",TB_audited!G156,TB_audited!E156)</f>
        <v>0</v>
      </c>
      <c r="H173" s="55" t="str">
        <f aca="false">IFERROR(VLOOKUP($A173,RA_result!$B$3:$N$62,11,0),"")</f>
        <v/>
      </c>
      <c r="I173" s="55" t="str">
        <f aca="false">IFERROR(VLOOKUP($A173,RA_result!$B$3:$N$62,12,0),"")</f>
        <v/>
      </c>
      <c r="J173" s="55" t="str">
        <f aca="false">IFERROR(VLOOKUP($A173,RA_result!$B$3:$N$62,13,0),"")</f>
        <v/>
      </c>
      <c r="K173" s="56"/>
      <c r="L173" s="56"/>
      <c r="M173" s="57" t="n">
        <f aca="false">G173</f>
        <v>0</v>
      </c>
      <c r="N173" s="54" t="n">
        <f aca="false">G173-M173</f>
        <v>0</v>
      </c>
      <c r="O173" s="55" t="str">
        <f aca="false">IFERROR(VLOOKUP($A173,RA_result!$B$3:$N$62,7,0),"")</f>
        <v/>
      </c>
      <c r="P173" s="52" t="str">
        <f aca="false">IFERROR(VLOOKUP($A173,RA_result!$B$3:$N$62,9,0),"")</f>
        <v/>
      </c>
      <c r="Q173" s="52" t="str">
        <f aca="false">IFERROR(VLOOKUP($A173,RA_result!$B$3:$N$62,10,0),"")</f>
        <v/>
      </c>
      <c r="R173" s="58" t="s">
        <v>55</v>
      </c>
      <c r="S173" s="59" t="str">
        <f aca="false">IFERROR(VLOOKUP($A173,RA_result!$B$3:$N$62,4,0),"")</f>
        <v/>
      </c>
      <c r="T173" s="60" t="s">
        <v>56</v>
      </c>
      <c r="U173" s="59" t="str">
        <f aca="false">IFERROR(IF(VLOOKUP($A173,RA_result!$B$3:$N$62,6,0)="",S173*T173,VLOOKUP($A173,RA_result!$B$3:$N$62,6,0)),"")</f>
        <v/>
      </c>
      <c r="V173" s="61" t="s">
        <v>56</v>
      </c>
      <c r="W173" s="62" t="n">
        <f aca="false">IFERROR((S173*30%)/V173,0)</f>
        <v>0</v>
      </c>
      <c r="X173" s="63" t="n">
        <f aca="false">IFERROR(N173/W173,0)</f>
        <v>0</v>
      </c>
      <c r="Y173" s="68"/>
      <c r="Z173" s="57"/>
      <c r="AA173" s="69" t="str">
        <f aca="false">IF(OR(U173="",Y173="",Z173=""),"",IF(AND(U173&gt;Y173,-U173&lt;Z173),"Ok","Not Ok"))</f>
        <v/>
      </c>
      <c r="AB173" s="70"/>
    </row>
    <row r="174" customFormat="false" ht="12.8" hidden="false" customHeight="false" outlineLevel="0" collapsed="false">
      <c r="A174" s="48" t="n">
        <f aca="false">TB_audited!A157</f>
        <v>0</v>
      </c>
      <c r="B174" s="49"/>
      <c r="C174" s="50"/>
      <c r="D174" s="51" t="n">
        <f aca="false">TB_audited!B157</f>
        <v>0</v>
      </c>
      <c r="E174" s="52" t="n">
        <f aca="false">TB_audited!C157</f>
        <v>0</v>
      </c>
      <c r="F174" s="53" t="n">
        <f aca="false">TB_audited!D157</f>
        <v>0</v>
      </c>
      <c r="G174" s="54" t="n">
        <f aca="false">IF($D$8="Interim",TB_audited!G157,TB_audited!E157)</f>
        <v>0</v>
      </c>
      <c r="H174" s="55" t="str">
        <f aca="false">IFERROR(VLOOKUP($A174,RA_result!$B$3:$N$62,11,0),"")</f>
        <v/>
      </c>
      <c r="I174" s="55" t="str">
        <f aca="false">IFERROR(VLOOKUP($A174,RA_result!$B$3:$N$62,12,0),"")</f>
        <v/>
      </c>
      <c r="J174" s="55" t="str">
        <f aca="false">IFERROR(VLOOKUP($A174,RA_result!$B$3:$N$62,13,0),"")</f>
        <v/>
      </c>
      <c r="K174" s="56"/>
      <c r="L174" s="56"/>
      <c r="M174" s="57" t="n">
        <f aca="false">G174</f>
        <v>0</v>
      </c>
      <c r="N174" s="54" t="n">
        <f aca="false">G174-M174</f>
        <v>0</v>
      </c>
      <c r="O174" s="55" t="str">
        <f aca="false">IFERROR(VLOOKUP($A174,RA_result!$B$3:$N$62,7,0),"")</f>
        <v/>
      </c>
      <c r="P174" s="52" t="str">
        <f aca="false">IFERROR(VLOOKUP($A174,RA_result!$B$3:$N$62,9,0),"")</f>
        <v/>
      </c>
      <c r="Q174" s="52" t="str">
        <f aca="false">IFERROR(VLOOKUP($A174,RA_result!$B$3:$N$62,10,0),"")</f>
        <v/>
      </c>
      <c r="R174" s="58" t="s">
        <v>55</v>
      </c>
      <c r="S174" s="59" t="str">
        <f aca="false">IFERROR(VLOOKUP($A174,RA_result!$B$3:$N$62,4,0),"")</f>
        <v/>
      </c>
      <c r="T174" s="60" t="s">
        <v>56</v>
      </c>
      <c r="U174" s="59" t="str">
        <f aca="false">IFERROR(IF(VLOOKUP($A174,RA_result!$B$3:$N$62,6,0)="",S174*T174,VLOOKUP($A174,RA_result!$B$3:$N$62,6,0)),"")</f>
        <v/>
      </c>
      <c r="V174" s="61" t="s">
        <v>56</v>
      </c>
      <c r="W174" s="62" t="n">
        <f aca="false">IFERROR((S174*30%)/V174,0)</f>
        <v>0</v>
      </c>
      <c r="X174" s="63" t="n">
        <f aca="false">IFERROR(N174/W174,0)</f>
        <v>0</v>
      </c>
      <c r="Y174" s="68"/>
      <c r="Z174" s="57"/>
      <c r="AA174" s="69" t="str">
        <f aca="false">IF(OR(U174="",Y174="",Z174=""),"",IF(AND(U174&gt;Y174,-U174&lt;Z174),"Ok","Not Ok"))</f>
        <v/>
      </c>
      <c r="AB174" s="70"/>
    </row>
    <row r="175" customFormat="false" ht="12.8" hidden="false" customHeight="false" outlineLevel="0" collapsed="false">
      <c r="A175" s="48" t="n">
        <f aca="false">TB_audited!A158</f>
        <v>0</v>
      </c>
      <c r="B175" s="49"/>
      <c r="C175" s="50"/>
      <c r="D175" s="51" t="n">
        <f aca="false">TB_audited!B158</f>
        <v>0</v>
      </c>
      <c r="E175" s="52" t="n">
        <f aca="false">TB_audited!C158</f>
        <v>0</v>
      </c>
      <c r="F175" s="53" t="n">
        <f aca="false">TB_audited!D158</f>
        <v>0</v>
      </c>
      <c r="G175" s="54" t="n">
        <f aca="false">IF($D$8="Interim",TB_audited!G158,TB_audited!E158)</f>
        <v>0</v>
      </c>
      <c r="H175" s="55" t="str">
        <f aca="false">IFERROR(VLOOKUP($A175,RA_result!$B$3:$N$62,11,0),"")</f>
        <v/>
      </c>
      <c r="I175" s="55" t="str">
        <f aca="false">IFERROR(VLOOKUP($A175,RA_result!$B$3:$N$62,12,0),"")</f>
        <v/>
      </c>
      <c r="J175" s="55" t="str">
        <f aca="false">IFERROR(VLOOKUP($A175,RA_result!$B$3:$N$62,13,0),"")</f>
        <v/>
      </c>
      <c r="K175" s="56"/>
      <c r="L175" s="56"/>
      <c r="M175" s="57" t="n">
        <f aca="false">G175</f>
        <v>0</v>
      </c>
      <c r="N175" s="54" t="n">
        <f aca="false">G175-M175</f>
        <v>0</v>
      </c>
      <c r="O175" s="55" t="str">
        <f aca="false">IFERROR(VLOOKUP($A175,RA_result!$B$3:$N$62,7,0),"")</f>
        <v/>
      </c>
      <c r="P175" s="52" t="str">
        <f aca="false">IFERROR(VLOOKUP($A175,RA_result!$B$3:$N$62,9,0),"")</f>
        <v/>
      </c>
      <c r="Q175" s="52" t="str">
        <f aca="false">IFERROR(VLOOKUP($A175,RA_result!$B$3:$N$62,10,0),"")</f>
        <v/>
      </c>
      <c r="R175" s="58" t="s">
        <v>55</v>
      </c>
      <c r="S175" s="59" t="str">
        <f aca="false">IFERROR(VLOOKUP($A175,RA_result!$B$3:$N$62,4,0),"")</f>
        <v/>
      </c>
      <c r="T175" s="60" t="s">
        <v>56</v>
      </c>
      <c r="U175" s="59" t="str">
        <f aca="false">IFERROR(IF(VLOOKUP($A175,RA_result!$B$3:$N$62,6,0)="",S175*T175,VLOOKUP($A175,RA_result!$B$3:$N$62,6,0)),"")</f>
        <v/>
      </c>
      <c r="V175" s="61" t="s">
        <v>56</v>
      </c>
      <c r="W175" s="62" t="n">
        <f aca="false">IFERROR((S175*30%)/V175,0)</f>
        <v>0</v>
      </c>
      <c r="X175" s="63" t="n">
        <f aca="false">IFERROR(N175/W175,0)</f>
        <v>0</v>
      </c>
      <c r="Y175" s="68"/>
      <c r="Z175" s="57"/>
      <c r="AA175" s="69" t="str">
        <f aca="false">IF(OR(U175="",Y175="",Z175=""),"",IF(AND(U175&gt;Y175,-U175&lt;Z175),"Ok","Not Ok"))</f>
        <v/>
      </c>
      <c r="AB175" s="70"/>
    </row>
    <row r="176" customFormat="false" ht="12.8" hidden="false" customHeight="false" outlineLevel="0" collapsed="false">
      <c r="A176" s="48" t="n">
        <f aca="false">TB_audited!A159</f>
        <v>0</v>
      </c>
      <c r="B176" s="49"/>
      <c r="C176" s="50"/>
      <c r="D176" s="51" t="n">
        <f aca="false">TB_audited!B159</f>
        <v>0</v>
      </c>
      <c r="E176" s="52" t="n">
        <f aca="false">TB_audited!C159</f>
        <v>0</v>
      </c>
      <c r="F176" s="53" t="n">
        <f aca="false">TB_audited!D159</f>
        <v>0</v>
      </c>
      <c r="G176" s="54" t="n">
        <f aca="false">IF($D$8="Interim",TB_audited!G159,TB_audited!E159)</f>
        <v>0</v>
      </c>
      <c r="H176" s="55" t="str">
        <f aca="false">IFERROR(VLOOKUP($A176,RA_result!$B$3:$N$62,11,0),"")</f>
        <v/>
      </c>
      <c r="I176" s="55" t="str">
        <f aca="false">IFERROR(VLOOKUP($A176,RA_result!$B$3:$N$62,12,0),"")</f>
        <v/>
      </c>
      <c r="J176" s="55" t="str">
        <f aca="false">IFERROR(VLOOKUP($A176,RA_result!$B$3:$N$62,13,0),"")</f>
        <v/>
      </c>
      <c r="K176" s="56"/>
      <c r="L176" s="56"/>
      <c r="M176" s="57" t="n">
        <f aca="false">G176</f>
        <v>0</v>
      </c>
      <c r="N176" s="54" t="n">
        <f aca="false">G176-M176</f>
        <v>0</v>
      </c>
      <c r="O176" s="55" t="str">
        <f aca="false">IFERROR(VLOOKUP($A176,RA_result!$B$3:$N$62,7,0),"")</f>
        <v/>
      </c>
      <c r="P176" s="52" t="str">
        <f aca="false">IFERROR(VLOOKUP($A176,RA_result!$B$3:$N$62,9,0),"")</f>
        <v/>
      </c>
      <c r="Q176" s="52" t="str">
        <f aca="false">IFERROR(VLOOKUP($A176,RA_result!$B$3:$N$62,10,0),"")</f>
        <v/>
      </c>
      <c r="R176" s="58" t="s">
        <v>55</v>
      </c>
      <c r="S176" s="59" t="str">
        <f aca="false">IFERROR(VLOOKUP($A176,RA_result!$B$3:$N$62,4,0),"")</f>
        <v/>
      </c>
      <c r="T176" s="60" t="s">
        <v>56</v>
      </c>
      <c r="U176" s="59" t="str">
        <f aca="false">IFERROR(IF(VLOOKUP($A176,RA_result!$B$3:$N$62,6,0)="",S176*T176,VLOOKUP($A176,RA_result!$B$3:$N$62,6,0)),"")</f>
        <v/>
      </c>
      <c r="V176" s="61" t="s">
        <v>56</v>
      </c>
      <c r="W176" s="62" t="n">
        <f aca="false">IFERROR((S176*30%)/V176,0)</f>
        <v>0</v>
      </c>
      <c r="X176" s="63" t="n">
        <f aca="false">IFERROR(N176/W176,0)</f>
        <v>0</v>
      </c>
      <c r="Y176" s="68"/>
      <c r="Z176" s="57"/>
      <c r="AA176" s="69" t="str">
        <f aca="false">IF(OR(U176="",Y176="",Z176=""),"",IF(AND(U176&gt;Y176,-U176&lt;Z176),"Ok","Not Ok"))</f>
        <v/>
      </c>
      <c r="AB176" s="70"/>
    </row>
    <row r="177" customFormat="false" ht="12.8" hidden="false" customHeight="false" outlineLevel="0" collapsed="false">
      <c r="A177" s="48" t="n">
        <f aca="false">TB_audited!A160</f>
        <v>0</v>
      </c>
      <c r="B177" s="49"/>
      <c r="C177" s="50"/>
      <c r="D177" s="51" t="n">
        <f aca="false">TB_audited!B160</f>
        <v>0</v>
      </c>
      <c r="E177" s="52" t="n">
        <f aca="false">TB_audited!C160</f>
        <v>0</v>
      </c>
      <c r="F177" s="53" t="n">
        <f aca="false">TB_audited!D160</f>
        <v>0</v>
      </c>
      <c r="G177" s="54" t="n">
        <f aca="false">IF($D$8="Interim",TB_audited!G160,TB_audited!E160)</f>
        <v>0</v>
      </c>
      <c r="H177" s="55" t="str">
        <f aca="false">IFERROR(VLOOKUP($A177,RA_result!$B$3:$N$62,11,0),"")</f>
        <v/>
      </c>
      <c r="I177" s="55" t="str">
        <f aca="false">IFERROR(VLOOKUP($A177,RA_result!$B$3:$N$62,12,0),"")</f>
        <v/>
      </c>
      <c r="J177" s="55" t="str">
        <f aca="false">IFERROR(VLOOKUP($A177,RA_result!$B$3:$N$62,13,0),"")</f>
        <v/>
      </c>
      <c r="K177" s="56"/>
      <c r="L177" s="56"/>
      <c r="M177" s="57" t="n">
        <f aca="false">G177</f>
        <v>0</v>
      </c>
      <c r="N177" s="54" t="n">
        <f aca="false">G177-M177</f>
        <v>0</v>
      </c>
      <c r="O177" s="55" t="str">
        <f aca="false">IFERROR(VLOOKUP($A177,RA_result!$B$3:$N$62,7,0),"")</f>
        <v/>
      </c>
      <c r="P177" s="52" t="str">
        <f aca="false">IFERROR(VLOOKUP($A177,RA_result!$B$3:$N$62,9,0),"")</f>
        <v/>
      </c>
      <c r="Q177" s="52" t="str">
        <f aca="false">IFERROR(VLOOKUP($A177,RA_result!$B$3:$N$62,10,0),"")</f>
        <v/>
      </c>
      <c r="R177" s="58" t="s">
        <v>55</v>
      </c>
      <c r="S177" s="59" t="str">
        <f aca="false">IFERROR(VLOOKUP($A177,RA_result!$B$3:$N$62,4,0),"")</f>
        <v/>
      </c>
      <c r="T177" s="60" t="s">
        <v>56</v>
      </c>
      <c r="U177" s="59" t="str">
        <f aca="false">IFERROR(IF(VLOOKUP($A177,RA_result!$B$3:$N$62,6,0)="",S177*T177,VLOOKUP($A177,RA_result!$B$3:$N$62,6,0)),"")</f>
        <v/>
      </c>
      <c r="V177" s="61" t="s">
        <v>56</v>
      </c>
      <c r="W177" s="62" t="n">
        <f aca="false">IFERROR((S177*30%)/V177,0)</f>
        <v>0</v>
      </c>
      <c r="X177" s="63" t="n">
        <f aca="false">IFERROR(N177/W177,0)</f>
        <v>0</v>
      </c>
      <c r="Y177" s="68"/>
      <c r="Z177" s="57"/>
      <c r="AA177" s="69" t="str">
        <f aca="false">IF(OR(U177="",Y177="",Z177=""),"",IF(AND(U177&gt;Y177,-U177&lt;Z177),"Ok","Not Ok"))</f>
        <v/>
      </c>
      <c r="AB177" s="70"/>
    </row>
    <row r="178" customFormat="false" ht="12.8" hidden="false" customHeight="false" outlineLevel="0" collapsed="false">
      <c r="A178" s="48" t="n">
        <f aca="false">TB_audited!A161</f>
        <v>0</v>
      </c>
      <c r="B178" s="49"/>
      <c r="C178" s="50"/>
      <c r="D178" s="51" t="n">
        <f aca="false">TB_audited!B161</f>
        <v>0</v>
      </c>
      <c r="E178" s="52" t="n">
        <f aca="false">TB_audited!C161</f>
        <v>0</v>
      </c>
      <c r="F178" s="53" t="n">
        <f aca="false">TB_audited!D161</f>
        <v>0</v>
      </c>
      <c r="G178" s="54" t="n">
        <f aca="false">IF($D$8="Interim",TB_audited!G161,TB_audited!E161)</f>
        <v>0</v>
      </c>
      <c r="H178" s="55" t="str">
        <f aca="false">IFERROR(VLOOKUP($A178,RA_result!$B$3:$N$62,11,0),"")</f>
        <v/>
      </c>
      <c r="I178" s="55" t="str">
        <f aca="false">IFERROR(VLOOKUP($A178,RA_result!$B$3:$N$62,12,0),"")</f>
        <v/>
      </c>
      <c r="J178" s="55" t="str">
        <f aca="false">IFERROR(VLOOKUP($A178,RA_result!$B$3:$N$62,13,0),"")</f>
        <v/>
      </c>
      <c r="K178" s="56"/>
      <c r="L178" s="56"/>
      <c r="M178" s="57" t="n">
        <f aca="false">G178</f>
        <v>0</v>
      </c>
      <c r="N178" s="54" t="n">
        <f aca="false">G178-M178</f>
        <v>0</v>
      </c>
      <c r="O178" s="55" t="str">
        <f aca="false">IFERROR(VLOOKUP($A178,RA_result!$B$3:$N$62,7,0),"")</f>
        <v/>
      </c>
      <c r="P178" s="52" t="str">
        <f aca="false">IFERROR(VLOOKUP($A178,RA_result!$B$3:$N$62,9,0),"")</f>
        <v/>
      </c>
      <c r="Q178" s="52" t="str">
        <f aca="false">IFERROR(VLOOKUP($A178,RA_result!$B$3:$N$62,10,0),"")</f>
        <v/>
      </c>
      <c r="R178" s="58" t="s">
        <v>55</v>
      </c>
      <c r="S178" s="59" t="str">
        <f aca="false">IFERROR(VLOOKUP($A178,RA_result!$B$3:$N$62,4,0),"")</f>
        <v/>
      </c>
      <c r="T178" s="60" t="s">
        <v>56</v>
      </c>
      <c r="U178" s="59" t="str">
        <f aca="false">IFERROR(IF(VLOOKUP($A178,RA_result!$B$3:$N$62,6,0)="",S178*T178,VLOOKUP($A178,RA_result!$B$3:$N$62,6,0)),"")</f>
        <v/>
      </c>
      <c r="V178" s="61" t="s">
        <v>56</v>
      </c>
      <c r="W178" s="62" t="n">
        <f aca="false">IFERROR((S178*30%)/V178,0)</f>
        <v>0</v>
      </c>
      <c r="X178" s="63" t="n">
        <f aca="false">IFERROR(N178/W178,0)</f>
        <v>0</v>
      </c>
      <c r="Y178" s="68"/>
      <c r="Z178" s="57"/>
      <c r="AA178" s="69" t="str">
        <f aca="false">IF(OR(U178="",Y178="",Z178=""),"",IF(AND(U178&gt;Y178,-U178&lt;Z178),"Ok","Not Ok"))</f>
        <v/>
      </c>
      <c r="AB178" s="70"/>
    </row>
    <row r="179" customFormat="false" ht="12.8" hidden="false" customHeight="false" outlineLevel="0" collapsed="false">
      <c r="A179" s="48" t="n">
        <f aca="false">TB_audited!A162</f>
        <v>0</v>
      </c>
      <c r="B179" s="49"/>
      <c r="C179" s="50"/>
      <c r="D179" s="51" t="n">
        <f aca="false">TB_audited!B162</f>
        <v>0</v>
      </c>
      <c r="E179" s="52" t="n">
        <f aca="false">TB_audited!C162</f>
        <v>0</v>
      </c>
      <c r="F179" s="53" t="n">
        <f aca="false">TB_audited!D162</f>
        <v>0</v>
      </c>
      <c r="G179" s="54" t="n">
        <f aca="false">IF($D$8="Interim",TB_audited!G162,TB_audited!E162)</f>
        <v>0</v>
      </c>
      <c r="H179" s="55" t="str">
        <f aca="false">IFERROR(VLOOKUP($A179,RA_result!$B$3:$N$62,11,0),"")</f>
        <v/>
      </c>
      <c r="I179" s="55" t="str">
        <f aca="false">IFERROR(VLOOKUP($A179,RA_result!$B$3:$N$62,12,0),"")</f>
        <v/>
      </c>
      <c r="J179" s="55" t="str">
        <f aca="false">IFERROR(VLOOKUP($A179,RA_result!$B$3:$N$62,13,0),"")</f>
        <v/>
      </c>
      <c r="K179" s="56"/>
      <c r="L179" s="56"/>
      <c r="M179" s="57" t="n">
        <f aca="false">G179</f>
        <v>0</v>
      </c>
      <c r="N179" s="54" t="n">
        <f aca="false">G179-M179</f>
        <v>0</v>
      </c>
      <c r="O179" s="55" t="str">
        <f aca="false">IFERROR(VLOOKUP($A179,RA_result!$B$3:$N$62,7,0),"")</f>
        <v/>
      </c>
      <c r="P179" s="52" t="str">
        <f aca="false">IFERROR(VLOOKUP($A179,RA_result!$B$3:$N$62,9,0),"")</f>
        <v/>
      </c>
      <c r="Q179" s="52" t="str">
        <f aca="false">IFERROR(VLOOKUP($A179,RA_result!$B$3:$N$62,10,0),"")</f>
        <v/>
      </c>
      <c r="R179" s="58" t="s">
        <v>55</v>
      </c>
      <c r="S179" s="59" t="str">
        <f aca="false">IFERROR(VLOOKUP($A179,RA_result!$B$3:$N$62,4,0),"")</f>
        <v/>
      </c>
      <c r="T179" s="60" t="s">
        <v>56</v>
      </c>
      <c r="U179" s="59" t="str">
        <f aca="false">IFERROR(IF(VLOOKUP($A179,RA_result!$B$3:$N$62,6,0)="",S179*T179,VLOOKUP($A179,RA_result!$B$3:$N$62,6,0)),"")</f>
        <v/>
      </c>
      <c r="V179" s="61" t="s">
        <v>56</v>
      </c>
      <c r="W179" s="62" t="n">
        <f aca="false">IFERROR((S179*30%)/V179,0)</f>
        <v>0</v>
      </c>
      <c r="X179" s="63" t="n">
        <f aca="false">IFERROR(N179/W179,0)</f>
        <v>0</v>
      </c>
      <c r="Y179" s="68"/>
      <c r="Z179" s="57"/>
      <c r="AA179" s="69" t="str">
        <f aca="false">IF(OR(U179="",Y179="",Z179=""),"",IF(AND(U179&gt;Y179,-U179&lt;Z179),"Ok","Not Ok"))</f>
        <v/>
      </c>
      <c r="AB179" s="70"/>
    </row>
    <row r="180" customFormat="false" ht="12.8" hidden="false" customHeight="false" outlineLevel="0" collapsed="false">
      <c r="A180" s="48" t="n">
        <f aca="false">TB_audited!A163</f>
        <v>0</v>
      </c>
      <c r="B180" s="49"/>
      <c r="C180" s="50"/>
      <c r="D180" s="51" t="n">
        <f aca="false">TB_audited!B163</f>
        <v>0</v>
      </c>
      <c r="E180" s="52" t="n">
        <f aca="false">TB_audited!C163</f>
        <v>0</v>
      </c>
      <c r="F180" s="53" t="n">
        <f aca="false">TB_audited!D163</f>
        <v>0</v>
      </c>
      <c r="G180" s="54" t="n">
        <f aca="false">IF($D$8="Interim",TB_audited!G163,TB_audited!E163)</f>
        <v>0</v>
      </c>
      <c r="H180" s="55" t="str">
        <f aca="false">IFERROR(VLOOKUP($A180,RA_result!$B$3:$N$62,11,0),"")</f>
        <v/>
      </c>
      <c r="I180" s="55" t="str">
        <f aca="false">IFERROR(VLOOKUP($A180,RA_result!$B$3:$N$62,12,0),"")</f>
        <v/>
      </c>
      <c r="J180" s="55" t="str">
        <f aca="false">IFERROR(VLOOKUP($A180,RA_result!$B$3:$N$62,13,0),"")</f>
        <v/>
      </c>
      <c r="K180" s="56"/>
      <c r="L180" s="56"/>
      <c r="M180" s="57" t="n">
        <f aca="false">G180</f>
        <v>0</v>
      </c>
      <c r="N180" s="54" t="n">
        <f aca="false">G180-M180</f>
        <v>0</v>
      </c>
      <c r="O180" s="55" t="str">
        <f aca="false">IFERROR(VLOOKUP($A180,RA_result!$B$3:$N$62,7,0),"")</f>
        <v/>
      </c>
      <c r="P180" s="52" t="str">
        <f aca="false">IFERROR(VLOOKUP($A180,RA_result!$B$3:$N$62,9,0),"")</f>
        <v/>
      </c>
      <c r="Q180" s="52" t="str">
        <f aca="false">IFERROR(VLOOKUP($A180,RA_result!$B$3:$N$62,10,0),"")</f>
        <v/>
      </c>
      <c r="R180" s="58" t="s">
        <v>55</v>
      </c>
      <c r="S180" s="59" t="str">
        <f aca="false">IFERROR(VLOOKUP($A180,RA_result!$B$3:$N$62,4,0),"")</f>
        <v/>
      </c>
      <c r="T180" s="60" t="s">
        <v>56</v>
      </c>
      <c r="U180" s="59" t="str">
        <f aca="false">IFERROR(IF(VLOOKUP($A180,RA_result!$B$3:$N$62,6,0)="",S180*T180,VLOOKUP($A180,RA_result!$B$3:$N$62,6,0)),"")</f>
        <v/>
      </c>
      <c r="V180" s="61" t="s">
        <v>56</v>
      </c>
      <c r="W180" s="62" t="n">
        <f aca="false">IFERROR((S180*30%)/V180,0)</f>
        <v>0</v>
      </c>
      <c r="X180" s="63" t="n">
        <f aca="false">IFERROR(N180/W180,0)</f>
        <v>0</v>
      </c>
      <c r="Y180" s="68"/>
      <c r="Z180" s="57"/>
      <c r="AA180" s="69" t="str">
        <f aca="false">IF(OR(U180="",Y180="",Z180=""),"",IF(AND(U180&gt;Y180,-U180&lt;Z180),"Ok","Not Ok"))</f>
        <v/>
      </c>
      <c r="AB180" s="70"/>
    </row>
    <row r="181" customFormat="false" ht="12.8" hidden="false" customHeight="false" outlineLevel="0" collapsed="false">
      <c r="A181" s="48" t="n">
        <f aca="false">TB_audited!A164</f>
        <v>0</v>
      </c>
      <c r="B181" s="49"/>
      <c r="C181" s="50"/>
      <c r="D181" s="51" t="n">
        <f aca="false">TB_audited!B164</f>
        <v>0</v>
      </c>
      <c r="E181" s="52" t="n">
        <f aca="false">TB_audited!C164</f>
        <v>0</v>
      </c>
      <c r="F181" s="53" t="n">
        <f aca="false">TB_audited!D164</f>
        <v>0</v>
      </c>
      <c r="G181" s="54" t="n">
        <f aca="false">IF($D$8="Interim",TB_audited!G164,TB_audited!E164)</f>
        <v>0</v>
      </c>
      <c r="H181" s="55" t="str">
        <f aca="false">IFERROR(VLOOKUP($A181,RA_result!$B$3:$N$62,11,0),"")</f>
        <v/>
      </c>
      <c r="I181" s="55" t="str">
        <f aca="false">IFERROR(VLOOKUP($A181,RA_result!$B$3:$N$62,12,0),"")</f>
        <v/>
      </c>
      <c r="J181" s="55" t="str">
        <f aca="false">IFERROR(VLOOKUP($A181,RA_result!$B$3:$N$62,13,0),"")</f>
        <v/>
      </c>
      <c r="K181" s="56"/>
      <c r="L181" s="56"/>
      <c r="M181" s="57" t="n">
        <f aca="false">G181</f>
        <v>0</v>
      </c>
      <c r="N181" s="54" t="n">
        <f aca="false">G181-M181</f>
        <v>0</v>
      </c>
      <c r="O181" s="55" t="str">
        <f aca="false">IFERROR(VLOOKUP($A181,RA_result!$B$3:$N$62,7,0),"")</f>
        <v/>
      </c>
      <c r="P181" s="52" t="str">
        <f aca="false">IFERROR(VLOOKUP($A181,RA_result!$B$3:$N$62,9,0),"")</f>
        <v/>
      </c>
      <c r="Q181" s="52" t="str">
        <f aca="false">IFERROR(VLOOKUP($A181,RA_result!$B$3:$N$62,10,0),"")</f>
        <v/>
      </c>
      <c r="R181" s="58" t="s">
        <v>55</v>
      </c>
      <c r="S181" s="59" t="str">
        <f aca="false">IFERROR(VLOOKUP($A181,RA_result!$B$3:$N$62,4,0),"")</f>
        <v/>
      </c>
      <c r="T181" s="60" t="s">
        <v>56</v>
      </c>
      <c r="U181" s="59" t="str">
        <f aca="false">IFERROR(IF(VLOOKUP($A181,RA_result!$B$3:$N$62,6,0)="",S181*T181,VLOOKUP($A181,RA_result!$B$3:$N$62,6,0)),"")</f>
        <v/>
      </c>
      <c r="V181" s="61" t="s">
        <v>56</v>
      </c>
      <c r="W181" s="62" t="n">
        <f aca="false">IFERROR((S181*30%)/V181,0)</f>
        <v>0</v>
      </c>
      <c r="X181" s="63" t="n">
        <f aca="false">IFERROR(N181/W181,0)</f>
        <v>0</v>
      </c>
      <c r="Y181" s="68"/>
      <c r="Z181" s="57"/>
      <c r="AA181" s="69" t="str">
        <f aca="false">IF(OR(U181="",Y181="",Z181=""),"",IF(AND(U181&gt;Y181,-U181&lt;Z181),"Ok","Not Ok"))</f>
        <v/>
      </c>
      <c r="AB181" s="70"/>
    </row>
    <row r="182" customFormat="false" ht="12.8" hidden="false" customHeight="false" outlineLevel="0" collapsed="false">
      <c r="A182" s="48" t="n">
        <f aca="false">TB_audited!A165</f>
        <v>0</v>
      </c>
      <c r="B182" s="49"/>
      <c r="C182" s="50"/>
      <c r="D182" s="51" t="n">
        <f aca="false">TB_audited!B165</f>
        <v>0</v>
      </c>
      <c r="E182" s="52" t="n">
        <f aca="false">TB_audited!C165</f>
        <v>0</v>
      </c>
      <c r="F182" s="53" t="n">
        <f aca="false">TB_audited!D165</f>
        <v>0</v>
      </c>
      <c r="G182" s="54" t="n">
        <f aca="false">IF($D$8="Interim",TB_audited!G165,TB_audited!E165)</f>
        <v>0</v>
      </c>
      <c r="H182" s="55" t="str">
        <f aca="false">IFERROR(VLOOKUP($A182,RA_result!$B$3:$N$62,11,0),"")</f>
        <v/>
      </c>
      <c r="I182" s="55" t="str">
        <f aca="false">IFERROR(VLOOKUP($A182,RA_result!$B$3:$N$62,12,0),"")</f>
        <v/>
      </c>
      <c r="J182" s="55" t="str">
        <f aca="false">IFERROR(VLOOKUP($A182,RA_result!$B$3:$N$62,13,0),"")</f>
        <v/>
      </c>
      <c r="K182" s="56"/>
      <c r="L182" s="56"/>
      <c r="M182" s="57" t="n">
        <f aca="false">G182</f>
        <v>0</v>
      </c>
      <c r="N182" s="54" t="n">
        <f aca="false">G182-M182</f>
        <v>0</v>
      </c>
      <c r="O182" s="55" t="str">
        <f aca="false">IFERROR(VLOOKUP($A182,RA_result!$B$3:$N$62,7,0),"")</f>
        <v/>
      </c>
      <c r="P182" s="52" t="str">
        <f aca="false">IFERROR(VLOOKUP($A182,RA_result!$B$3:$N$62,9,0),"")</f>
        <v/>
      </c>
      <c r="Q182" s="52" t="str">
        <f aca="false">IFERROR(VLOOKUP($A182,RA_result!$B$3:$N$62,10,0),"")</f>
        <v/>
      </c>
      <c r="R182" s="58" t="s">
        <v>55</v>
      </c>
      <c r="S182" s="59" t="str">
        <f aca="false">IFERROR(VLOOKUP($A182,RA_result!$B$3:$N$62,4,0),"")</f>
        <v/>
      </c>
      <c r="T182" s="60" t="s">
        <v>56</v>
      </c>
      <c r="U182" s="59" t="str">
        <f aca="false">IFERROR(IF(VLOOKUP($A182,RA_result!$B$3:$N$62,6,0)="",S182*T182,VLOOKUP($A182,RA_result!$B$3:$N$62,6,0)),"")</f>
        <v/>
      </c>
      <c r="V182" s="61" t="s">
        <v>56</v>
      </c>
      <c r="W182" s="62" t="n">
        <f aca="false">IFERROR((S182*30%)/V182,0)</f>
        <v>0</v>
      </c>
      <c r="X182" s="63" t="n">
        <f aca="false">IFERROR(N182/W182,0)</f>
        <v>0</v>
      </c>
      <c r="Y182" s="68"/>
      <c r="Z182" s="57"/>
      <c r="AA182" s="69" t="str">
        <f aca="false">IF(OR(U182="",Y182="",Z182=""),"",IF(AND(U182&gt;Y182,-U182&lt;Z182),"Ok","Not Ok"))</f>
        <v/>
      </c>
      <c r="AB182" s="70"/>
    </row>
    <row r="183" customFormat="false" ht="12.8" hidden="false" customHeight="false" outlineLevel="0" collapsed="false">
      <c r="A183" s="48" t="n">
        <f aca="false">TB_audited!A166</f>
        <v>0</v>
      </c>
      <c r="B183" s="49"/>
      <c r="C183" s="50"/>
      <c r="D183" s="51" t="n">
        <f aca="false">TB_audited!B166</f>
        <v>0</v>
      </c>
      <c r="E183" s="52" t="n">
        <f aca="false">TB_audited!C166</f>
        <v>0</v>
      </c>
      <c r="F183" s="53" t="n">
        <f aca="false">TB_audited!D166</f>
        <v>0</v>
      </c>
      <c r="G183" s="54" t="n">
        <f aca="false">IF($D$8="Interim",TB_audited!G166,TB_audited!E166)</f>
        <v>0</v>
      </c>
      <c r="H183" s="55" t="str">
        <f aca="false">IFERROR(VLOOKUP($A183,RA_result!$B$3:$N$62,11,0),"")</f>
        <v/>
      </c>
      <c r="I183" s="55" t="str">
        <f aca="false">IFERROR(VLOOKUP($A183,RA_result!$B$3:$N$62,12,0),"")</f>
        <v/>
      </c>
      <c r="J183" s="55" t="str">
        <f aca="false">IFERROR(VLOOKUP($A183,RA_result!$B$3:$N$62,13,0),"")</f>
        <v/>
      </c>
      <c r="K183" s="56"/>
      <c r="L183" s="56"/>
      <c r="M183" s="57" t="n">
        <f aca="false">G183</f>
        <v>0</v>
      </c>
      <c r="N183" s="54" t="n">
        <f aca="false">G183-M183</f>
        <v>0</v>
      </c>
      <c r="O183" s="55" t="str">
        <f aca="false">IFERROR(VLOOKUP($A183,RA_result!$B$3:$N$62,7,0),"")</f>
        <v/>
      </c>
      <c r="P183" s="52" t="str">
        <f aca="false">IFERROR(VLOOKUP($A183,RA_result!$B$3:$N$62,9,0),"")</f>
        <v/>
      </c>
      <c r="Q183" s="52" t="str">
        <f aca="false">IFERROR(VLOOKUP($A183,RA_result!$B$3:$N$62,10,0),"")</f>
        <v/>
      </c>
      <c r="R183" s="58" t="s">
        <v>55</v>
      </c>
      <c r="S183" s="59" t="str">
        <f aca="false">IFERROR(VLOOKUP($A183,RA_result!$B$3:$N$62,4,0),"")</f>
        <v/>
      </c>
      <c r="T183" s="60" t="s">
        <v>56</v>
      </c>
      <c r="U183" s="59" t="str">
        <f aca="false">IFERROR(IF(VLOOKUP($A183,RA_result!$B$3:$N$62,6,0)="",S183*T183,VLOOKUP($A183,RA_result!$B$3:$N$62,6,0)),"")</f>
        <v/>
      </c>
      <c r="V183" s="61" t="s">
        <v>56</v>
      </c>
      <c r="W183" s="62" t="n">
        <f aca="false">IFERROR((S183*30%)/V183,0)</f>
        <v>0</v>
      </c>
      <c r="X183" s="63" t="n">
        <f aca="false">IFERROR(N183/W183,0)</f>
        <v>0</v>
      </c>
      <c r="Y183" s="68"/>
      <c r="Z183" s="57"/>
      <c r="AA183" s="69" t="str">
        <f aca="false">IF(OR(U183="",Y183="",Z183=""),"",IF(AND(U183&gt;Y183,-U183&lt;Z183),"Ok","Not Ok"))</f>
        <v/>
      </c>
      <c r="AB183" s="70"/>
    </row>
    <row r="184" customFormat="false" ht="12.8" hidden="false" customHeight="false" outlineLevel="0" collapsed="false">
      <c r="A184" s="48" t="n">
        <f aca="false">TB_audited!A167</f>
        <v>0</v>
      </c>
      <c r="B184" s="49"/>
      <c r="C184" s="50"/>
      <c r="D184" s="51" t="n">
        <f aca="false">TB_audited!B167</f>
        <v>0</v>
      </c>
      <c r="E184" s="52" t="n">
        <f aca="false">TB_audited!C167</f>
        <v>0</v>
      </c>
      <c r="F184" s="53" t="n">
        <f aca="false">TB_audited!D167</f>
        <v>0</v>
      </c>
      <c r="G184" s="54" t="n">
        <f aca="false">IF($D$8="Interim",TB_audited!G167,TB_audited!E167)</f>
        <v>0</v>
      </c>
      <c r="H184" s="55" t="str">
        <f aca="false">IFERROR(VLOOKUP($A184,RA_result!$B$3:$N$62,11,0),"")</f>
        <v/>
      </c>
      <c r="I184" s="55" t="str">
        <f aca="false">IFERROR(VLOOKUP($A184,RA_result!$B$3:$N$62,12,0),"")</f>
        <v/>
      </c>
      <c r="J184" s="55" t="str">
        <f aca="false">IFERROR(VLOOKUP($A184,RA_result!$B$3:$N$62,13,0),"")</f>
        <v/>
      </c>
      <c r="K184" s="56"/>
      <c r="L184" s="56"/>
      <c r="M184" s="57" t="n">
        <f aca="false">G184</f>
        <v>0</v>
      </c>
      <c r="N184" s="54" t="n">
        <f aca="false">G184-M184</f>
        <v>0</v>
      </c>
      <c r="O184" s="55" t="str">
        <f aca="false">IFERROR(VLOOKUP($A184,RA_result!$B$3:$N$62,7,0),"")</f>
        <v/>
      </c>
      <c r="P184" s="52" t="str">
        <f aca="false">IFERROR(VLOOKUP($A184,RA_result!$B$3:$N$62,9,0),"")</f>
        <v/>
      </c>
      <c r="Q184" s="52" t="str">
        <f aca="false">IFERROR(VLOOKUP($A184,RA_result!$B$3:$N$62,10,0),"")</f>
        <v/>
      </c>
      <c r="R184" s="58" t="s">
        <v>55</v>
      </c>
      <c r="S184" s="59" t="str">
        <f aca="false">IFERROR(VLOOKUP($A184,RA_result!$B$3:$N$62,4,0),"")</f>
        <v/>
      </c>
      <c r="T184" s="60" t="s">
        <v>56</v>
      </c>
      <c r="U184" s="59" t="str">
        <f aca="false">IFERROR(IF(VLOOKUP($A184,RA_result!$B$3:$N$62,6,0)="",S184*T184,VLOOKUP($A184,RA_result!$B$3:$N$62,6,0)),"")</f>
        <v/>
      </c>
      <c r="V184" s="61" t="s">
        <v>56</v>
      </c>
      <c r="W184" s="62" t="n">
        <f aca="false">IFERROR((S184*30%)/V184,0)</f>
        <v>0</v>
      </c>
      <c r="X184" s="63" t="n">
        <f aca="false">IFERROR(N184/W184,0)</f>
        <v>0</v>
      </c>
      <c r="Y184" s="68"/>
      <c r="Z184" s="57"/>
      <c r="AA184" s="69" t="str">
        <f aca="false">IF(OR(U184="",Y184="",Z184=""),"",IF(AND(U184&gt;Y184,-U184&lt;Z184),"Ok","Not Ok"))</f>
        <v/>
      </c>
      <c r="AB184" s="70"/>
    </row>
    <row r="185" customFormat="false" ht="12.8" hidden="false" customHeight="false" outlineLevel="0" collapsed="false">
      <c r="A185" s="48" t="n">
        <f aca="false">TB_audited!A168</f>
        <v>0</v>
      </c>
      <c r="B185" s="49"/>
      <c r="C185" s="50"/>
      <c r="D185" s="51" t="n">
        <f aca="false">TB_audited!B168</f>
        <v>0</v>
      </c>
      <c r="E185" s="52" t="n">
        <f aca="false">TB_audited!C168</f>
        <v>0</v>
      </c>
      <c r="F185" s="53" t="n">
        <f aca="false">TB_audited!D168</f>
        <v>0</v>
      </c>
      <c r="G185" s="54" t="n">
        <f aca="false">IF($D$8="Interim",TB_audited!G168,TB_audited!E168)</f>
        <v>0</v>
      </c>
      <c r="H185" s="55" t="str">
        <f aca="false">IFERROR(VLOOKUP($A185,RA_result!$B$3:$N$62,11,0),"")</f>
        <v/>
      </c>
      <c r="I185" s="55" t="str">
        <f aca="false">IFERROR(VLOOKUP($A185,RA_result!$B$3:$N$62,12,0),"")</f>
        <v/>
      </c>
      <c r="J185" s="55" t="str">
        <f aca="false">IFERROR(VLOOKUP($A185,RA_result!$B$3:$N$62,13,0),"")</f>
        <v/>
      </c>
      <c r="K185" s="56"/>
      <c r="L185" s="56"/>
      <c r="M185" s="57" t="n">
        <f aca="false">G185</f>
        <v>0</v>
      </c>
      <c r="N185" s="54" t="n">
        <f aca="false">G185-M185</f>
        <v>0</v>
      </c>
      <c r="O185" s="55" t="str">
        <f aca="false">IFERROR(VLOOKUP($A185,RA_result!$B$3:$N$62,7,0),"")</f>
        <v/>
      </c>
      <c r="P185" s="52" t="str">
        <f aca="false">IFERROR(VLOOKUP($A185,RA_result!$B$3:$N$62,9,0),"")</f>
        <v/>
      </c>
      <c r="Q185" s="52" t="str">
        <f aca="false">IFERROR(VLOOKUP($A185,RA_result!$B$3:$N$62,10,0),"")</f>
        <v/>
      </c>
      <c r="R185" s="58" t="s">
        <v>55</v>
      </c>
      <c r="S185" s="59" t="str">
        <f aca="false">IFERROR(VLOOKUP($A185,RA_result!$B$3:$N$62,4,0),"")</f>
        <v/>
      </c>
      <c r="T185" s="60" t="s">
        <v>56</v>
      </c>
      <c r="U185" s="59" t="str">
        <f aca="false">IFERROR(IF(VLOOKUP($A185,RA_result!$B$3:$N$62,6,0)="",S185*T185,VLOOKUP($A185,RA_result!$B$3:$N$62,6,0)),"")</f>
        <v/>
      </c>
      <c r="V185" s="61" t="s">
        <v>56</v>
      </c>
      <c r="W185" s="62" t="n">
        <f aca="false">IFERROR((S185*30%)/V185,0)</f>
        <v>0</v>
      </c>
      <c r="X185" s="63" t="n">
        <f aca="false">IFERROR(N185/W185,0)</f>
        <v>0</v>
      </c>
      <c r="Y185" s="68"/>
      <c r="Z185" s="57"/>
      <c r="AA185" s="69" t="str">
        <f aca="false">IF(OR(U185="",Y185="",Z185=""),"",IF(AND(U185&gt;Y185,-U185&lt;Z185),"Ok","Not Ok"))</f>
        <v/>
      </c>
      <c r="AB185" s="70"/>
    </row>
    <row r="186" customFormat="false" ht="12.8" hidden="false" customHeight="false" outlineLevel="0" collapsed="false">
      <c r="A186" s="48" t="n">
        <f aca="false">TB_audited!A169</f>
        <v>0</v>
      </c>
      <c r="B186" s="49"/>
      <c r="C186" s="50"/>
      <c r="D186" s="51" t="n">
        <f aca="false">TB_audited!B169</f>
        <v>0</v>
      </c>
      <c r="E186" s="52" t="n">
        <f aca="false">TB_audited!C169</f>
        <v>0</v>
      </c>
      <c r="F186" s="53" t="n">
        <f aca="false">TB_audited!D169</f>
        <v>0</v>
      </c>
      <c r="G186" s="54" t="n">
        <f aca="false">IF($D$8="Interim",TB_audited!G169,TB_audited!E169)</f>
        <v>0</v>
      </c>
      <c r="H186" s="55" t="str">
        <f aca="false">IFERROR(VLOOKUP($A186,RA_result!$B$3:$N$62,11,0),"")</f>
        <v/>
      </c>
      <c r="I186" s="55" t="str">
        <f aca="false">IFERROR(VLOOKUP($A186,RA_result!$B$3:$N$62,12,0),"")</f>
        <v/>
      </c>
      <c r="J186" s="55" t="str">
        <f aca="false">IFERROR(VLOOKUP($A186,RA_result!$B$3:$N$62,13,0),"")</f>
        <v/>
      </c>
      <c r="K186" s="56"/>
      <c r="L186" s="56"/>
      <c r="M186" s="57" t="n">
        <f aca="false">G186</f>
        <v>0</v>
      </c>
      <c r="N186" s="54" t="n">
        <f aca="false">G186-M186</f>
        <v>0</v>
      </c>
      <c r="O186" s="55" t="str">
        <f aca="false">IFERROR(VLOOKUP($A186,RA_result!$B$3:$N$62,7,0),"")</f>
        <v/>
      </c>
      <c r="P186" s="52" t="str">
        <f aca="false">IFERROR(VLOOKUP($A186,RA_result!$B$3:$N$62,9,0),"")</f>
        <v/>
      </c>
      <c r="Q186" s="52" t="str">
        <f aca="false">IFERROR(VLOOKUP($A186,RA_result!$B$3:$N$62,10,0),"")</f>
        <v/>
      </c>
      <c r="R186" s="58" t="s">
        <v>55</v>
      </c>
      <c r="S186" s="59" t="str">
        <f aca="false">IFERROR(VLOOKUP($A186,RA_result!$B$3:$N$62,4,0),"")</f>
        <v/>
      </c>
      <c r="T186" s="60" t="s">
        <v>56</v>
      </c>
      <c r="U186" s="59" t="str">
        <f aca="false">IFERROR(IF(VLOOKUP($A186,RA_result!$B$3:$N$62,6,0)="",S186*T186,VLOOKUP($A186,RA_result!$B$3:$N$62,6,0)),"")</f>
        <v/>
      </c>
      <c r="V186" s="61" t="s">
        <v>56</v>
      </c>
      <c r="W186" s="62" t="n">
        <f aca="false">IFERROR((S186*30%)/V186,0)</f>
        <v>0</v>
      </c>
      <c r="X186" s="63" t="n">
        <f aca="false">IFERROR(N186/W186,0)</f>
        <v>0</v>
      </c>
      <c r="Y186" s="68"/>
      <c r="Z186" s="57"/>
      <c r="AA186" s="69" t="str">
        <f aca="false">IF(OR(U186="",Y186="",Z186=""),"",IF(AND(U186&gt;Y186,-U186&lt;Z186),"Ok","Not Ok"))</f>
        <v/>
      </c>
      <c r="AB186" s="70"/>
    </row>
    <row r="187" customFormat="false" ht="12.8" hidden="false" customHeight="false" outlineLevel="0" collapsed="false">
      <c r="A187" s="48" t="n">
        <f aca="false">TB_audited!A170</f>
        <v>0</v>
      </c>
      <c r="B187" s="49"/>
      <c r="C187" s="50"/>
      <c r="D187" s="51" t="n">
        <f aca="false">TB_audited!B170</f>
        <v>0</v>
      </c>
      <c r="E187" s="52" t="n">
        <f aca="false">TB_audited!C170</f>
        <v>0</v>
      </c>
      <c r="F187" s="53" t="n">
        <f aca="false">TB_audited!D170</f>
        <v>0</v>
      </c>
      <c r="G187" s="54" t="n">
        <f aca="false">IF($D$8="Interim",TB_audited!G170,TB_audited!E170)</f>
        <v>0</v>
      </c>
      <c r="H187" s="55" t="str">
        <f aca="false">IFERROR(VLOOKUP($A187,RA_result!$B$3:$N$62,11,0),"")</f>
        <v/>
      </c>
      <c r="I187" s="55" t="str">
        <f aca="false">IFERROR(VLOOKUP($A187,RA_result!$B$3:$N$62,12,0),"")</f>
        <v/>
      </c>
      <c r="J187" s="55" t="str">
        <f aca="false">IFERROR(VLOOKUP($A187,RA_result!$B$3:$N$62,13,0),"")</f>
        <v/>
      </c>
      <c r="K187" s="56"/>
      <c r="L187" s="56"/>
      <c r="M187" s="57" t="n">
        <f aca="false">G187</f>
        <v>0</v>
      </c>
      <c r="N187" s="54" t="n">
        <f aca="false">G187-M187</f>
        <v>0</v>
      </c>
      <c r="O187" s="55" t="str">
        <f aca="false">IFERROR(VLOOKUP($A187,RA_result!$B$3:$N$62,7,0),"")</f>
        <v/>
      </c>
      <c r="P187" s="52" t="str">
        <f aca="false">IFERROR(VLOOKUP($A187,RA_result!$B$3:$N$62,9,0),"")</f>
        <v/>
      </c>
      <c r="Q187" s="52" t="str">
        <f aca="false">IFERROR(VLOOKUP($A187,RA_result!$B$3:$N$62,10,0),"")</f>
        <v/>
      </c>
      <c r="R187" s="58" t="s">
        <v>55</v>
      </c>
      <c r="S187" s="59" t="str">
        <f aca="false">IFERROR(VLOOKUP($A187,RA_result!$B$3:$N$62,4,0),"")</f>
        <v/>
      </c>
      <c r="T187" s="60" t="s">
        <v>56</v>
      </c>
      <c r="U187" s="59" t="str">
        <f aca="false">IFERROR(IF(VLOOKUP($A187,RA_result!$B$3:$N$62,6,0)="",S187*T187,VLOOKUP($A187,RA_result!$B$3:$N$62,6,0)),"")</f>
        <v/>
      </c>
      <c r="V187" s="61" t="s">
        <v>56</v>
      </c>
      <c r="W187" s="62" t="n">
        <f aca="false">IFERROR((S187*30%)/V187,0)</f>
        <v>0</v>
      </c>
      <c r="X187" s="63" t="n">
        <f aca="false">IFERROR(N187/W187,0)</f>
        <v>0</v>
      </c>
      <c r="Y187" s="68"/>
      <c r="Z187" s="57"/>
      <c r="AA187" s="69" t="str">
        <f aca="false">IF(OR(U187="",Y187="",Z187=""),"",IF(AND(U187&gt;Y187,-U187&lt;Z187),"Ok","Not Ok"))</f>
        <v/>
      </c>
      <c r="AB187" s="70"/>
    </row>
    <row r="188" customFormat="false" ht="12.8" hidden="false" customHeight="false" outlineLevel="0" collapsed="false">
      <c r="A188" s="48" t="n">
        <f aca="false">TB_audited!A171</f>
        <v>0</v>
      </c>
      <c r="B188" s="49"/>
      <c r="C188" s="50"/>
      <c r="D188" s="51" t="n">
        <f aca="false">TB_audited!B171</f>
        <v>0</v>
      </c>
      <c r="E188" s="52" t="n">
        <f aca="false">TB_audited!C171</f>
        <v>0</v>
      </c>
      <c r="F188" s="53" t="n">
        <f aca="false">TB_audited!D171</f>
        <v>0</v>
      </c>
      <c r="G188" s="54" t="n">
        <f aca="false">IF($D$8="Interim",TB_audited!G171,TB_audited!E171)</f>
        <v>0</v>
      </c>
      <c r="H188" s="55" t="str">
        <f aca="false">IFERROR(VLOOKUP($A188,RA_result!$B$3:$N$62,11,0),"")</f>
        <v/>
      </c>
      <c r="I188" s="55" t="str">
        <f aca="false">IFERROR(VLOOKUP($A188,RA_result!$B$3:$N$62,12,0),"")</f>
        <v/>
      </c>
      <c r="J188" s="55" t="str">
        <f aca="false">IFERROR(VLOOKUP($A188,RA_result!$B$3:$N$62,13,0),"")</f>
        <v/>
      </c>
      <c r="K188" s="56"/>
      <c r="L188" s="56"/>
      <c r="M188" s="57" t="n">
        <f aca="false">G188</f>
        <v>0</v>
      </c>
      <c r="N188" s="54" t="n">
        <f aca="false">G188-M188</f>
        <v>0</v>
      </c>
      <c r="O188" s="55" t="str">
        <f aca="false">IFERROR(VLOOKUP($A188,RA_result!$B$3:$N$62,7,0),"")</f>
        <v/>
      </c>
      <c r="P188" s="52" t="str">
        <f aca="false">IFERROR(VLOOKUP($A188,RA_result!$B$3:$N$62,9,0),"")</f>
        <v/>
      </c>
      <c r="Q188" s="52" t="str">
        <f aca="false">IFERROR(VLOOKUP($A188,RA_result!$B$3:$N$62,10,0),"")</f>
        <v/>
      </c>
      <c r="R188" s="58" t="s">
        <v>55</v>
      </c>
      <c r="S188" s="59" t="str">
        <f aca="false">IFERROR(VLOOKUP($A188,RA_result!$B$3:$N$62,4,0),"")</f>
        <v/>
      </c>
      <c r="T188" s="60" t="s">
        <v>56</v>
      </c>
      <c r="U188" s="59" t="str">
        <f aca="false">IFERROR(IF(VLOOKUP($A188,RA_result!$B$3:$N$62,6,0)="",S188*T188,VLOOKUP($A188,RA_result!$B$3:$N$62,6,0)),"")</f>
        <v/>
      </c>
      <c r="V188" s="61" t="s">
        <v>56</v>
      </c>
      <c r="W188" s="62" t="n">
        <f aca="false">IFERROR((S188*30%)/V188,0)</f>
        <v>0</v>
      </c>
      <c r="X188" s="63" t="n">
        <f aca="false">IFERROR(N188/W188,0)</f>
        <v>0</v>
      </c>
      <c r="Y188" s="68"/>
      <c r="Z188" s="57"/>
      <c r="AA188" s="69" t="str">
        <f aca="false">IF(OR(U188="",Y188="",Z188=""),"",IF(AND(U188&gt;Y188,-U188&lt;Z188),"Ok","Not Ok"))</f>
        <v/>
      </c>
      <c r="AB188" s="70"/>
    </row>
    <row r="189" customFormat="false" ht="12.8" hidden="false" customHeight="false" outlineLevel="0" collapsed="false">
      <c r="A189" s="48" t="n">
        <f aca="false">TB_audited!A172</f>
        <v>0</v>
      </c>
      <c r="B189" s="49"/>
      <c r="C189" s="50"/>
      <c r="D189" s="51" t="n">
        <f aca="false">TB_audited!B172</f>
        <v>0</v>
      </c>
      <c r="E189" s="52" t="n">
        <f aca="false">TB_audited!C172</f>
        <v>0</v>
      </c>
      <c r="F189" s="53" t="n">
        <f aca="false">TB_audited!D172</f>
        <v>0</v>
      </c>
      <c r="G189" s="54" t="n">
        <f aca="false">IF($D$8="Interim",TB_audited!G172,TB_audited!E172)</f>
        <v>0</v>
      </c>
      <c r="H189" s="55" t="str">
        <f aca="false">IFERROR(VLOOKUP($A189,RA_result!$B$3:$N$62,11,0),"")</f>
        <v/>
      </c>
      <c r="I189" s="55" t="str">
        <f aca="false">IFERROR(VLOOKUP($A189,RA_result!$B$3:$N$62,12,0),"")</f>
        <v/>
      </c>
      <c r="J189" s="55" t="str">
        <f aca="false">IFERROR(VLOOKUP($A189,RA_result!$B$3:$N$62,13,0),"")</f>
        <v/>
      </c>
      <c r="K189" s="56"/>
      <c r="L189" s="56"/>
      <c r="M189" s="57" t="n">
        <f aca="false">G189</f>
        <v>0</v>
      </c>
      <c r="N189" s="54" t="n">
        <f aca="false">G189-M189</f>
        <v>0</v>
      </c>
      <c r="O189" s="55" t="str">
        <f aca="false">IFERROR(VLOOKUP($A189,RA_result!$B$3:$N$62,7,0),"")</f>
        <v/>
      </c>
      <c r="P189" s="52" t="str">
        <f aca="false">IFERROR(VLOOKUP($A189,RA_result!$B$3:$N$62,9,0),"")</f>
        <v/>
      </c>
      <c r="Q189" s="52" t="str">
        <f aca="false">IFERROR(VLOOKUP($A189,RA_result!$B$3:$N$62,10,0),"")</f>
        <v/>
      </c>
      <c r="R189" s="58" t="s">
        <v>55</v>
      </c>
      <c r="S189" s="59" t="str">
        <f aca="false">IFERROR(VLOOKUP($A189,RA_result!$B$3:$N$62,4,0),"")</f>
        <v/>
      </c>
      <c r="T189" s="60" t="s">
        <v>56</v>
      </c>
      <c r="U189" s="59" t="str">
        <f aca="false">IFERROR(IF(VLOOKUP($A189,RA_result!$B$3:$N$62,6,0)="",S189*T189,VLOOKUP($A189,RA_result!$B$3:$N$62,6,0)),"")</f>
        <v/>
      </c>
      <c r="V189" s="61" t="s">
        <v>56</v>
      </c>
      <c r="W189" s="62" t="n">
        <f aca="false">IFERROR((S189*30%)/V189,0)</f>
        <v>0</v>
      </c>
      <c r="X189" s="63" t="n">
        <f aca="false">IFERROR(N189/W189,0)</f>
        <v>0</v>
      </c>
      <c r="Y189" s="68"/>
      <c r="Z189" s="57"/>
      <c r="AA189" s="69" t="str">
        <f aca="false">IF(OR(U189="",Y189="",Z189=""),"",IF(AND(U189&gt;Y189,-U189&lt;Z189),"Ok","Not Ok"))</f>
        <v/>
      </c>
      <c r="AB189" s="70"/>
    </row>
    <row r="190" customFormat="false" ht="12.8" hidden="false" customHeight="false" outlineLevel="0" collapsed="false">
      <c r="A190" s="48" t="n">
        <f aca="false">TB_audited!A173</f>
        <v>0</v>
      </c>
      <c r="B190" s="49"/>
      <c r="C190" s="50"/>
      <c r="D190" s="51" t="n">
        <f aca="false">TB_audited!B173</f>
        <v>0</v>
      </c>
      <c r="E190" s="52" t="n">
        <f aca="false">TB_audited!C173</f>
        <v>0</v>
      </c>
      <c r="F190" s="53" t="n">
        <f aca="false">TB_audited!D173</f>
        <v>0</v>
      </c>
      <c r="G190" s="54" t="n">
        <f aca="false">IF($D$8="Interim",TB_audited!G173,TB_audited!E173)</f>
        <v>0</v>
      </c>
      <c r="H190" s="55" t="str">
        <f aca="false">IFERROR(VLOOKUP($A190,RA_result!$B$3:$N$62,11,0),"")</f>
        <v/>
      </c>
      <c r="I190" s="55" t="str">
        <f aca="false">IFERROR(VLOOKUP($A190,RA_result!$B$3:$N$62,12,0),"")</f>
        <v/>
      </c>
      <c r="J190" s="55" t="str">
        <f aca="false">IFERROR(VLOOKUP($A190,RA_result!$B$3:$N$62,13,0),"")</f>
        <v/>
      </c>
      <c r="K190" s="56"/>
      <c r="L190" s="56"/>
      <c r="M190" s="57" t="n">
        <f aca="false">G190</f>
        <v>0</v>
      </c>
      <c r="N190" s="54" t="n">
        <f aca="false">G190-M190</f>
        <v>0</v>
      </c>
      <c r="O190" s="55" t="str">
        <f aca="false">IFERROR(VLOOKUP($A190,RA_result!$B$3:$N$62,7,0),"")</f>
        <v/>
      </c>
      <c r="P190" s="52" t="str">
        <f aca="false">IFERROR(VLOOKUP($A190,RA_result!$B$3:$N$62,9,0),"")</f>
        <v/>
      </c>
      <c r="Q190" s="52" t="str">
        <f aca="false">IFERROR(VLOOKUP($A190,RA_result!$B$3:$N$62,10,0),"")</f>
        <v/>
      </c>
      <c r="R190" s="58" t="s">
        <v>55</v>
      </c>
      <c r="S190" s="59" t="str">
        <f aca="false">IFERROR(VLOOKUP($A190,RA_result!$B$3:$N$62,4,0),"")</f>
        <v/>
      </c>
      <c r="T190" s="60" t="s">
        <v>56</v>
      </c>
      <c r="U190" s="59" t="str">
        <f aca="false">IFERROR(IF(VLOOKUP($A190,RA_result!$B$3:$N$62,6,0)="",S190*T190,VLOOKUP($A190,RA_result!$B$3:$N$62,6,0)),"")</f>
        <v/>
      </c>
      <c r="V190" s="61" t="s">
        <v>56</v>
      </c>
      <c r="W190" s="62" t="n">
        <f aca="false">IFERROR((S190*30%)/V190,0)</f>
        <v>0</v>
      </c>
      <c r="X190" s="63" t="n">
        <f aca="false">IFERROR(N190/W190,0)</f>
        <v>0</v>
      </c>
      <c r="Y190" s="68"/>
      <c r="Z190" s="57"/>
      <c r="AA190" s="69" t="str">
        <f aca="false">IF(OR(U190="",Y190="",Z190=""),"",IF(AND(U190&gt;Y190,-U190&lt;Z190),"Ok","Not Ok"))</f>
        <v/>
      </c>
      <c r="AB190" s="70"/>
    </row>
    <row r="191" customFormat="false" ht="12.8" hidden="false" customHeight="false" outlineLevel="0" collapsed="false">
      <c r="A191" s="48" t="n">
        <f aca="false">TB_audited!A174</f>
        <v>0</v>
      </c>
      <c r="B191" s="49"/>
      <c r="C191" s="50"/>
      <c r="D191" s="51" t="n">
        <f aca="false">TB_audited!B174</f>
        <v>0</v>
      </c>
      <c r="E191" s="52" t="n">
        <f aca="false">TB_audited!C174</f>
        <v>0</v>
      </c>
      <c r="F191" s="53" t="n">
        <f aca="false">TB_audited!D174</f>
        <v>0</v>
      </c>
      <c r="G191" s="54" t="n">
        <f aca="false">IF($D$8="Interim",TB_audited!G174,TB_audited!E174)</f>
        <v>0</v>
      </c>
      <c r="H191" s="55" t="str">
        <f aca="false">IFERROR(VLOOKUP($A191,RA_result!$B$3:$N$62,11,0),"")</f>
        <v/>
      </c>
      <c r="I191" s="55" t="str">
        <f aca="false">IFERROR(VLOOKUP($A191,RA_result!$B$3:$N$62,12,0),"")</f>
        <v/>
      </c>
      <c r="J191" s="55" t="str">
        <f aca="false">IFERROR(VLOOKUP($A191,RA_result!$B$3:$N$62,13,0),"")</f>
        <v/>
      </c>
      <c r="K191" s="56"/>
      <c r="L191" s="56"/>
      <c r="M191" s="57" t="n">
        <f aca="false">G191</f>
        <v>0</v>
      </c>
      <c r="N191" s="54" t="n">
        <f aca="false">G191-M191</f>
        <v>0</v>
      </c>
      <c r="O191" s="55" t="str">
        <f aca="false">IFERROR(VLOOKUP($A191,RA_result!$B$3:$N$62,7,0),"")</f>
        <v/>
      </c>
      <c r="P191" s="52" t="str">
        <f aca="false">IFERROR(VLOOKUP($A191,RA_result!$B$3:$N$62,9,0),"")</f>
        <v/>
      </c>
      <c r="Q191" s="52" t="str">
        <f aca="false">IFERROR(VLOOKUP($A191,RA_result!$B$3:$N$62,10,0),"")</f>
        <v/>
      </c>
      <c r="R191" s="58" t="s">
        <v>55</v>
      </c>
      <c r="S191" s="59" t="str">
        <f aca="false">IFERROR(VLOOKUP($A191,RA_result!$B$3:$N$62,4,0),"")</f>
        <v/>
      </c>
      <c r="T191" s="60" t="s">
        <v>56</v>
      </c>
      <c r="U191" s="59" t="str">
        <f aca="false">IFERROR(IF(VLOOKUP($A191,RA_result!$B$3:$N$62,6,0)="",S191*T191,VLOOKUP($A191,RA_result!$B$3:$N$62,6,0)),"")</f>
        <v/>
      </c>
      <c r="V191" s="61" t="s">
        <v>56</v>
      </c>
      <c r="W191" s="62" t="n">
        <f aca="false">IFERROR((S191*30%)/V191,0)</f>
        <v>0</v>
      </c>
      <c r="X191" s="63" t="n">
        <f aca="false">IFERROR(N191/W191,0)</f>
        <v>0</v>
      </c>
      <c r="Y191" s="68"/>
      <c r="Z191" s="57"/>
      <c r="AA191" s="69" t="str">
        <f aca="false">IF(OR(U191="",Y191="",Z191=""),"",IF(AND(U191&gt;Y191,-U191&lt;Z191),"Ok","Not Ok"))</f>
        <v/>
      </c>
      <c r="AB191" s="70"/>
    </row>
    <row r="192" customFormat="false" ht="12.8" hidden="false" customHeight="false" outlineLevel="0" collapsed="false">
      <c r="A192" s="48" t="n">
        <f aca="false">TB_audited!A175</f>
        <v>0</v>
      </c>
      <c r="B192" s="49"/>
      <c r="C192" s="50"/>
      <c r="D192" s="51" t="n">
        <f aca="false">TB_audited!B175</f>
        <v>0</v>
      </c>
      <c r="E192" s="52" t="n">
        <f aca="false">TB_audited!C175</f>
        <v>0</v>
      </c>
      <c r="F192" s="53" t="n">
        <f aca="false">TB_audited!D175</f>
        <v>0</v>
      </c>
      <c r="G192" s="54" t="n">
        <f aca="false">IF($D$8="Interim",TB_audited!G175,TB_audited!E175)</f>
        <v>0</v>
      </c>
      <c r="H192" s="55" t="str">
        <f aca="false">IFERROR(VLOOKUP($A192,RA_result!$B$3:$N$62,11,0),"")</f>
        <v/>
      </c>
      <c r="I192" s="55" t="str">
        <f aca="false">IFERROR(VLOOKUP($A192,RA_result!$B$3:$N$62,12,0),"")</f>
        <v/>
      </c>
      <c r="J192" s="55" t="str">
        <f aca="false">IFERROR(VLOOKUP($A192,RA_result!$B$3:$N$62,13,0),"")</f>
        <v/>
      </c>
      <c r="K192" s="56"/>
      <c r="L192" s="56"/>
      <c r="M192" s="57" t="n">
        <f aca="false">G192</f>
        <v>0</v>
      </c>
      <c r="N192" s="54" t="n">
        <f aca="false">G192-M192</f>
        <v>0</v>
      </c>
      <c r="O192" s="55" t="str">
        <f aca="false">IFERROR(VLOOKUP($A192,RA_result!$B$3:$N$62,7,0),"")</f>
        <v/>
      </c>
      <c r="P192" s="52" t="str">
        <f aca="false">IFERROR(VLOOKUP($A192,RA_result!$B$3:$N$62,9,0),"")</f>
        <v/>
      </c>
      <c r="Q192" s="52" t="str">
        <f aca="false">IFERROR(VLOOKUP($A192,RA_result!$B$3:$N$62,10,0),"")</f>
        <v/>
      </c>
      <c r="R192" s="58" t="s">
        <v>55</v>
      </c>
      <c r="S192" s="59" t="str">
        <f aca="false">IFERROR(VLOOKUP($A192,RA_result!$B$3:$N$62,4,0),"")</f>
        <v/>
      </c>
      <c r="T192" s="60" t="s">
        <v>56</v>
      </c>
      <c r="U192" s="59" t="str">
        <f aca="false">IFERROR(IF(VLOOKUP($A192,RA_result!$B$3:$N$62,6,0)="",S192*T192,VLOOKUP($A192,RA_result!$B$3:$N$62,6,0)),"")</f>
        <v/>
      </c>
      <c r="V192" s="61" t="s">
        <v>56</v>
      </c>
      <c r="W192" s="62" t="n">
        <f aca="false">IFERROR((S192*30%)/V192,0)</f>
        <v>0</v>
      </c>
      <c r="X192" s="63" t="n">
        <f aca="false">IFERROR(N192/W192,0)</f>
        <v>0</v>
      </c>
      <c r="Y192" s="68"/>
      <c r="Z192" s="57"/>
      <c r="AA192" s="69" t="str">
        <f aca="false">IF(OR(U192="",Y192="",Z192=""),"",IF(AND(U192&gt;Y192,-U192&lt;Z192),"Ok","Not Ok"))</f>
        <v/>
      </c>
      <c r="AB192" s="70"/>
    </row>
    <row r="193" customFormat="false" ht="12.8" hidden="false" customHeight="false" outlineLevel="0" collapsed="false">
      <c r="A193" s="48" t="n">
        <f aca="false">TB_audited!A176</f>
        <v>0</v>
      </c>
      <c r="B193" s="49"/>
      <c r="C193" s="50"/>
      <c r="D193" s="51" t="n">
        <f aca="false">TB_audited!B176</f>
        <v>0</v>
      </c>
      <c r="E193" s="52" t="n">
        <f aca="false">TB_audited!C176</f>
        <v>0</v>
      </c>
      <c r="F193" s="53" t="n">
        <f aca="false">TB_audited!D176</f>
        <v>0</v>
      </c>
      <c r="G193" s="54" t="n">
        <f aca="false">IF($D$8="Interim",TB_audited!G176,TB_audited!E176)</f>
        <v>0</v>
      </c>
      <c r="H193" s="55" t="str">
        <f aca="false">IFERROR(VLOOKUP($A193,RA_result!$B$3:$N$62,11,0),"")</f>
        <v/>
      </c>
      <c r="I193" s="55" t="str">
        <f aca="false">IFERROR(VLOOKUP($A193,RA_result!$B$3:$N$62,12,0),"")</f>
        <v/>
      </c>
      <c r="J193" s="55" t="str">
        <f aca="false">IFERROR(VLOOKUP($A193,RA_result!$B$3:$N$62,13,0),"")</f>
        <v/>
      </c>
      <c r="K193" s="56"/>
      <c r="L193" s="56"/>
      <c r="M193" s="57" t="n">
        <f aca="false">G193</f>
        <v>0</v>
      </c>
      <c r="N193" s="54" t="n">
        <f aca="false">G193-M193</f>
        <v>0</v>
      </c>
      <c r="O193" s="55" t="str">
        <f aca="false">IFERROR(VLOOKUP($A193,RA_result!$B$3:$N$62,7,0),"")</f>
        <v/>
      </c>
      <c r="P193" s="52" t="str">
        <f aca="false">IFERROR(VLOOKUP($A193,RA_result!$B$3:$N$62,9,0),"")</f>
        <v/>
      </c>
      <c r="Q193" s="52" t="str">
        <f aca="false">IFERROR(VLOOKUP($A193,RA_result!$B$3:$N$62,10,0),"")</f>
        <v/>
      </c>
      <c r="R193" s="58" t="s">
        <v>55</v>
      </c>
      <c r="S193" s="59" t="str">
        <f aca="false">IFERROR(VLOOKUP($A193,RA_result!$B$3:$N$62,4,0),"")</f>
        <v/>
      </c>
      <c r="T193" s="60" t="s">
        <v>56</v>
      </c>
      <c r="U193" s="59" t="str">
        <f aca="false">IFERROR(IF(VLOOKUP($A193,RA_result!$B$3:$N$62,6,0)="",S193*T193,VLOOKUP($A193,RA_result!$B$3:$N$62,6,0)),"")</f>
        <v/>
      </c>
      <c r="V193" s="61" t="s">
        <v>56</v>
      </c>
      <c r="W193" s="62" t="n">
        <f aca="false">IFERROR((S193*30%)/V193,0)</f>
        <v>0</v>
      </c>
      <c r="X193" s="63" t="n">
        <f aca="false">IFERROR(N193/W193,0)</f>
        <v>0</v>
      </c>
      <c r="Y193" s="68"/>
      <c r="Z193" s="57"/>
      <c r="AA193" s="69" t="str">
        <f aca="false">IF(OR(U193="",Y193="",Z193=""),"",IF(AND(U193&gt;Y193,-U193&lt;Z193),"Ok","Not Ok"))</f>
        <v/>
      </c>
      <c r="AB193" s="70"/>
    </row>
    <row r="194" customFormat="false" ht="12.8" hidden="false" customHeight="false" outlineLevel="0" collapsed="false">
      <c r="A194" s="48" t="n">
        <f aca="false">TB_audited!A177</f>
        <v>0</v>
      </c>
      <c r="B194" s="49"/>
      <c r="C194" s="50"/>
      <c r="D194" s="51" t="n">
        <f aca="false">TB_audited!B177</f>
        <v>0</v>
      </c>
      <c r="E194" s="52" t="n">
        <f aca="false">TB_audited!C177</f>
        <v>0</v>
      </c>
      <c r="F194" s="53" t="n">
        <f aca="false">TB_audited!D177</f>
        <v>0</v>
      </c>
      <c r="G194" s="54" t="n">
        <f aca="false">IF($D$8="Interim",TB_audited!G177,TB_audited!E177)</f>
        <v>0</v>
      </c>
      <c r="H194" s="55" t="str">
        <f aca="false">IFERROR(VLOOKUP($A194,RA_result!$B$3:$N$62,11,0),"")</f>
        <v/>
      </c>
      <c r="I194" s="55" t="str">
        <f aca="false">IFERROR(VLOOKUP($A194,RA_result!$B$3:$N$62,12,0),"")</f>
        <v/>
      </c>
      <c r="J194" s="55" t="str">
        <f aca="false">IFERROR(VLOOKUP($A194,RA_result!$B$3:$N$62,13,0),"")</f>
        <v/>
      </c>
      <c r="K194" s="56"/>
      <c r="L194" s="56"/>
      <c r="M194" s="57" t="n">
        <f aca="false">G194</f>
        <v>0</v>
      </c>
      <c r="N194" s="54" t="n">
        <f aca="false">G194-M194</f>
        <v>0</v>
      </c>
      <c r="O194" s="55" t="str">
        <f aca="false">IFERROR(VLOOKUP($A194,RA_result!$B$3:$N$62,7,0),"")</f>
        <v/>
      </c>
      <c r="P194" s="52" t="str">
        <f aca="false">IFERROR(VLOOKUP($A194,RA_result!$B$3:$N$62,9,0),"")</f>
        <v/>
      </c>
      <c r="Q194" s="52" t="str">
        <f aca="false">IFERROR(VLOOKUP($A194,RA_result!$B$3:$N$62,10,0),"")</f>
        <v/>
      </c>
      <c r="R194" s="58" t="s">
        <v>55</v>
      </c>
      <c r="S194" s="59" t="str">
        <f aca="false">IFERROR(VLOOKUP($A194,RA_result!$B$3:$N$62,4,0),"")</f>
        <v/>
      </c>
      <c r="T194" s="60" t="s">
        <v>56</v>
      </c>
      <c r="U194" s="59" t="str">
        <f aca="false">IFERROR(IF(VLOOKUP($A194,RA_result!$B$3:$N$62,6,0)="",S194*T194,VLOOKUP($A194,RA_result!$B$3:$N$62,6,0)),"")</f>
        <v/>
      </c>
      <c r="V194" s="61" t="s">
        <v>56</v>
      </c>
      <c r="W194" s="62" t="n">
        <f aca="false">IFERROR((S194*30%)/V194,0)</f>
        <v>0</v>
      </c>
      <c r="X194" s="63" t="n">
        <f aca="false">IFERROR(N194/W194,0)</f>
        <v>0</v>
      </c>
      <c r="Y194" s="68"/>
      <c r="Z194" s="57"/>
      <c r="AA194" s="69" t="str">
        <f aca="false">IF(OR(U194="",Y194="",Z194=""),"",IF(AND(U194&gt;Y194,-U194&lt;Z194),"Ok","Not Ok"))</f>
        <v/>
      </c>
      <c r="AB194" s="70"/>
    </row>
    <row r="195" customFormat="false" ht="12.8" hidden="false" customHeight="false" outlineLevel="0" collapsed="false">
      <c r="A195" s="48" t="n">
        <f aca="false">TB_audited!A178</f>
        <v>0</v>
      </c>
      <c r="B195" s="49"/>
      <c r="C195" s="50"/>
      <c r="D195" s="51" t="n">
        <f aca="false">TB_audited!B178</f>
        <v>0</v>
      </c>
      <c r="E195" s="52" t="n">
        <f aca="false">TB_audited!C178</f>
        <v>0</v>
      </c>
      <c r="F195" s="53" t="n">
        <f aca="false">TB_audited!D178</f>
        <v>0</v>
      </c>
      <c r="G195" s="54" t="n">
        <f aca="false">IF($D$8="Interim",TB_audited!G178,TB_audited!E178)</f>
        <v>0</v>
      </c>
      <c r="H195" s="55" t="str">
        <f aca="false">IFERROR(VLOOKUP($A195,RA_result!$B$3:$N$62,11,0),"")</f>
        <v/>
      </c>
      <c r="I195" s="55" t="str">
        <f aca="false">IFERROR(VLOOKUP($A195,RA_result!$B$3:$N$62,12,0),"")</f>
        <v/>
      </c>
      <c r="J195" s="55" t="str">
        <f aca="false">IFERROR(VLOOKUP($A195,RA_result!$B$3:$N$62,13,0),"")</f>
        <v/>
      </c>
      <c r="K195" s="56"/>
      <c r="L195" s="56"/>
      <c r="M195" s="57" t="n">
        <f aca="false">G195</f>
        <v>0</v>
      </c>
      <c r="N195" s="54" t="n">
        <f aca="false">G195-M195</f>
        <v>0</v>
      </c>
      <c r="O195" s="55" t="str">
        <f aca="false">IFERROR(VLOOKUP($A195,RA_result!$B$3:$N$62,7,0),"")</f>
        <v/>
      </c>
      <c r="P195" s="52" t="str">
        <f aca="false">IFERROR(VLOOKUP($A195,RA_result!$B$3:$N$62,9,0),"")</f>
        <v/>
      </c>
      <c r="Q195" s="52" t="str">
        <f aca="false">IFERROR(VLOOKUP($A195,RA_result!$B$3:$N$62,10,0),"")</f>
        <v/>
      </c>
      <c r="R195" s="58" t="s">
        <v>55</v>
      </c>
      <c r="S195" s="59" t="str">
        <f aca="false">IFERROR(VLOOKUP($A195,RA_result!$B$3:$N$62,4,0),"")</f>
        <v/>
      </c>
      <c r="T195" s="60" t="s">
        <v>56</v>
      </c>
      <c r="U195" s="59" t="str">
        <f aca="false">IFERROR(IF(VLOOKUP($A195,RA_result!$B$3:$N$62,6,0)="",S195*T195,VLOOKUP($A195,RA_result!$B$3:$N$62,6,0)),"")</f>
        <v/>
      </c>
      <c r="V195" s="61" t="s">
        <v>56</v>
      </c>
      <c r="W195" s="62" t="n">
        <f aca="false">IFERROR((S195*30%)/V195,0)</f>
        <v>0</v>
      </c>
      <c r="X195" s="63" t="n">
        <f aca="false">IFERROR(N195/W195,0)</f>
        <v>0</v>
      </c>
      <c r="Y195" s="68"/>
      <c r="Z195" s="57"/>
      <c r="AA195" s="69" t="str">
        <f aca="false">IF(OR(U195="",Y195="",Z195=""),"",IF(AND(U195&gt;Y195,-U195&lt;Z195),"Ok","Not Ok"))</f>
        <v/>
      </c>
      <c r="AB195" s="70"/>
    </row>
    <row r="196" customFormat="false" ht="12.8" hidden="false" customHeight="false" outlineLevel="0" collapsed="false">
      <c r="A196" s="48" t="n">
        <f aca="false">TB_audited!A179</f>
        <v>0</v>
      </c>
      <c r="B196" s="49"/>
      <c r="C196" s="50"/>
      <c r="D196" s="51" t="n">
        <f aca="false">TB_audited!B179</f>
        <v>0</v>
      </c>
      <c r="E196" s="52" t="n">
        <f aca="false">TB_audited!C179</f>
        <v>0</v>
      </c>
      <c r="F196" s="53" t="n">
        <f aca="false">TB_audited!D179</f>
        <v>0</v>
      </c>
      <c r="G196" s="54" t="n">
        <f aca="false">IF($D$8="Interim",TB_audited!G179,TB_audited!E179)</f>
        <v>0</v>
      </c>
      <c r="H196" s="55" t="str">
        <f aca="false">IFERROR(VLOOKUP($A196,RA_result!$B$3:$N$62,11,0),"")</f>
        <v/>
      </c>
      <c r="I196" s="55" t="str">
        <f aca="false">IFERROR(VLOOKUP($A196,RA_result!$B$3:$N$62,12,0),"")</f>
        <v/>
      </c>
      <c r="J196" s="55" t="str">
        <f aca="false">IFERROR(VLOOKUP($A196,RA_result!$B$3:$N$62,13,0),"")</f>
        <v/>
      </c>
      <c r="K196" s="56"/>
      <c r="L196" s="56"/>
      <c r="M196" s="57" t="n">
        <f aca="false">G196</f>
        <v>0</v>
      </c>
      <c r="N196" s="54" t="n">
        <f aca="false">G196-M196</f>
        <v>0</v>
      </c>
      <c r="O196" s="55" t="str">
        <f aca="false">IFERROR(VLOOKUP($A196,RA_result!$B$3:$N$62,7,0),"")</f>
        <v/>
      </c>
      <c r="P196" s="52" t="str">
        <f aca="false">IFERROR(VLOOKUP($A196,RA_result!$B$3:$N$62,9,0),"")</f>
        <v/>
      </c>
      <c r="Q196" s="52" t="str">
        <f aca="false">IFERROR(VLOOKUP($A196,RA_result!$B$3:$N$62,10,0),"")</f>
        <v/>
      </c>
      <c r="R196" s="58" t="s">
        <v>55</v>
      </c>
      <c r="S196" s="59" t="str">
        <f aca="false">IFERROR(VLOOKUP($A196,RA_result!$B$3:$N$62,4,0),"")</f>
        <v/>
      </c>
      <c r="T196" s="60" t="s">
        <v>56</v>
      </c>
      <c r="U196" s="59" t="str">
        <f aca="false">IFERROR(IF(VLOOKUP($A196,RA_result!$B$3:$N$62,6,0)="",S196*T196,VLOOKUP($A196,RA_result!$B$3:$N$62,6,0)),"")</f>
        <v/>
      </c>
      <c r="V196" s="61" t="s">
        <v>56</v>
      </c>
      <c r="W196" s="62" t="n">
        <f aca="false">IFERROR((S196*30%)/V196,0)</f>
        <v>0</v>
      </c>
      <c r="X196" s="63" t="n">
        <f aca="false">IFERROR(N196/W196,0)</f>
        <v>0</v>
      </c>
      <c r="Y196" s="68"/>
      <c r="Z196" s="57"/>
      <c r="AA196" s="69" t="str">
        <f aca="false">IF(OR(U196="",Y196="",Z196=""),"",IF(AND(U196&gt;Y196,-U196&lt;Z196),"Ok","Not Ok"))</f>
        <v/>
      </c>
      <c r="AB196" s="70"/>
    </row>
    <row r="197" customFormat="false" ht="12.8" hidden="false" customHeight="false" outlineLevel="0" collapsed="false">
      <c r="A197" s="48" t="n">
        <f aca="false">TB_audited!A180</f>
        <v>0</v>
      </c>
      <c r="B197" s="49"/>
      <c r="C197" s="50"/>
      <c r="D197" s="51" t="n">
        <f aca="false">TB_audited!B180</f>
        <v>0</v>
      </c>
      <c r="E197" s="52" t="n">
        <f aca="false">TB_audited!C180</f>
        <v>0</v>
      </c>
      <c r="F197" s="53" t="n">
        <f aca="false">TB_audited!D180</f>
        <v>0</v>
      </c>
      <c r="G197" s="54" t="n">
        <f aca="false">IF($D$8="Interim",TB_audited!G180,TB_audited!E180)</f>
        <v>0</v>
      </c>
      <c r="H197" s="55" t="str">
        <f aca="false">IFERROR(VLOOKUP($A197,RA_result!$B$3:$N$62,11,0),"")</f>
        <v/>
      </c>
      <c r="I197" s="55" t="str">
        <f aca="false">IFERROR(VLOOKUP($A197,RA_result!$B$3:$N$62,12,0),"")</f>
        <v/>
      </c>
      <c r="J197" s="55" t="str">
        <f aca="false">IFERROR(VLOOKUP($A197,RA_result!$B$3:$N$62,13,0),"")</f>
        <v/>
      </c>
      <c r="K197" s="56"/>
      <c r="L197" s="56"/>
      <c r="M197" s="57" t="n">
        <f aca="false">G197</f>
        <v>0</v>
      </c>
      <c r="N197" s="54" t="n">
        <f aca="false">G197-M197</f>
        <v>0</v>
      </c>
      <c r="O197" s="55" t="str">
        <f aca="false">IFERROR(VLOOKUP($A197,RA_result!$B$3:$N$62,7,0),"")</f>
        <v/>
      </c>
      <c r="P197" s="52" t="str">
        <f aca="false">IFERROR(VLOOKUP($A197,RA_result!$B$3:$N$62,9,0),"")</f>
        <v/>
      </c>
      <c r="Q197" s="52" t="str">
        <f aca="false">IFERROR(VLOOKUP($A197,RA_result!$B$3:$N$62,10,0),"")</f>
        <v/>
      </c>
      <c r="R197" s="58" t="s">
        <v>55</v>
      </c>
      <c r="S197" s="59" t="str">
        <f aca="false">IFERROR(VLOOKUP($A197,RA_result!$B$3:$N$62,4,0),"")</f>
        <v/>
      </c>
      <c r="T197" s="60" t="s">
        <v>56</v>
      </c>
      <c r="U197" s="59" t="str">
        <f aca="false">IFERROR(IF(VLOOKUP($A197,RA_result!$B$3:$N$62,6,0)="",S197*T197,VLOOKUP($A197,RA_result!$B$3:$N$62,6,0)),"")</f>
        <v/>
      </c>
      <c r="V197" s="61" t="s">
        <v>56</v>
      </c>
      <c r="W197" s="62" t="n">
        <f aca="false">IFERROR((S197*30%)/V197,0)</f>
        <v>0</v>
      </c>
      <c r="X197" s="63" t="n">
        <f aca="false">IFERROR(N197/W197,0)</f>
        <v>0</v>
      </c>
      <c r="Y197" s="68"/>
      <c r="Z197" s="57"/>
      <c r="AA197" s="69" t="str">
        <f aca="false">IF(OR(U197="",Y197="",Z197=""),"",IF(AND(U197&gt;Y197,-U197&lt;Z197),"Ok","Not Ok"))</f>
        <v/>
      </c>
      <c r="AB197" s="70"/>
    </row>
    <row r="198" customFormat="false" ht="12.8" hidden="false" customHeight="false" outlineLevel="0" collapsed="false">
      <c r="A198" s="48" t="n">
        <f aca="false">TB_audited!A181</f>
        <v>0</v>
      </c>
      <c r="B198" s="49"/>
      <c r="C198" s="50"/>
      <c r="D198" s="51" t="n">
        <f aca="false">TB_audited!B181</f>
        <v>0</v>
      </c>
      <c r="E198" s="52" t="n">
        <f aca="false">TB_audited!C181</f>
        <v>0</v>
      </c>
      <c r="F198" s="53" t="n">
        <f aca="false">TB_audited!D181</f>
        <v>0</v>
      </c>
      <c r="G198" s="54" t="n">
        <f aca="false">IF($D$8="Interim",TB_audited!G181,TB_audited!E181)</f>
        <v>0</v>
      </c>
      <c r="H198" s="55" t="str">
        <f aca="false">IFERROR(VLOOKUP($A198,RA_result!$B$3:$N$62,11,0),"")</f>
        <v/>
      </c>
      <c r="I198" s="55" t="str">
        <f aca="false">IFERROR(VLOOKUP($A198,RA_result!$B$3:$N$62,12,0),"")</f>
        <v/>
      </c>
      <c r="J198" s="55" t="str">
        <f aca="false">IFERROR(VLOOKUP($A198,RA_result!$B$3:$N$62,13,0),"")</f>
        <v/>
      </c>
      <c r="K198" s="56"/>
      <c r="L198" s="56"/>
      <c r="M198" s="57" t="n">
        <f aca="false">G198</f>
        <v>0</v>
      </c>
      <c r="N198" s="54" t="n">
        <f aca="false">G198-M198</f>
        <v>0</v>
      </c>
      <c r="O198" s="55" t="str">
        <f aca="false">IFERROR(VLOOKUP($A198,RA_result!$B$3:$N$62,7,0),"")</f>
        <v/>
      </c>
      <c r="P198" s="52" t="str">
        <f aca="false">IFERROR(VLOOKUP($A198,RA_result!$B$3:$N$62,9,0),"")</f>
        <v/>
      </c>
      <c r="Q198" s="52" t="str">
        <f aca="false">IFERROR(VLOOKUP($A198,RA_result!$B$3:$N$62,10,0),"")</f>
        <v/>
      </c>
      <c r="R198" s="58" t="s">
        <v>55</v>
      </c>
      <c r="S198" s="59" t="str">
        <f aca="false">IFERROR(VLOOKUP($A198,RA_result!$B$3:$N$62,4,0),"")</f>
        <v/>
      </c>
      <c r="T198" s="60" t="s">
        <v>56</v>
      </c>
      <c r="U198" s="59" t="str">
        <f aca="false">IFERROR(IF(VLOOKUP($A198,RA_result!$B$3:$N$62,6,0)="",S198*T198,VLOOKUP($A198,RA_result!$B$3:$N$62,6,0)),"")</f>
        <v/>
      </c>
      <c r="V198" s="61" t="s">
        <v>56</v>
      </c>
      <c r="W198" s="62" t="n">
        <f aca="false">IFERROR((S198*30%)/V198,0)</f>
        <v>0</v>
      </c>
      <c r="X198" s="63" t="n">
        <f aca="false">IFERROR(N198/W198,0)</f>
        <v>0</v>
      </c>
      <c r="Y198" s="68"/>
      <c r="Z198" s="57"/>
      <c r="AA198" s="69" t="str">
        <f aca="false">IF(OR(U198="",Y198="",Z198=""),"",IF(AND(U198&gt;Y198,-U198&lt;Z198),"Ok","Not Ok"))</f>
        <v/>
      </c>
      <c r="AB198" s="70"/>
    </row>
    <row r="199" customFormat="false" ht="12.8" hidden="false" customHeight="false" outlineLevel="0" collapsed="false">
      <c r="A199" s="48" t="n">
        <f aca="false">TB_audited!A182</f>
        <v>0</v>
      </c>
      <c r="B199" s="49"/>
      <c r="C199" s="50"/>
      <c r="D199" s="51" t="n">
        <f aca="false">TB_audited!B182</f>
        <v>0</v>
      </c>
      <c r="E199" s="52" t="n">
        <f aca="false">TB_audited!C182</f>
        <v>0</v>
      </c>
      <c r="F199" s="53" t="n">
        <f aca="false">TB_audited!D182</f>
        <v>0</v>
      </c>
      <c r="G199" s="54" t="n">
        <f aca="false">IF($D$8="Interim",TB_audited!G182,TB_audited!E182)</f>
        <v>0</v>
      </c>
      <c r="H199" s="55" t="str">
        <f aca="false">IFERROR(VLOOKUP($A199,RA_result!$B$3:$N$62,11,0),"")</f>
        <v/>
      </c>
      <c r="I199" s="55" t="str">
        <f aca="false">IFERROR(VLOOKUP($A199,RA_result!$B$3:$N$62,12,0),"")</f>
        <v/>
      </c>
      <c r="J199" s="55" t="str">
        <f aca="false">IFERROR(VLOOKUP($A199,RA_result!$B$3:$N$62,13,0),"")</f>
        <v/>
      </c>
      <c r="K199" s="56"/>
      <c r="L199" s="56"/>
      <c r="M199" s="57" t="n">
        <f aca="false">G199</f>
        <v>0</v>
      </c>
      <c r="N199" s="54" t="n">
        <f aca="false">G199-M199</f>
        <v>0</v>
      </c>
      <c r="O199" s="55" t="str">
        <f aca="false">IFERROR(VLOOKUP($A199,RA_result!$B$3:$N$62,7,0),"")</f>
        <v/>
      </c>
      <c r="P199" s="52" t="str">
        <f aca="false">IFERROR(VLOOKUP($A199,RA_result!$B$3:$N$62,9,0),"")</f>
        <v/>
      </c>
      <c r="Q199" s="52" t="str">
        <f aca="false">IFERROR(VLOOKUP($A199,RA_result!$B$3:$N$62,10,0),"")</f>
        <v/>
      </c>
      <c r="R199" s="58" t="s">
        <v>55</v>
      </c>
      <c r="S199" s="59" t="str">
        <f aca="false">IFERROR(VLOOKUP($A199,RA_result!$B$3:$N$62,4,0),"")</f>
        <v/>
      </c>
      <c r="T199" s="60" t="s">
        <v>56</v>
      </c>
      <c r="U199" s="59" t="str">
        <f aca="false">IFERROR(IF(VLOOKUP($A199,RA_result!$B$3:$N$62,6,0)="",S199*T199,VLOOKUP($A199,RA_result!$B$3:$N$62,6,0)),"")</f>
        <v/>
      </c>
      <c r="V199" s="61" t="s">
        <v>56</v>
      </c>
      <c r="W199" s="62" t="n">
        <f aca="false">IFERROR((S199*30%)/V199,0)</f>
        <v>0</v>
      </c>
      <c r="X199" s="63" t="n">
        <f aca="false">IFERROR(N199/W199,0)</f>
        <v>0</v>
      </c>
      <c r="Y199" s="68"/>
      <c r="Z199" s="57"/>
      <c r="AA199" s="69" t="str">
        <f aca="false">IF(OR(U199="",Y199="",Z199=""),"",IF(AND(U199&gt;Y199,-U199&lt;Z199),"Ok","Not Ok"))</f>
        <v/>
      </c>
      <c r="AB199" s="70"/>
    </row>
    <row r="200" customFormat="false" ht="12.8" hidden="false" customHeight="false" outlineLevel="0" collapsed="false">
      <c r="A200" s="48" t="n">
        <f aca="false">TB_audited!A183</f>
        <v>0</v>
      </c>
      <c r="B200" s="49"/>
      <c r="C200" s="50"/>
      <c r="D200" s="51" t="n">
        <f aca="false">TB_audited!B183</f>
        <v>0</v>
      </c>
      <c r="E200" s="52" t="n">
        <f aca="false">TB_audited!C183</f>
        <v>0</v>
      </c>
      <c r="F200" s="53" t="n">
        <f aca="false">TB_audited!D183</f>
        <v>0</v>
      </c>
      <c r="G200" s="54" t="n">
        <f aca="false">IF($D$8="Interim",TB_audited!G183,TB_audited!E183)</f>
        <v>0</v>
      </c>
      <c r="H200" s="55" t="str">
        <f aca="false">IFERROR(VLOOKUP($A200,RA_result!$B$3:$N$62,11,0),"")</f>
        <v/>
      </c>
      <c r="I200" s="55" t="str">
        <f aca="false">IFERROR(VLOOKUP($A200,RA_result!$B$3:$N$62,12,0),"")</f>
        <v/>
      </c>
      <c r="J200" s="55" t="str">
        <f aca="false">IFERROR(VLOOKUP($A200,RA_result!$B$3:$N$62,13,0),"")</f>
        <v/>
      </c>
      <c r="K200" s="56"/>
      <c r="L200" s="56"/>
      <c r="M200" s="57" t="n">
        <f aca="false">G200</f>
        <v>0</v>
      </c>
      <c r="N200" s="54" t="n">
        <f aca="false">G200-M200</f>
        <v>0</v>
      </c>
      <c r="O200" s="55" t="str">
        <f aca="false">IFERROR(VLOOKUP($A200,RA_result!$B$3:$N$62,7,0),"")</f>
        <v/>
      </c>
      <c r="P200" s="52" t="str">
        <f aca="false">IFERROR(VLOOKUP($A200,RA_result!$B$3:$N$62,9,0),"")</f>
        <v/>
      </c>
      <c r="Q200" s="52" t="str">
        <f aca="false">IFERROR(VLOOKUP($A200,RA_result!$B$3:$N$62,10,0),"")</f>
        <v/>
      </c>
      <c r="R200" s="58" t="s">
        <v>55</v>
      </c>
      <c r="S200" s="59" t="str">
        <f aca="false">IFERROR(VLOOKUP($A200,RA_result!$B$3:$N$62,4,0),"")</f>
        <v/>
      </c>
      <c r="T200" s="60" t="s">
        <v>56</v>
      </c>
      <c r="U200" s="59" t="str">
        <f aca="false">IFERROR(IF(VLOOKUP($A200,RA_result!$B$3:$N$62,6,0)="",S200*T200,VLOOKUP($A200,RA_result!$B$3:$N$62,6,0)),"")</f>
        <v/>
      </c>
      <c r="V200" s="61" t="s">
        <v>56</v>
      </c>
      <c r="W200" s="62" t="n">
        <f aca="false">IFERROR((S200*30%)/V200,0)</f>
        <v>0</v>
      </c>
      <c r="X200" s="63" t="n">
        <f aca="false">IFERROR(N200/W200,0)</f>
        <v>0</v>
      </c>
      <c r="Y200" s="68"/>
      <c r="Z200" s="57"/>
      <c r="AA200" s="69" t="str">
        <f aca="false">IF(OR(U200="",Y200="",Z200=""),"",IF(AND(U200&gt;Y200,-U200&lt;Z200),"Ok","Not Ok"))</f>
        <v/>
      </c>
      <c r="AB200" s="70"/>
    </row>
    <row r="201" customFormat="false" ht="12.8" hidden="false" customHeight="false" outlineLevel="0" collapsed="false">
      <c r="A201" s="48" t="n">
        <f aca="false">TB_audited!A184</f>
        <v>0</v>
      </c>
      <c r="B201" s="49"/>
      <c r="C201" s="50"/>
      <c r="D201" s="51" t="n">
        <f aca="false">TB_audited!B184</f>
        <v>0</v>
      </c>
      <c r="E201" s="52" t="n">
        <f aca="false">TB_audited!C184</f>
        <v>0</v>
      </c>
      <c r="F201" s="53" t="n">
        <f aca="false">TB_audited!D184</f>
        <v>0</v>
      </c>
      <c r="G201" s="54" t="n">
        <f aca="false">IF($D$8="Interim",TB_audited!G184,TB_audited!E184)</f>
        <v>0</v>
      </c>
      <c r="H201" s="55" t="str">
        <f aca="false">IFERROR(VLOOKUP($A201,RA_result!$B$3:$N$62,11,0),"")</f>
        <v/>
      </c>
      <c r="I201" s="55" t="str">
        <f aca="false">IFERROR(VLOOKUP($A201,RA_result!$B$3:$N$62,12,0),"")</f>
        <v/>
      </c>
      <c r="J201" s="55" t="str">
        <f aca="false">IFERROR(VLOOKUP($A201,RA_result!$B$3:$N$62,13,0),"")</f>
        <v/>
      </c>
      <c r="K201" s="56"/>
      <c r="L201" s="56"/>
      <c r="M201" s="57" t="n">
        <f aca="false">G201</f>
        <v>0</v>
      </c>
      <c r="N201" s="54" t="n">
        <f aca="false">G201-M201</f>
        <v>0</v>
      </c>
      <c r="O201" s="55" t="str">
        <f aca="false">IFERROR(VLOOKUP($A201,RA_result!$B$3:$N$62,7,0),"")</f>
        <v/>
      </c>
      <c r="P201" s="52" t="str">
        <f aca="false">IFERROR(VLOOKUP($A201,RA_result!$B$3:$N$62,9,0),"")</f>
        <v/>
      </c>
      <c r="Q201" s="52" t="str">
        <f aca="false">IFERROR(VLOOKUP($A201,RA_result!$B$3:$N$62,10,0),"")</f>
        <v/>
      </c>
      <c r="R201" s="58" t="s">
        <v>55</v>
      </c>
      <c r="S201" s="59" t="str">
        <f aca="false">IFERROR(VLOOKUP($A201,RA_result!$B$3:$N$62,4,0),"")</f>
        <v/>
      </c>
      <c r="T201" s="60" t="s">
        <v>56</v>
      </c>
      <c r="U201" s="59" t="str">
        <f aca="false">IFERROR(IF(VLOOKUP($A201,RA_result!$B$3:$N$62,6,0)="",S201*T201,VLOOKUP($A201,RA_result!$B$3:$N$62,6,0)),"")</f>
        <v/>
      </c>
      <c r="V201" s="61" t="s">
        <v>56</v>
      </c>
      <c r="W201" s="62" t="n">
        <f aca="false">IFERROR((S201*30%)/V201,0)</f>
        <v>0</v>
      </c>
      <c r="X201" s="63" t="n">
        <f aca="false">IFERROR(N201/W201,0)</f>
        <v>0</v>
      </c>
      <c r="Y201" s="68"/>
      <c r="Z201" s="57"/>
      <c r="AA201" s="69" t="str">
        <f aca="false">IF(OR(U201="",Y201="",Z201=""),"",IF(AND(U201&gt;Y201,-U201&lt;Z201),"Ok","Not Ok"))</f>
        <v/>
      </c>
      <c r="AB201" s="70"/>
    </row>
    <row r="202" customFormat="false" ht="12.8" hidden="false" customHeight="false" outlineLevel="0" collapsed="false">
      <c r="A202" s="48" t="n">
        <f aca="false">TB_audited!A185</f>
        <v>0</v>
      </c>
      <c r="B202" s="49"/>
      <c r="C202" s="50"/>
      <c r="D202" s="51" t="n">
        <f aca="false">TB_audited!B185</f>
        <v>0</v>
      </c>
      <c r="E202" s="52" t="n">
        <f aca="false">TB_audited!C185</f>
        <v>0</v>
      </c>
      <c r="F202" s="53" t="n">
        <f aca="false">TB_audited!D185</f>
        <v>0</v>
      </c>
      <c r="G202" s="54" t="n">
        <f aca="false">IF($D$8="Interim",TB_audited!G185,TB_audited!E185)</f>
        <v>0</v>
      </c>
      <c r="H202" s="55" t="str">
        <f aca="false">IFERROR(VLOOKUP($A202,RA_result!$B$3:$N$62,11,0),"")</f>
        <v/>
      </c>
      <c r="I202" s="55" t="str">
        <f aca="false">IFERROR(VLOOKUP($A202,RA_result!$B$3:$N$62,12,0),"")</f>
        <v/>
      </c>
      <c r="J202" s="55" t="str">
        <f aca="false">IFERROR(VLOOKUP($A202,RA_result!$B$3:$N$62,13,0),"")</f>
        <v/>
      </c>
      <c r="K202" s="56"/>
      <c r="L202" s="56"/>
      <c r="M202" s="57" t="n">
        <f aca="false">G202</f>
        <v>0</v>
      </c>
      <c r="N202" s="54" t="n">
        <f aca="false">G202-M202</f>
        <v>0</v>
      </c>
      <c r="O202" s="55" t="str">
        <f aca="false">IFERROR(VLOOKUP($A202,RA_result!$B$3:$N$62,7,0),"")</f>
        <v/>
      </c>
      <c r="P202" s="52" t="str">
        <f aca="false">IFERROR(VLOOKUP($A202,RA_result!$B$3:$N$62,9,0),"")</f>
        <v/>
      </c>
      <c r="Q202" s="52" t="str">
        <f aca="false">IFERROR(VLOOKUP($A202,RA_result!$B$3:$N$62,10,0),"")</f>
        <v/>
      </c>
      <c r="R202" s="58" t="s">
        <v>55</v>
      </c>
      <c r="S202" s="59" t="str">
        <f aca="false">IFERROR(VLOOKUP($A202,RA_result!$B$3:$N$62,4,0),"")</f>
        <v/>
      </c>
      <c r="T202" s="60" t="s">
        <v>56</v>
      </c>
      <c r="U202" s="59" t="str">
        <f aca="false">IFERROR(IF(VLOOKUP($A202,RA_result!$B$3:$N$62,6,0)="",S202*T202,VLOOKUP($A202,RA_result!$B$3:$N$62,6,0)),"")</f>
        <v/>
      </c>
      <c r="V202" s="61" t="s">
        <v>56</v>
      </c>
      <c r="W202" s="62" t="n">
        <f aca="false">IFERROR((S202*30%)/V202,0)</f>
        <v>0</v>
      </c>
      <c r="X202" s="63" t="n">
        <f aca="false">IFERROR(N202/W202,0)</f>
        <v>0</v>
      </c>
      <c r="Y202" s="68"/>
      <c r="Z202" s="57"/>
      <c r="AA202" s="69" t="str">
        <f aca="false">IF(OR(U202="",Y202="",Z202=""),"",IF(AND(U202&gt;Y202,-U202&lt;Z202),"Ok","Not Ok"))</f>
        <v/>
      </c>
      <c r="AB202" s="70"/>
    </row>
    <row r="203" customFormat="false" ht="12.8" hidden="false" customHeight="false" outlineLevel="0" collapsed="false">
      <c r="A203" s="48" t="n">
        <f aca="false">TB_audited!A186</f>
        <v>0</v>
      </c>
      <c r="B203" s="49"/>
      <c r="C203" s="50"/>
      <c r="D203" s="51" t="n">
        <f aca="false">TB_audited!B186</f>
        <v>0</v>
      </c>
      <c r="E203" s="52" t="n">
        <f aca="false">TB_audited!C186</f>
        <v>0</v>
      </c>
      <c r="F203" s="53" t="n">
        <f aca="false">TB_audited!D186</f>
        <v>0</v>
      </c>
      <c r="G203" s="54" t="n">
        <f aca="false">IF($D$8="Interim",TB_audited!G186,TB_audited!E186)</f>
        <v>0</v>
      </c>
      <c r="H203" s="55" t="str">
        <f aca="false">IFERROR(VLOOKUP($A203,RA_result!$B$3:$N$62,11,0),"")</f>
        <v/>
      </c>
      <c r="I203" s="55" t="str">
        <f aca="false">IFERROR(VLOOKUP($A203,RA_result!$B$3:$N$62,12,0),"")</f>
        <v/>
      </c>
      <c r="J203" s="55" t="str">
        <f aca="false">IFERROR(VLOOKUP($A203,RA_result!$B$3:$N$62,13,0),"")</f>
        <v/>
      </c>
      <c r="K203" s="56"/>
      <c r="L203" s="56"/>
      <c r="M203" s="57" t="n">
        <f aca="false">G203</f>
        <v>0</v>
      </c>
      <c r="N203" s="54" t="n">
        <f aca="false">G203-M203</f>
        <v>0</v>
      </c>
      <c r="O203" s="55" t="str">
        <f aca="false">IFERROR(VLOOKUP($A203,RA_result!$B$3:$N$62,7,0),"")</f>
        <v/>
      </c>
      <c r="P203" s="52" t="str">
        <f aca="false">IFERROR(VLOOKUP($A203,RA_result!$B$3:$N$62,9,0),"")</f>
        <v/>
      </c>
      <c r="Q203" s="52" t="str">
        <f aca="false">IFERROR(VLOOKUP($A203,RA_result!$B$3:$N$62,10,0),"")</f>
        <v/>
      </c>
      <c r="R203" s="58" t="s">
        <v>55</v>
      </c>
      <c r="S203" s="59" t="str">
        <f aca="false">IFERROR(VLOOKUP($A203,RA_result!$B$3:$N$62,4,0),"")</f>
        <v/>
      </c>
      <c r="T203" s="60" t="s">
        <v>56</v>
      </c>
      <c r="U203" s="59" t="str">
        <f aca="false">IFERROR(IF(VLOOKUP($A203,RA_result!$B$3:$N$62,6,0)="",S203*T203,VLOOKUP($A203,RA_result!$B$3:$N$62,6,0)),"")</f>
        <v/>
      </c>
      <c r="V203" s="61" t="s">
        <v>56</v>
      </c>
      <c r="W203" s="62" t="n">
        <f aca="false">IFERROR((S203*30%)/V203,0)</f>
        <v>0</v>
      </c>
      <c r="X203" s="63" t="n">
        <f aca="false">IFERROR(N203/W203,0)</f>
        <v>0</v>
      </c>
      <c r="Y203" s="68"/>
      <c r="Z203" s="57"/>
      <c r="AA203" s="69" t="str">
        <f aca="false">IF(OR(U203="",Y203="",Z203=""),"",IF(AND(U203&gt;Y203,-U203&lt;Z203),"Ok","Not Ok"))</f>
        <v/>
      </c>
      <c r="AB203" s="70"/>
    </row>
    <row r="204" customFormat="false" ht="12.8" hidden="false" customHeight="false" outlineLevel="0" collapsed="false">
      <c r="A204" s="48" t="n">
        <f aca="false">TB_audited!A187</f>
        <v>0</v>
      </c>
      <c r="B204" s="49"/>
      <c r="C204" s="50"/>
      <c r="D204" s="51" t="n">
        <f aca="false">TB_audited!B187</f>
        <v>0</v>
      </c>
      <c r="E204" s="52" t="n">
        <f aca="false">TB_audited!C187</f>
        <v>0</v>
      </c>
      <c r="F204" s="53" t="n">
        <f aca="false">TB_audited!D187</f>
        <v>0</v>
      </c>
      <c r="G204" s="54" t="n">
        <f aca="false">IF($D$8="Interim",TB_audited!G187,TB_audited!E187)</f>
        <v>0</v>
      </c>
      <c r="H204" s="55" t="str">
        <f aca="false">IFERROR(VLOOKUP($A204,RA_result!$B$3:$N$62,11,0),"")</f>
        <v/>
      </c>
      <c r="I204" s="55" t="str">
        <f aca="false">IFERROR(VLOOKUP($A204,RA_result!$B$3:$N$62,12,0),"")</f>
        <v/>
      </c>
      <c r="J204" s="55" t="str">
        <f aca="false">IFERROR(VLOOKUP($A204,RA_result!$B$3:$N$62,13,0),"")</f>
        <v/>
      </c>
      <c r="K204" s="56"/>
      <c r="L204" s="56"/>
      <c r="M204" s="57" t="n">
        <f aca="false">G204</f>
        <v>0</v>
      </c>
      <c r="N204" s="54" t="n">
        <f aca="false">G204-M204</f>
        <v>0</v>
      </c>
      <c r="O204" s="55" t="str">
        <f aca="false">IFERROR(VLOOKUP($A204,RA_result!$B$3:$N$62,7,0),"")</f>
        <v/>
      </c>
      <c r="P204" s="52" t="str">
        <f aca="false">IFERROR(VLOOKUP($A204,RA_result!$B$3:$N$62,9,0),"")</f>
        <v/>
      </c>
      <c r="Q204" s="52" t="str">
        <f aca="false">IFERROR(VLOOKUP($A204,RA_result!$B$3:$N$62,10,0),"")</f>
        <v/>
      </c>
      <c r="R204" s="58" t="s">
        <v>55</v>
      </c>
      <c r="S204" s="59" t="str">
        <f aca="false">IFERROR(VLOOKUP($A204,RA_result!$B$3:$N$62,4,0),"")</f>
        <v/>
      </c>
      <c r="T204" s="60" t="s">
        <v>56</v>
      </c>
      <c r="U204" s="59" t="str">
        <f aca="false">IFERROR(IF(VLOOKUP($A204,RA_result!$B$3:$N$62,6,0)="",S204*T204,VLOOKUP($A204,RA_result!$B$3:$N$62,6,0)),"")</f>
        <v/>
      </c>
      <c r="V204" s="61" t="s">
        <v>56</v>
      </c>
      <c r="W204" s="62" t="n">
        <f aca="false">IFERROR((S204*30%)/V204,0)</f>
        <v>0</v>
      </c>
      <c r="X204" s="63" t="n">
        <f aca="false">IFERROR(N204/W204,0)</f>
        <v>0</v>
      </c>
      <c r="Y204" s="68"/>
      <c r="Z204" s="57"/>
      <c r="AA204" s="69" t="str">
        <f aca="false">IF(OR(U204="",Y204="",Z204=""),"",IF(AND(U204&gt;Y204,-U204&lt;Z204),"Ok","Not Ok"))</f>
        <v/>
      </c>
      <c r="AB204" s="70"/>
    </row>
    <row r="205" customFormat="false" ht="12.8" hidden="false" customHeight="false" outlineLevel="0" collapsed="false">
      <c r="A205" s="48" t="n">
        <f aca="false">TB_audited!A188</f>
        <v>0</v>
      </c>
      <c r="B205" s="49"/>
      <c r="C205" s="50"/>
      <c r="D205" s="51" t="n">
        <f aca="false">TB_audited!B188</f>
        <v>0</v>
      </c>
      <c r="E205" s="52" t="n">
        <f aca="false">TB_audited!C188</f>
        <v>0</v>
      </c>
      <c r="F205" s="53" t="n">
        <f aca="false">TB_audited!D188</f>
        <v>0</v>
      </c>
      <c r="G205" s="54" t="n">
        <f aca="false">IF($D$8="Interim",TB_audited!G188,TB_audited!E188)</f>
        <v>0</v>
      </c>
      <c r="H205" s="55" t="str">
        <f aca="false">IFERROR(VLOOKUP($A205,RA_result!$B$3:$N$62,11,0),"")</f>
        <v/>
      </c>
      <c r="I205" s="55" t="str">
        <f aca="false">IFERROR(VLOOKUP($A205,RA_result!$B$3:$N$62,12,0),"")</f>
        <v/>
      </c>
      <c r="J205" s="55" t="str">
        <f aca="false">IFERROR(VLOOKUP($A205,RA_result!$B$3:$N$62,13,0),"")</f>
        <v/>
      </c>
      <c r="K205" s="56"/>
      <c r="L205" s="56"/>
      <c r="M205" s="57" t="n">
        <f aca="false">G205</f>
        <v>0</v>
      </c>
      <c r="N205" s="54" t="n">
        <f aca="false">G205-M205</f>
        <v>0</v>
      </c>
      <c r="O205" s="55" t="str">
        <f aca="false">IFERROR(VLOOKUP($A205,RA_result!$B$3:$N$62,7,0),"")</f>
        <v/>
      </c>
      <c r="P205" s="52" t="str">
        <f aca="false">IFERROR(VLOOKUP($A205,RA_result!$B$3:$N$62,9,0),"")</f>
        <v/>
      </c>
      <c r="Q205" s="52" t="str">
        <f aca="false">IFERROR(VLOOKUP($A205,RA_result!$B$3:$N$62,10,0),"")</f>
        <v/>
      </c>
      <c r="R205" s="58" t="s">
        <v>55</v>
      </c>
      <c r="S205" s="59" t="str">
        <f aca="false">IFERROR(VLOOKUP($A205,RA_result!$B$3:$N$62,4,0),"")</f>
        <v/>
      </c>
      <c r="T205" s="60" t="s">
        <v>56</v>
      </c>
      <c r="U205" s="59" t="str">
        <f aca="false">IFERROR(IF(VLOOKUP($A205,RA_result!$B$3:$N$62,6,0)="",S205*T205,VLOOKUP($A205,RA_result!$B$3:$N$62,6,0)),"")</f>
        <v/>
      </c>
      <c r="V205" s="61" t="s">
        <v>56</v>
      </c>
      <c r="W205" s="62" t="n">
        <f aca="false">IFERROR((S205*30%)/V205,0)</f>
        <v>0</v>
      </c>
      <c r="X205" s="63" t="n">
        <f aca="false">IFERROR(N205/W205,0)</f>
        <v>0</v>
      </c>
      <c r="Y205" s="68"/>
      <c r="Z205" s="57"/>
      <c r="AA205" s="69" t="str">
        <f aca="false">IF(OR(U205="",Y205="",Z205=""),"",IF(AND(U205&gt;Y205,-U205&lt;Z205),"Ok","Not Ok"))</f>
        <v/>
      </c>
      <c r="AB205" s="70"/>
    </row>
    <row r="206" customFormat="false" ht="12.8" hidden="false" customHeight="false" outlineLevel="0" collapsed="false">
      <c r="A206" s="48" t="n">
        <f aca="false">TB_audited!A189</f>
        <v>0</v>
      </c>
      <c r="B206" s="49"/>
      <c r="C206" s="50"/>
      <c r="D206" s="51" t="n">
        <f aca="false">TB_audited!B189</f>
        <v>0</v>
      </c>
      <c r="E206" s="52" t="n">
        <f aca="false">TB_audited!C189</f>
        <v>0</v>
      </c>
      <c r="F206" s="53" t="n">
        <f aca="false">TB_audited!D189</f>
        <v>0</v>
      </c>
      <c r="G206" s="54" t="n">
        <f aca="false">IF($D$8="Interim",TB_audited!G189,TB_audited!E189)</f>
        <v>0</v>
      </c>
      <c r="H206" s="55" t="str">
        <f aca="false">IFERROR(VLOOKUP($A206,RA_result!$B$3:$N$62,11,0),"")</f>
        <v/>
      </c>
      <c r="I206" s="55" t="str">
        <f aca="false">IFERROR(VLOOKUP($A206,RA_result!$B$3:$N$62,12,0),"")</f>
        <v/>
      </c>
      <c r="J206" s="55" t="str">
        <f aca="false">IFERROR(VLOOKUP($A206,RA_result!$B$3:$N$62,13,0),"")</f>
        <v/>
      </c>
      <c r="K206" s="56"/>
      <c r="L206" s="56"/>
      <c r="M206" s="57" t="n">
        <f aca="false">G206</f>
        <v>0</v>
      </c>
      <c r="N206" s="54" t="n">
        <f aca="false">G206-M206</f>
        <v>0</v>
      </c>
      <c r="O206" s="55" t="str">
        <f aca="false">IFERROR(VLOOKUP($A206,RA_result!$B$3:$N$62,7,0),"")</f>
        <v/>
      </c>
      <c r="P206" s="52" t="str">
        <f aca="false">IFERROR(VLOOKUP($A206,RA_result!$B$3:$N$62,9,0),"")</f>
        <v/>
      </c>
      <c r="Q206" s="52" t="str">
        <f aca="false">IFERROR(VLOOKUP($A206,RA_result!$B$3:$N$62,10,0),"")</f>
        <v/>
      </c>
      <c r="R206" s="58" t="s">
        <v>55</v>
      </c>
      <c r="S206" s="59" t="str">
        <f aca="false">IFERROR(VLOOKUP($A206,RA_result!$B$3:$N$62,4,0),"")</f>
        <v/>
      </c>
      <c r="T206" s="60" t="s">
        <v>56</v>
      </c>
      <c r="U206" s="59" t="str">
        <f aca="false">IFERROR(IF(VLOOKUP($A206,RA_result!$B$3:$N$62,6,0)="",S206*T206,VLOOKUP($A206,RA_result!$B$3:$N$62,6,0)),"")</f>
        <v/>
      </c>
      <c r="V206" s="61" t="s">
        <v>56</v>
      </c>
      <c r="W206" s="62" t="n">
        <f aca="false">IFERROR((S206*30%)/V206,0)</f>
        <v>0</v>
      </c>
      <c r="X206" s="63" t="n">
        <f aca="false">IFERROR(N206/W206,0)</f>
        <v>0</v>
      </c>
      <c r="Y206" s="68"/>
      <c r="Z206" s="57"/>
      <c r="AA206" s="69" t="str">
        <f aca="false">IF(OR(U206="",Y206="",Z206=""),"",IF(AND(U206&gt;Y206,-U206&lt;Z206),"Ok","Not Ok"))</f>
        <v/>
      </c>
      <c r="AB206" s="70"/>
    </row>
    <row r="207" customFormat="false" ht="12.8" hidden="false" customHeight="false" outlineLevel="0" collapsed="false">
      <c r="A207" s="48" t="n">
        <f aca="false">TB_audited!A190</f>
        <v>0</v>
      </c>
      <c r="B207" s="49"/>
      <c r="C207" s="50"/>
      <c r="D207" s="51" t="n">
        <f aca="false">TB_audited!B190</f>
        <v>0</v>
      </c>
      <c r="E207" s="52" t="n">
        <f aca="false">TB_audited!C190</f>
        <v>0</v>
      </c>
      <c r="F207" s="53" t="n">
        <f aca="false">TB_audited!D190</f>
        <v>0</v>
      </c>
      <c r="G207" s="54" t="n">
        <f aca="false">IF($D$8="Interim",TB_audited!G190,TB_audited!E190)</f>
        <v>0</v>
      </c>
      <c r="H207" s="55" t="str">
        <f aca="false">IFERROR(VLOOKUP($A207,RA_result!$B$3:$N$62,11,0),"")</f>
        <v/>
      </c>
      <c r="I207" s="55" t="str">
        <f aca="false">IFERROR(VLOOKUP($A207,RA_result!$B$3:$N$62,12,0),"")</f>
        <v/>
      </c>
      <c r="J207" s="55" t="str">
        <f aca="false">IFERROR(VLOOKUP($A207,RA_result!$B$3:$N$62,13,0),"")</f>
        <v/>
      </c>
      <c r="K207" s="56"/>
      <c r="L207" s="56"/>
      <c r="M207" s="57" t="n">
        <f aca="false">G207</f>
        <v>0</v>
      </c>
      <c r="N207" s="54" t="n">
        <f aca="false">G207-M207</f>
        <v>0</v>
      </c>
      <c r="O207" s="55" t="str">
        <f aca="false">IFERROR(VLOOKUP($A207,RA_result!$B$3:$N$62,7,0),"")</f>
        <v/>
      </c>
      <c r="P207" s="52" t="str">
        <f aca="false">IFERROR(VLOOKUP($A207,RA_result!$B$3:$N$62,9,0),"")</f>
        <v/>
      </c>
      <c r="Q207" s="52" t="str">
        <f aca="false">IFERROR(VLOOKUP($A207,RA_result!$B$3:$N$62,10,0),"")</f>
        <v/>
      </c>
      <c r="R207" s="58" t="s">
        <v>55</v>
      </c>
      <c r="S207" s="59" t="str">
        <f aca="false">IFERROR(VLOOKUP($A207,RA_result!$B$3:$N$62,4,0),"")</f>
        <v/>
      </c>
      <c r="T207" s="60" t="s">
        <v>56</v>
      </c>
      <c r="U207" s="59" t="str">
        <f aca="false">IFERROR(IF(VLOOKUP($A207,RA_result!$B$3:$N$62,6,0)="",S207*T207,VLOOKUP($A207,RA_result!$B$3:$N$62,6,0)),"")</f>
        <v/>
      </c>
      <c r="V207" s="61" t="s">
        <v>56</v>
      </c>
      <c r="W207" s="62" t="n">
        <f aca="false">IFERROR((S207*30%)/V207,0)</f>
        <v>0</v>
      </c>
      <c r="X207" s="63" t="n">
        <f aca="false">IFERROR(N207/W207,0)</f>
        <v>0</v>
      </c>
      <c r="Y207" s="68"/>
      <c r="Z207" s="57"/>
      <c r="AA207" s="69" t="str">
        <f aca="false">IF(OR(U207="",Y207="",Z207=""),"",IF(AND(U207&gt;Y207,-U207&lt;Z207),"Ok","Not Ok"))</f>
        <v/>
      </c>
      <c r="AB207" s="70"/>
    </row>
    <row r="208" customFormat="false" ht="12.8" hidden="false" customHeight="false" outlineLevel="0" collapsed="false">
      <c r="A208" s="48" t="n">
        <f aca="false">TB_audited!A191</f>
        <v>0</v>
      </c>
      <c r="B208" s="49"/>
      <c r="C208" s="50"/>
      <c r="D208" s="51" t="n">
        <f aca="false">TB_audited!B191</f>
        <v>0</v>
      </c>
      <c r="E208" s="52" t="n">
        <f aca="false">TB_audited!C191</f>
        <v>0</v>
      </c>
      <c r="F208" s="53" t="n">
        <f aca="false">TB_audited!D191</f>
        <v>0</v>
      </c>
      <c r="G208" s="54" t="n">
        <f aca="false">IF($D$8="Interim",TB_audited!G191,TB_audited!E191)</f>
        <v>0</v>
      </c>
      <c r="H208" s="55" t="str">
        <f aca="false">IFERROR(VLOOKUP($A208,RA_result!$B$3:$N$62,11,0),"")</f>
        <v/>
      </c>
      <c r="I208" s="55" t="str">
        <f aca="false">IFERROR(VLOOKUP($A208,RA_result!$B$3:$N$62,12,0),"")</f>
        <v/>
      </c>
      <c r="J208" s="55" t="str">
        <f aca="false">IFERROR(VLOOKUP($A208,RA_result!$B$3:$N$62,13,0),"")</f>
        <v/>
      </c>
      <c r="K208" s="56"/>
      <c r="L208" s="56"/>
      <c r="M208" s="57" t="n">
        <f aca="false">G208</f>
        <v>0</v>
      </c>
      <c r="N208" s="54" t="n">
        <f aca="false">G208-M208</f>
        <v>0</v>
      </c>
      <c r="O208" s="55" t="str">
        <f aca="false">IFERROR(VLOOKUP($A208,RA_result!$B$3:$N$62,7,0),"")</f>
        <v/>
      </c>
      <c r="P208" s="52" t="str">
        <f aca="false">IFERROR(VLOOKUP($A208,RA_result!$B$3:$N$62,9,0),"")</f>
        <v/>
      </c>
      <c r="Q208" s="52" t="str">
        <f aca="false">IFERROR(VLOOKUP($A208,RA_result!$B$3:$N$62,10,0),"")</f>
        <v/>
      </c>
      <c r="R208" s="58" t="s">
        <v>55</v>
      </c>
      <c r="S208" s="59" t="str">
        <f aca="false">IFERROR(VLOOKUP($A208,RA_result!$B$3:$N$62,4,0),"")</f>
        <v/>
      </c>
      <c r="T208" s="60" t="s">
        <v>56</v>
      </c>
      <c r="U208" s="59" t="str">
        <f aca="false">IFERROR(IF(VLOOKUP($A208,RA_result!$B$3:$N$62,6,0)="",S208*T208,VLOOKUP($A208,RA_result!$B$3:$N$62,6,0)),"")</f>
        <v/>
      </c>
      <c r="V208" s="61" t="s">
        <v>56</v>
      </c>
      <c r="W208" s="62" t="n">
        <f aca="false">IFERROR((S208*30%)/V208,0)</f>
        <v>0</v>
      </c>
      <c r="X208" s="63" t="n">
        <f aca="false">IFERROR(N208/W208,0)</f>
        <v>0</v>
      </c>
      <c r="Y208" s="68"/>
      <c r="Z208" s="57"/>
      <c r="AA208" s="69" t="str">
        <f aca="false">IF(OR(U208="",Y208="",Z208=""),"",IF(AND(U208&gt;Y208,-U208&lt;Z208),"Ok","Not Ok"))</f>
        <v/>
      </c>
      <c r="AB208" s="70"/>
    </row>
    <row r="209" customFormat="false" ht="12.8" hidden="false" customHeight="false" outlineLevel="0" collapsed="false">
      <c r="A209" s="48" t="n">
        <f aca="false">TB_audited!A192</f>
        <v>0</v>
      </c>
      <c r="B209" s="49"/>
      <c r="C209" s="50"/>
      <c r="D209" s="51" t="n">
        <f aca="false">TB_audited!B192</f>
        <v>0</v>
      </c>
      <c r="E209" s="52" t="n">
        <f aca="false">TB_audited!C192</f>
        <v>0</v>
      </c>
      <c r="F209" s="53" t="n">
        <f aca="false">TB_audited!D192</f>
        <v>0</v>
      </c>
      <c r="G209" s="54" t="n">
        <f aca="false">IF($D$8="Interim",TB_audited!G192,TB_audited!E192)</f>
        <v>0</v>
      </c>
      <c r="H209" s="55" t="str">
        <f aca="false">IFERROR(VLOOKUP($A209,RA_result!$B$3:$N$62,11,0),"")</f>
        <v/>
      </c>
      <c r="I209" s="55" t="str">
        <f aca="false">IFERROR(VLOOKUP($A209,RA_result!$B$3:$N$62,12,0),"")</f>
        <v/>
      </c>
      <c r="J209" s="55" t="str">
        <f aca="false">IFERROR(VLOOKUP($A209,RA_result!$B$3:$N$62,13,0),"")</f>
        <v/>
      </c>
      <c r="K209" s="56"/>
      <c r="L209" s="56"/>
      <c r="M209" s="57" t="n">
        <f aca="false">G209</f>
        <v>0</v>
      </c>
      <c r="N209" s="54" t="n">
        <f aca="false">G209-M209</f>
        <v>0</v>
      </c>
      <c r="O209" s="55" t="str">
        <f aca="false">IFERROR(VLOOKUP($A209,RA_result!$B$3:$N$62,7,0),"")</f>
        <v/>
      </c>
      <c r="P209" s="52" t="str">
        <f aca="false">IFERROR(VLOOKUP($A209,RA_result!$B$3:$N$62,9,0),"")</f>
        <v/>
      </c>
      <c r="Q209" s="52" t="str">
        <f aca="false">IFERROR(VLOOKUP($A209,RA_result!$B$3:$N$62,10,0),"")</f>
        <v/>
      </c>
      <c r="R209" s="58" t="s">
        <v>55</v>
      </c>
      <c r="S209" s="59" t="str">
        <f aca="false">IFERROR(VLOOKUP($A209,RA_result!$B$3:$N$62,4,0),"")</f>
        <v/>
      </c>
      <c r="T209" s="60" t="s">
        <v>56</v>
      </c>
      <c r="U209" s="59" t="str">
        <f aca="false">IFERROR(IF(VLOOKUP($A209,RA_result!$B$3:$N$62,6,0)="",S209*T209,VLOOKUP($A209,RA_result!$B$3:$N$62,6,0)),"")</f>
        <v/>
      </c>
      <c r="V209" s="61" t="s">
        <v>56</v>
      </c>
      <c r="W209" s="62" t="n">
        <f aca="false">IFERROR((S209*30%)/V209,0)</f>
        <v>0</v>
      </c>
      <c r="X209" s="63" t="n">
        <f aca="false">IFERROR(N209/W209,0)</f>
        <v>0</v>
      </c>
      <c r="Y209" s="68"/>
      <c r="Z209" s="57"/>
      <c r="AA209" s="69" t="str">
        <f aca="false">IF(OR(U209="",Y209="",Z209=""),"",IF(AND(U209&gt;Y209,-U209&lt;Z209),"Ok","Not Ok"))</f>
        <v/>
      </c>
      <c r="AB209" s="70"/>
    </row>
    <row r="210" customFormat="false" ht="12.8" hidden="false" customHeight="false" outlineLevel="0" collapsed="false">
      <c r="A210" s="48" t="n">
        <f aca="false">TB_audited!A193</f>
        <v>0</v>
      </c>
      <c r="B210" s="49"/>
      <c r="C210" s="50"/>
      <c r="D210" s="51" t="n">
        <f aca="false">TB_audited!B193</f>
        <v>0</v>
      </c>
      <c r="E210" s="52" t="n">
        <f aca="false">TB_audited!C193</f>
        <v>0</v>
      </c>
      <c r="F210" s="53" t="n">
        <f aca="false">TB_audited!D193</f>
        <v>0</v>
      </c>
      <c r="G210" s="54" t="n">
        <f aca="false">IF($D$8="Interim",TB_audited!G193,TB_audited!E193)</f>
        <v>0</v>
      </c>
      <c r="H210" s="55" t="str">
        <f aca="false">IFERROR(VLOOKUP($A210,RA_result!$B$3:$N$62,11,0),"")</f>
        <v/>
      </c>
      <c r="I210" s="55" t="str">
        <f aca="false">IFERROR(VLOOKUP($A210,RA_result!$B$3:$N$62,12,0),"")</f>
        <v/>
      </c>
      <c r="J210" s="55" t="str">
        <f aca="false">IFERROR(VLOOKUP($A210,RA_result!$B$3:$N$62,13,0),"")</f>
        <v/>
      </c>
      <c r="K210" s="56"/>
      <c r="L210" s="56"/>
      <c r="M210" s="57" t="n">
        <f aca="false">G210</f>
        <v>0</v>
      </c>
      <c r="N210" s="54" t="n">
        <f aca="false">G210-M210</f>
        <v>0</v>
      </c>
      <c r="O210" s="55" t="str">
        <f aca="false">IFERROR(VLOOKUP($A210,RA_result!$B$3:$N$62,7,0),"")</f>
        <v/>
      </c>
      <c r="P210" s="52" t="str">
        <f aca="false">IFERROR(VLOOKUP($A210,RA_result!$B$3:$N$62,9,0),"")</f>
        <v/>
      </c>
      <c r="Q210" s="52" t="str">
        <f aca="false">IFERROR(VLOOKUP($A210,RA_result!$B$3:$N$62,10,0),"")</f>
        <v/>
      </c>
      <c r="R210" s="58" t="s">
        <v>55</v>
      </c>
      <c r="S210" s="59" t="str">
        <f aca="false">IFERROR(VLOOKUP($A210,RA_result!$B$3:$N$62,4,0),"")</f>
        <v/>
      </c>
      <c r="T210" s="60" t="s">
        <v>56</v>
      </c>
      <c r="U210" s="59" t="str">
        <f aca="false">IFERROR(IF(VLOOKUP($A210,RA_result!$B$3:$N$62,6,0)="",S210*T210,VLOOKUP($A210,RA_result!$B$3:$N$62,6,0)),"")</f>
        <v/>
      </c>
      <c r="V210" s="61" t="s">
        <v>56</v>
      </c>
      <c r="W210" s="62" t="n">
        <f aca="false">IFERROR((S210*30%)/V210,0)</f>
        <v>0</v>
      </c>
      <c r="X210" s="63" t="n">
        <f aca="false">IFERROR(N210/W210,0)</f>
        <v>0</v>
      </c>
      <c r="Y210" s="68"/>
      <c r="Z210" s="57"/>
      <c r="AA210" s="69" t="str">
        <f aca="false">IF(OR(U210="",Y210="",Z210=""),"",IF(AND(U210&gt;Y210,-U210&lt;Z210),"Ok","Not Ok"))</f>
        <v/>
      </c>
      <c r="AB210" s="70"/>
    </row>
    <row r="211" customFormat="false" ht="12.8" hidden="false" customHeight="false" outlineLevel="0" collapsed="false">
      <c r="A211" s="48" t="n">
        <f aca="false">TB_audited!A194</f>
        <v>0</v>
      </c>
      <c r="B211" s="49"/>
      <c r="C211" s="50"/>
      <c r="D211" s="51" t="n">
        <f aca="false">TB_audited!B194</f>
        <v>0</v>
      </c>
      <c r="E211" s="52" t="n">
        <f aca="false">TB_audited!C194</f>
        <v>0</v>
      </c>
      <c r="F211" s="53" t="n">
        <f aca="false">TB_audited!D194</f>
        <v>0</v>
      </c>
      <c r="G211" s="54" t="n">
        <f aca="false">IF($D$8="Interim",TB_audited!G194,TB_audited!E194)</f>
        <v>0</v>
      </c>
      <c r="H211" s="55" t="str">
        <f aca="false">IFERROR(VLOOKUP($A211,RA_result!$B$3:$N$62,11,0),"")</f>
        <v/>
      </c>
      <c r="I211" s="55" t="str">
        <f aca="false">IFERROR(VLOOKUP($A211,RA_result!$B$3:$N$62,12,0),"")</f>
        <v/>
      </c>
      <c r="J211" s="55" t="str">
        <f aca="false">IFERROR(VLOOKUP($A211,RA_result!$B$3:$N$62,13,0),"")</f>
        <v/>
      </c>
      <c r="K211" s="56"/>
      <c r="L211" s="56"/>
      <c r="M211" s="57" t="n">
        <f aca="false">G211</f>
        <v>0</v>
      </c>
      <c r="N211" s="54" t="n">
        <f aca="false">G211-M211</f>
        <v>0</v>
      </c>
      <c r="O211" s="55" t="str">
        <f aca="false">IFERROR(VLOOKUP($A211,RA_result!$B$3:$N$62,7,0),"")</f>
        <v/>
      </c>
      <c r="P211" s="52" t="str">
        <f aca="false">IFERROR(VLOOKUP($A211,RA_result!$B$3:$N$62,9,0),"")</f>
        <v/>
      </c>
      <c r="Q211" s="52" t="str">
        <f aca="false">IFERROR(VLOOKUP($A211,RA_result!$B$3:$N$62,10,0),"")</f>
        <v/>
      </c>
      <c r="R211" s="58" t="s">
        <v>55</v>
      </c>
      <c r="S211" s="59" t="str">
        <f aca="false">IFERROR(VLOOKUP($A211,RA_result!$B$3:$N$62,4,0),"")</f>
        <v/>
      </c>
      <c r="T211" s="60" t="s">
        <v>56</v>
      </c>
      <c r="U211" s="59" t="str">
        <f aca="false">IFERROR(IF(VLOOKUP($A211,RA_result!$B$3:$N$62,6,0)="",S211*T211,VLOOKUP($A211,RA_result!$B$3:$N$62,6,0)),"")</f>
        <v/>
      </c>
      <c r="V211" s="61" t="s">
        <v>56</v>
      </c>
      <c r="W211" s="62" t="n">
        <f aca="false">IFERROR((S211*30%)/V211,0)</f>
        <v>0</v>
      </c>
      <c r="X211" s="63" t="n">
        <f aca="false">IFERROR(N211/W211,0)</f>
        <v>0</v>
      </c>
      <c r="Y211" s="68"/>
      <c r="Z211" s="57"/>
      <c r="AA211" s="69" t="str">
        <f aca="false">IF(OR(U211="",Y211="",Z211=""),"",IF(AND(U211&gt;Y211,-U211&lt;Z211),"Ok","Not Ok"))</f>
        <v/>
      </c>
      <c r="AB211" s="70"/>
    </row>
    <row r="212" customFormat="false" ht="12.8" hidden="false" customHeight="false" outlineLevel="0" collapsed="false">
      <c r="A212" s="48" t="n">
        <f aca="false">TB_audited!A195</f>
        <v>0</v>
      </c>
      <c r="B212" s="49"/>
      <c r="C212" s="50"/>
      <c r="D212" s="51" t="n">
        <f aca="false">TB_audited!B195</f>
        <v>0</v>
      </c>
      <c r="E212" s="52" t="n">
        <f aca="false">TB_audited!C195</f>
        <v>0</v>
      </c>
      <c r="F212" s="53" t="n">
        <f aca="false">TB_audited!D195</f>
        <v>0</v>
      </c>
      <c r="G212" s="54" t="n">
        <f aca="false">IF($D$8="Interim",TB_audited!G195,TB_audited!E195)</f>
        <v>0</v>
      </c>
      <c r="H212" s="55" t="str">
        <f aca="false">IFERROR(VLOOKUP($A212,RA_result!$B$3:$N$62,11,0),"")</f>
        <v/>
      </c>
      <c r="I212" s="55" t="str">
        <f aca="false">IFERROR(VLOOKUP($A212,RA_result!$B$3:$N$62,12,0),"")</f>
        <v/>
      </c>
      <c r="J212" s="55" t="str">
        <f aca="false">IFERROR(VLOOKUP($A212,RA_result!$B$3:$N$62,13,0),"")</f>
        <v/>
      </c>
      <c r="K212" s="56"/>
      <c r="L212" s="56"/>
      <c r="M212" s="57" t="n">
        <f aca="false">G212</f>
        <v>0</v>
      </c>
      <c r="N212" s="54" t="n">
        <f aca="false">G212-M212</f>
        <v>0</v>
      </c>
      <c r="O212" s="55" t="str">
        <f aca="false">IFERROR(VLOOKUP($A212,RA_result!$B$3:$N$62,7,0),"")</f>
        <v/>
      </c>
      <c r="P212" s="52" t="str">
        <f aca="false">IFERROR(VLOOKUP($A212,RA_result!$B$3:$N$62,9,0),"")</f>
        <v/>
      </c>
      <c r="Q212" s="52" t="str">
        <f aca="false">IFERROR(VLOOKUP($A212,RA_result!$B$3:$N$62,10,0),"")</f>
        <v/>
      </c>
      <c r="R212" s="58" t="s">
        <v>55</v>
      </c>
      <c r="S212" s="59" t="str">
        <f aca="false">IFERROR(VLOOKUP($A212,RA_result!$B$3:$N$62,4,0),"")</f>
        <v/>
      </c>
      <c r="T212" s="60" t="s">
        <v>56</v>
      </c>
      <c r="U212" s="59" t="str">
        <f aca="false">IFERROR(IF(VLOOKUP($A212,RA_result!$B$3:$N$62,6,0)="",S212*T212,VLOOKUP($A212,RA_result!$B$3:$N$62,6,0)),"")</f>
        <v/>
      </c>
      <c r="V212" s="61" t="s">
        <v>56</v>
      </c>
      <c r="W212" s="62" t="n">
        <f aca="false">IFERROR((S212*30%)/V212,0)</f>
        <v>0</v>
      </c>
      <c r="X212" s="63" t="n">
        <f aca="false">IFERROR(N212/W212,0)</f>
        <v>0</v>
      </c>
      <c r="Y212" s="68"/>
      <c r="Z212" s="57"/>
      <c r="AA212" s="69" t="str">
        <f aca="false">IF(OR(U212="",Y212="",Z212=""),"",IF(AND(U212&gt;Y212,-U212&lt;Z212),"Ok","Not Ok"))</f>
        <v/>
      </c>
      <c r="AB212" s="70"/>
    </row>
    <row r="213" customFormat="false" ht="12.8" hidden="false" customHeight="false" outlineLevel="0" collapsed="false">
      <c r="A213" s="48" t="n">
        <f aca="false">TB_audited!A196</f>
        <v>0</v>
      </c>
      <c r="B213" s="49"/>
      <c r="C213" s="50"/>
      <c r="D213" s="51" t="n">
        <f aca="false">TB_audited!B196</f>
        <v>0</v>
      </c>
      <c r="E213" s="52" t="n">
        <f aca="false">TB_audited!C196</f>
        <v>0</v>
      </c>
      <c r="F213" s="53" t="n">
        <f aca="false">TB_audited!D196</f>
        <v>0</v>
      </c>
      <c r="G213" s="54" t="n">
        <f aca="false">IF($D$8="Interim",TB_audited!G196,TB_audited!E196)</f>
        <v>0</v>
      </c>
      <c r="H213" s="55" t="str">
        <f aca="false">IFERROR(VLOOKUP($A213,RA_result!$B$3:$N$62,11,0),"")</f>
        <v/>
      </c>
      <c r="I213" s="55" t="str">
        <f aca="false">IFERROR(VLOOKUP($A213,RA_result!$B$3:$N$62,12,0),"")</f>
        <v/>
      </c>
      <c r="J213" s="55" t="str">
        <f aca="false">IFERROR(VLOOKUP($A213,RA_result!$B$3:$N$62,13,0),"")</f>
        <v/>
      </c>
      <c r="K213" s="56"/>
      <c r="L213" s="56"/>
      <c r="M213" s="57" t="n">
        <f aca="false">G213</f>
        <v>0</v>
      </c>
      <c r="N213" s="54" t="n">
        <f aca="false">G213-M213</f>
        <v>0</v>
      </c>
      <c r="O213" s="55" t="str">
        <f aca="false">IFERROR(VLOOKUP($A213,RA_result!$B$3:$N$62,7,0),"")</f>
        <v/>
      </c>
      <c r="P213" s="52" t="str">
        <f aca="false">IFERROR(VLOOKUP($A213,RA_result!$B$3:$N$62,9,0),"")</f>
        <v/>
      </c>
      <c r="Q213" s="52" t="str">
        <f aca="false">IFERROR(VLOOKUP($A213,RA_result!$B$3:$N$62,10,0),"")</f>
        <v/>
      </c>
      <c r="R213" s="58" t="s">
        <v>55</v>
      </c>
      <c r="S213" s="59" t="str">
        <f aca="false">IFERROR(VLOOKUP($A213,RA_result!$B$3:$N$62,4,0),"")</f>
        <v/>
      </c>
      <c r="T213" s="60" t="s">
        <v>56</v>
      </c>
      <c r="U213" s="59" t="str">
        <f aca="false">IFERROR(IF(VLOOKUP($A213,RA_result!$B$3:$N$62,6,0)="",S213*T213,VLOOKUP($A213,RA_result!$B$3:$N$62,6,0)),"")</f>
        <v/>
      </c>
      <c r="V213" s="61" t="s">
        <v>56</v>
      </c>
      <c r="W213" s="62" t="n">
        <f aca="false">IFERROR((S213*30%)/V213,0)</f>
        <v>0</v>
      </c>
      <c r="X213" s="63" t="n">
        <f aca="false">IFERROR(N213/W213,0)</f>
        <v>0</v>
      </c>
      <c r="Y213" s="68"/>
      <c r="Z213" s="57"/>
      <c r="AA213" s="69" t="str">
        <f aca="false">IF(OR(U213="",Y213="",Z213=""),"",IF(AND(U213&gt;Y213,-U213&lt;Z213),"Ok","Not Ok"))</f>
        <v/>
      </c>
      <c r="AB213" s="70"/>
    </row>
    <row r="214" customFormat="false" ht="12.8" hidden="false" customHeight="false" outlineLevel="0" collapsed="false">
      <c r="A214" s="48" t="n">
        <f aca="false">TB_audited!A197</f>
        <v>0</v>
      </c>
      <c r="B214" s="49"/>
      <c r="C214" s="50"/>
      <c r="D214" s="51" t="n">
        <f aca="false">TB_audited!B197</f>
        <v>0</v>
      </c>
      <c r="E214" s="52" t="n">
        <f aca="false">TB_audited!C197</f>
        <v>0</v>
      </c>
      <c r="F214" s="53" t="n">
        <f aca="false">TB_audited!D197</f>
        <v>0</v>
      </c>
      <c r="G214" s="54" t="n">
        <f aca="false">IF($D$8="Interim",TB_audited!G197,TB_audited!E197)</f>
        <v>0</v>
      </c>
      <c r="H214" s="55" t="str">
        <f aca="false">IFERROR(VLOOKUP($A214,RA_result!$B$3:$N$62,11,0),"")</f>
        <v/>
      </c>
      <c r="I214" s="55" t="str">
        <f aca="false">IFERROR(VLOOKUP($A214,RA_result!$B$3:$N$62,12,0),"")</f>
        <v/>
      </c>
      <c r="J214" s="55" t="str">
        <f aca="false">IFERROR(VLOOKUP($A214,RA_result!$B$3:$N$62,13,0),"")</f>
        <v/>
      </c>
      <c r="K214" s="56"/>
      <c r="L214" s="56"/>
      <c r="M214" s="57" t="n">
        <f aca="false">G214</f>
        <v>0</v>
      </c>
      <c r="N214" s="54" t="n">
        <f aca="false">G214-M214</f>
        <v>0</v>
      </c>
      <c r="O214" s="55" t="str">
        <f aca="false">IFERROR(VLOOKUP($A214,RA_result!$B$3:$N$62,7,0),"")</f>
        <v/>
      </c>
      <c r="P214" s="52" t="str">
        <f aca="false">IFERROR(VLOOKUP($A214,RA_result!$B$3:$N$62,9,0),"")</f>
        <v/>
      </c>
      <c r="Q214" s="52" t="str">
        <f aca="false">IFERROR(VLOOKUP($A214,RA_result!$B$3:$N$62,10,0),"")</f>
        <v/>
      </c>
      <c r="R214" s="58" t="s">
        <v>55</v>
      </c>
      <c r="S214" s="59" t="str">
        <f aca="false">IFERROR(VLOOKUP($A214,RA_result!$B$3:$N$62,4,0),"")</f>
        <v/>
      </c>
      <c r="T214" s="60" t="s">
        <v>56</v>
      </c>
      <c r="U214" s="59" t="str">
        <f aca="false">IFERROR(IF(VLOOKUP($A214,RA_result!$B$3:$N$62,6,0)="",S214*T214,VLOOKUP($A214,RA_result!$B$3:$N$62,6,0)),"")</f>
        <v/>
      </c>
      <c r="V214" s="61" t="s">
        <v>56</v>
      </c>
      <c r="W214" s="62" t="n">
        <f aca="false">IFERROR((S214*30%)/V214,0)</f>
        <v>0</v>
      </c>
      <c r="X214" s="63" t="n">
        <f aca="false">IFERROR(N214/W214,0)</f>
        <v>0</v>
      </c>
      <c r="Y214" s="68"/>
      <c r="Z214" s="57"/>
      <c r="AA214" s="69" t="str">
        <f aca="false">IF(OR(U214="",Y214="",Z214=""),"",IF(AND(U214&gt;Y214,-U214&lt;Z214),"Ok","Not Ok"))</f>
        <v/>
      </c>
      <c r="AB214" s="70"/>
    </row>
    <row r="215" customFormat="false" ht="12.8" hidden="false" customHeight="false" outlineLevel="0" collapsed="false">
      <c r="A215" s="48" t="n">
        <f aca="false">TB_audited!A198</f>
        <v>0</v>
      </c>
      <c r="B215" s="49"/>
      <c r="C215" s="50"/>
      <c r="D215" s="51" t="n">
        <f aca="false">TB_audited!B198</f>
        <v>0</v>
      </c>
      <c r="E215" s="52" t="n">
        <f aca="false">TB_audited!C198</f>
        <v>0</v>
      </c>
      <c r="F215" s="53" t="n">
        <f aca="false">TB_audited!D198</f>
        <v>0</v>
      </c>
      <c r="G215" s="54" t="n">
        <f aca="false">IF($D$8="Interim",TB_audited!G198,TB_audited!E198)</f>
        <v>0</v>
      </c>
      <c r="H215" s="55" t="str">
        <f aca="false">IFERROR(VLOOKUP($A215,RA_result!$B$3:$N$62,11,0),"")</f>
        <v/>
      </c>
      <c r="I215" s="55" t="str">
        <f aca="false">IFERROR(VLOOKUP($A215,RA_result!$B$3:$N$62,12,0),"")</f>
        <v/>
      </c>
      <c r="J215" s="55" t="str">
        <f aca="false">IFERROR(VLOOKUP($A215,RA_result!$B$3:$N$62,13,0),"")</f>
        <v/>
      </c>
      <c r="K215" s="56"/>
      <c r="L215" s="56"/>
      <c r="M215" s="57" t="n">
        <f aca="false">G215</f>
        <v>0</v>
      </c>
      <c r="N215" s="54" t="n">
        <f aca="false">G215-M215</f>
        <v>0</v>
      </c>
      <c r="O215" s="55" t="str">
        <f aca="false">IFERROR(VLOOKUP($A215,RA_result!$B$3:$N$62,7,0),"")</f>
        <v/>
      </c>
      <c r="P215" s="52" t="str">
        <f aca="false">IFERROR(VLOOKUP($A215,RA_result!$B$3:$N$62,9,0),"")</f>
        <v/>
      </c>
      <c r="Q215" s="52" t="str">
        <f aca="false">IFERROR(VLOOKUP($A215,RA_result!$B$3:$N$62,10,0),"")</f>
        <v/>
      </c>
      <c r="R215" s="58" t="s">
        <v>55</v>
      </c>
      <c r="S215" s="59" t="str">
        <f aca="false">IFERROR(VLOOKUP($A215,RA_result!$B$3:$N$62,4,0),"")</f>
        <v/>
      </c>
      <c r="T215" s="60" t="s">
        <v>56</v>
      </c>
      <c r="U215" s="59" t="str">
        <f aca="false">IFERROR(IF(VLOOKUP($A215,RA_result!$B$3:$N$62,6,0)="",S215*T215,VLOOKUP($A215,RA_result!$B$3:$N$62,6,0)),"")</f>
        <v/>
      </c>
      <c r="V215" s="61" t="s">
        <v>56</v>
      </c>
      <c r="W215" s="62" t="n">
        <f aca="false">IFERROR((S215*30%)/V215,0)</f>
        <v>0</v>
      </c>
      <c r="X215" s="63" t="n">
        <f aca="false">IFERROR(N215/W215,0)</f>
        <v>0</v>
      </c>
      <c r="Y215" s="68"/>
      <c r="Z215" s="57"/>
      <c r="AA215" s="69" t="str">
        <f aca="false">IF(OR(U215="",Y215="",Z215=""),"",IF(AND(U215&gt;Y215,-U215&lt;Z215),"Ok","Not Ok"))</f>
        <v/>
      </c>
      <c r="AB215" s="70"/>
    </row>
    <row r="216" customFormat="false" ht="12.8" hidden="false" customHeight="false" outlineLevel="0" collapsed="false">
      <c r="A216" s="48" t="n">
        <f aca="false">TB_audited!A199</f>
        <v>0</v>
      </c>
      <c r="B216" s="49"/>
      <c r="C216" s="50"/>
      <c r="D216" s="51" t="n">
        <f aca="false">TB_audited!B199</f>
        <v>0</v>
      </c>
      <c r="E216" s="52" t="n">
        <f aca="false">TB_audited!C199</f>
        <v>0</v>
      </c>
      <c r="F216" s="53" t="n">
        <f aca="false">TB_audited!D199</f>
        <v>0</v>
      </c>
      <c r="G216" s="54" t="n">
        <f aca="false">IF($D$8="Interim",TB_audited!G199,TB_audited!E199)</f>
        <v>0</v>
      </c>
      <c r="H216" s="55" t="str">
        <f aca="false">IFERROR(VLOOKUP($A216,RA_result!$B$3:$N$62,11,0),"")</f>
        <v/>
      </c>
      <c r="I216" s="55" t="str">
        <f aca="false">IFERROR(VLOOKUP($A216,RA_result!$B$3:$N$62,12,0),"")</f>
        <v/>
      </c>
      <c r="J216" s="55" t="str">
        <f aca="false">IFERROR(VLOOKUP($A216,RA_result!$B$3:$N$62,13,0),"")</f>
        <v/>
      </c>
      <c r="K216" s="56"/>
      <c r="L216" s="56"/>
      <c r="M216" s="57" t="n">
        <f aca="false">G216</f>
        <v>0</v>
      </c>
      <c r="N216" s="54" t="n">
        <f aca="false">G216-M216</f>
        <v>0</v>
      </c>
      <c r="O216" s="55" t="str">
        <f aca="false">IFERROR(VLOOKUP($A216,RA_result!$B$3:$N$62,7,0),"")</f>
        <v/>
      </c>
      <c r="P216" s="52" t="str">
        <f aca="false">IFERROR(VLOOKUP($A216,RA_result!$B$3:$N$62,9,0),"")</f>
        <v/>
      </c>
      <c r="Q216" s="52" t="str">
        <f aca="false">IFERROR(VLOOKUP($A216,RA_result!$B$3:$N$62,10,0),"")</f>
        <v/>
      </c>
      <c r="R216" s="58" t="s">
        <v>55</v>
      </c>
      <c r="S216" s="59" t="str">
        <f aca="false">IFERROR(VLOOKUP($A216,RA_result!$B$3:$N$62,4,0),"")</f>
        <v/>
      </c>
      <c r="T216" s="60" t="s">
        <v>56</v>
      </c>
      <c r="U216" s="59" t="str">
        <f aca="false">IFERROR(IF(VLOOKUP($A216,RA_result!$B$3:$N$62,6,0)="",S216*T216,VLOOKUP($A216,RA_result!$B$3:$N$62,6,0)),"")</f>
        <v/>
      </c>
      <c r="V216" s="61" t="s">
        <v>56</v>
      </c>
      <c r="W216" s="62" t="n">
        <f aca="false">IFERROR((S216*30%)/V216,0)</f>
        <v>0</v>
      </c>
      <c r="X216" s="63" t="n">
        <f aca="false">IFERROR(N216/W216,0)</f>
        <v>0</v>
      </c>
      <c r="Y216" s="68"/>
      <c r="Z216" s="57"/>
      <c r="AA216" s="69" t="str">
        <f aca="false">IF(OR(U216="",Y216="",Z216=""),"",IF(AND(U216&gt;Y216,-U216&lt;Z216),"Ok","Not Ok"))</f>
        <v/>
      </c>
      <c r="AB216" s="70"/>
    </row>
    <row r="217" customFormat="false" ht="12.8" hidden="false" customHeight="false" outlineLevel="0" collapsed="false">
      <c r="A217" s="48" t="n">
        <f aca="false">TB_audited!A200</f>
        <v>0</v>
      </c>
      <c r="B217" s="49"/>
      <c r="C217" s="50"/>
      <c r="D217" s="51" t="n">
        <f aca="false">TB_audited!B200</f>
        <v>0</v>
      </c>
      <c r="E217" s="52" t="n">
        <f aca="false">TB_audited!C200</f>
        <v>0</v>
      </c>
      <c r="F217" s="53" t="n">
        <f aca="false">TB_audited!D200</f>
        <v>0</v>
      </c>
      <c r="G217" s="54" t="n">
        <f aca="false">IF($D$8="Interim",TB_audited!G200,TB_audited!E200)</f>
        <v>0</v>
      </c>
      <c r="H217" s="55" t="str">
        <f aca="false">IFERROR(VLOOKUP($A217,RA_result!$B$3:$N$62,11,0),"")</f>
        <v/>
      </c>
      <c r="I217" s="55" t="str">
        <f aca="false">IFERROR(VLOOKUP($A217,RA_result!$B$3:$N$62,12,0),"")</f>
        <v/>
      </c>
      <c r="J217" s="55" t="str">
        <f aca="false">IFERROR(VLOOKUP($A217,RA_result!$B$3:$N$62,13,0),"")</f>
        <v/>
      </c>
      <c r="K217" s="56"/>
      <c r="L217" s="56"/>
      <c r="M217" s="57" t="n">
        <f aca="false">G217</f>
        <v>0</v>
      </c>
      <c r="N217" s="54" t="n">
        <f aca="false">G217-M217</f>
        <v>0</v>
      </c>
      <c r="O217" s="55" t="str">
        <f aca="false">IFERROR(VLOOKUP($A217,RA_result!$B$3:$N$62,7,0),"")</f>
        <v/>
      </c>
      <c r="P217" s="52" t="str">
        <f aca="false">IFERROR(VLOOKUP($A217,RA_result!$B$3:$N$62,9,0),"")</f>
        <v/>
      </c>
      <c r="Q217" s="52" t="str">
        <f aca="false">IFERROR(VLOOKUP($A217,RA_result!$B$3:$N$62,10,0),"")</f>
        <v/>
      </c>
      <c r="R217" s="58" t="s">
        <v>55</v>
      </c>
      <c r="S217" s="59" t="str">
        <f aca="false">IFERROR(VLOOKUP($A217,RA_result!$B$3:$N$62,4,0),"")</f>
        <v/>
      </c>
      <c r="T217" s="60" t="s">
        <v>56</v>
      </c>
      <c r="U217" s="59" t="str">
        <f aca="false">IFERROR(IF(VLOOKUP($A217,RA_result!$B$3:$N$62,6,0)="",S217*T217,VLOOKUP($A217,RA_result!$B$3:$N$62,6,0)),"")</f>
        <v/>
      </c>
      <c r="V217" s="61" t="s">
        <v>56</v>
      </c>
      <c r="W217" s="62" t="n">
        <f aca="false">IFERROR((S217*30%)/V217,0)</f>
        <v>0</v>
      </c>
      <c r="X217" s="63" t="n">
        <f aca="false">IFERROR(N217/W217,0)</f>
        <v>0</v>
      </c>
      <c r="Y217" s="68"/>
      <c r="Z217" s="57"/>
      <c r="AA217" s="69" t="str">
        <f aca="false">IF(OR(U217="",Y217="",Z217=""),"",IF(AND(U217&gt;Y217,-U217&lt;Z217),"Ok","Not Ok"))</f>
        <v/>
      </c>
      <c r="AB217" s="70"/>
    </row>
    <row r="218" customFormat="false" ht="12.8" hidden="false" customHeight="false" outlineLevel="0" collapsed="false">
      <c r="A218" s="48" t="n">
        <f aca="false">TB_audited!A201</f>
        <v>0</v>
      </c>
      <c r="B218" s="49"/>
      <c r="C218" s="50"/>
      <c r="D218" s="51" t="n">
        <f aca="false">TB_audited!B201</f>
        <v>0</v>
      </c>
      <c r="E218" s="52" t="n">
        <f aca="false">TB_audited!C201</f>
        <v>0</v>
      </c>
      <c r="F218" s="53" t="n">
        <f aca="false">TB_audited!D201</f>
        <v>0</v>
      </c>
      <c r="G218" s="54" t="n">
        <f aca="false">IF($D$8="Interim",TB_audited!G201,TB_audited!E201)</f>
        <v>0</v>
      </c>
      <c r="H218" s="55" t="str">
        <f aca="false">IFERROR(VLOOKUP($A218,RA_result!$B$3:$N$62,11,0),"")</f>
        <v/>
      </c>
      <c r="I218" s="55" t="str">
        <f aca="false">IFERROR(VLOOKUP($A218,RA_result!$B$3:$N$62,12,0),"")</f>
        <v/>
      </c>
      <c r="J218" s="55" t="str">
        <f aca="false">IFERROR(VLOOKUP($A218,RA_result!$B$3:$N$62,13,0),"")</f>
        <v/>
      </c>
      <c r="K218" s="56"/>
      <c r="L218" s="56"/>
      <c r="M218" s="57" t="n">
        <f aca="false">G218</f>
        <v>0</v>
      </c>
      <c r="N218" s="54" t="n">
        <f aca="false">G218-M218</f>
        <v>0</v>
      </c>
      <c r="O218" s="55" t="str">
        <f aca="false">IFERROR(VLOOKUP($A218,RA_result!$B$3:$N$62,7,0),"")</f>
        <v/>
      </c>
      <c r="P218" s="52" t="str">
        <f aca="false">IFERROR(VLOOKUP($A218,RA_result!$B$3:$N$62,9,0),"")</f>
        <v/>
      </c>
      <c r="Q218" s="52" t="str">
        <f aca="false">IFERROR(VLOOKUP($A218,RA_result!$B$3:$N$62,10,0),"")</f>
        <v/>
      </c>
      <c r="R218" s="58" t="s">
        <v>55</v>
      </c>
      <c r="S218" s="59" t="str">
        <f aca="false">IFERROR(VLOOKUP($A218,RA_result!$B$3:$N$62,4,0),"")</f>
        <v/>
      </c>
      <c r="T218" s="60" t="s">
        <v>56</v>
      </c>
      <c r="U218" s="59" t="str">
        <f aca="false">IFERROR(IF(VLOOKUP($A218,RA_result!$B$3:$N$62,6,0)="",S218*T218,VLOOKUP($A218,RA_result!$B$3:$N$62,6,0)),"")</f>
        <v/>
      </c>
      <c r="V218" s="61" t="s">
        <v>56</v>
      </c>
      <c r="W218" s="62" t="n">
        <f aca="false">IFERROR((S218*30%)/V218,0)</f>
        <v>0</v>
      </c>
      <c r="X218" s="63" t="n">
        <f aca="false">IFERROR(N218/W218,0)</f>
        <v>0</v>
      </c>
      <c r="Y218" s="68"/>
      <c r="Z218" s="57"/>
      <c r="AA218" s="69" t="str">
        <f aca="false">IF(OR(U218="",Y218="",Z218=""),"",IF(AND(U218&gt;Y218,-U218&lt;Z218),"Ok","Not Ok"))</f>
        <v/>
      </c>
      <c r="AB218" s="70"/>
    </row>
    <row r="219" customFormat="false" ht="12.8" hidden="false" customHeight="false" outlineLevel="0" collapsed="false">
      <c r="A219" s="48" t="n">
        <f aca="false">TB_audited!A202</f>
        <v>0</v>
      </c>
      <c r="B219" s="49"/>
      <c r="C219" s="50"/>
      <c r="D219" s="51" t="n">
        <f aca="false">TB_audited!B202</f>
        <v>0</v>
      </c>
      <c r="E219" s="52" t="n">
        <f aca="false">TB_audited!C202</f>
        <v>0</v>
      </c>
      <c r="F219" s="53" t="n">
        <f aca="false">TB_audited!D202</f>
        <v>0</v>
      </c>
      <c r="G219" s="54" t="n">
        <f aca="false">IF($D$8="Interim",TB_audited!G202,TB_audited!E202)</f>
        <v>0</v>
      </c>
      <c r="H219" s="55" t="str">
        <f aca="false">IFERROR(VLOOKUP($A219,RA_result!$B$3:$N$62,11,0),"")</f>
        <v/>
      </c>
      <c r="I219" s="55" t="str">
        <f aca="false">IFERROR(VLOOKUP($A219,RA_result!$B$3:$N$62,12,0),"")</f>
        <v/>
      </c>
      <c r="J219" s="55" t="str">
        <f aca="false">IFERROR(VLOOKUP($A219,RA_result!$B$3:$N$62,13,0),"")</f>
        <v/>
      </c>
      <c r="K219" s="56"/>
      <c r="L219" s="56"/>
      <c r="M219" s="57" t="n">
        <f aca="false">G219</f>
        <v>0</v>
      </c>
      <c r="N219" s="54" t="n">
        <f aca="false">G219-M219</f>
        <v>0</v>
      </c>
      <c r="O219" s="55" t="str">
        <f aca="false">IFERROR(VLOOKUP($A219,RA_result!$B$3:$N$62,7,0),"")</f>
        <v/>
      </c>
      <c r="P219" s="52" t="str">
        <f aca="false">IFERROR(VLOOKUP($A219,RA_result!$B$3:$N$62,9,0),"")</f>
        <v/>
      </c>
      <c r="Q219" s="52" t="str">
        <f aca="false">IFERROR(VLOOKUP($A219,RA_result!$B$3:$N$62,10,0),"")</f>
        <v/>
      </c>
      <c r="R219" s="58" t="s">
        <v>55</v>
      </c>
      <c r="S219" s="59" t="str">
        <f aca="false">IFERROR(VLOOKUP($A219,RA_result!$B$3:$N$62,4,0),"")</f>
        <v/>
      </c>
      <c r="T219" s="60" t="s">
        <v>56</v>
      </c>
      <c r="U219" s="59" t="str">
        <f aca="false">IFERROR(IF(VLOOKUP($A219,RA_result!$B$3:$N$62,6,0)="",S219*T219,VLOOKUP($A219,RA_result!$B$3:$N$62,6,0)),"")</f>
        <v/>
      </c>
      <c r="V219" s="61" t="s">
        <v>56</v>
      </c>
      <c r="W219" s="62" t="n">
        <f aca="false">IFERROR((S219*30%)/V219,0)</f>
        <v>0</v>
      </c>
      <c r="X219" s="63" t="n">
        <f aca="false">IFERROR(N219/W219,0)</f>
        <v>0</v>
      </c>
      <c r="Y219" s="68"/>
      <c r="Z219" s="57"/>
      <c r="AA219" s="69" t="str">
        <f aca="false">IF(OR(U219="",Y219="",Z219=""),"",IF(AND(U219&gt;Y219,-U219&lt;Z219),"Ok","Not Ok"))</f>
        <v/>
      </c>
      <c r="AB219" s="70"/>
    </row>
    <row r="220" customFormat="false" ht="12.8" hidden="false" customHeight="false" outlineLevel="0" collapsed="false">
      <c r="A220" s="48" t="n">
        <f aca="false">TB_audited!A203</f>
        <v>0</v>
      </c>
      <c r="B220" s="49"/>
      <c r="C220" s="50"/>
      <c r="D220" s="51" t="n">
        <f aca="false">TB_audited!B203</f>
        <v>0</v>
      </c>
      <c r="E220" s="52" t="n">
        <f aca="false">TB_audited!C203</f>
        <v>0</v>
      </c>
      <c r="F220" s="53" t="n">
        <f aca="false">TB_audited!D203</f>
        <v>0</v>
      </c>
      <c r="G220" s="54" t="n">
        <f aca="false">IF($D$8="Interim",TB_audited!G203,TB_audited!E203)</f>
        <v>0</v>
      </c>
      <c r="H220" s="55" t="str">
        <f aca="false">IFERROR(VLOOKUP($A220,RA_result!$B$3:$N$62,11,0),"")</f>
        <v/>
      </c>
      <c r="I220" s="55" t="str">
        <f aca="false">IFERROR(VLOOKUP($A220,RA_result!$B$3:$N$62,12,0),"")</f>
        <v/>
      </c>
      <c r="J220" s="55" t="str">
        <f aca="false">IFERROR(VLOOKUP($A220,RA_result!$B$3:$N$62,13,0),"")</f>
        <v/>
      </c>
      <c r="K220" s="56"/>
      <c r="L220" s="56"/>
      <c r="M220" s="57" t="n">
        <f aca="false">G220</f>
        <v>0</v>
      </c>
      <c r="N220" s="54" t="n">
        <f aca="false">G220-M220</f>
        <v>0</v>
      </c>
      <c r="O220" s="55" t="str">
        <f aca="false">IFERROR(VLOOKUP($A220,RA_result!$B$3:$N$62,7,0),"")</f>
        <v/>
      </c>
      <c r="P220" s="52" t="str">
        <f aca="false">IFERROR(VLOOKUP($A220,RA_result!$B$3:$N$62,9,0),"")</f>
        <v/>
      </c>
      <c r="Q220" s="52" t="str">
        <f aca="false">IFERROR(VLOOKUP($A220,RA_result!$B$3:$N$62,10,0),"")</f>
        <v/>
      </c>
      <c r="R220" s="58" t="s">
        <v>55</v>
      </c>
      <c r="S220" s="59" t="str">
        <f aca="false">IFERROR(VLOOKUP($A220,RA_result!$B$3:$N$62,4,0),"")</f>
        <v/>
      </c>
      <c r="T220" s="60" t="s">
        <v>56</v>
      </c>
      <c r="U220" s="59" t="str">
        <f aca="false">IFERROR(IF(VLOOKUP($A220,RA_result!$B$3:$N$62,6,0)="",S220*T220,VLOOKUP($A220,RA_result!$B$3:$N$62,6,0)),"")</f>
        <v/>
      </c>
      <c r="V220" s="61" t="s">
        <v>56</v>
      </c>
      <c r="W220" s="62" t="n">
        <f aca="false">IFERROR((S220*30%)/V220,0)</f>
        <v>0</v>
      </c>
      <c r="X220" s="63" t="n">
        <f aca="false">IFERROR(N220/W220,0)</f>
        <v>0</v>
      </c>
      <c r="Y220" s="68"/>
      <c r="Z220" s="57"/>
      <c r="AA220" s="69" t="str">
        <f aca="false">IF(OR(U220="",Y220="",Z220=""),"",IF(AND(U220&gt;Y220,-U220&lt;Z220),"Ok","Not Ok"))</f>
        <v/>
      </c>
      <c r="AB220" s="70"/>
    </row>
    <row r="221" customFormat="false" ht="12.8" hidden="false" customHeight="false" outlineLevel="0" collapsed="false">
      <c r="A221" s="48" t="n">
        <f aca="false">TB_audited!A204</f>
        <v>0</v>
      </c>
      <c r="B221" s="49"/>
      <c r="C221" s="50"/>
      <c r="D221" s="51" t="n">
        <f aca="false">TB_audited!B204</f>
        <v>0</v>
      </c>
      <c r="E221" s="52" t="n">
        <f aca="false">TB_audited!C204</f>
        <v>0</v>
      </c>
      <c r="F221" s="53" t="n">
        <f aca="false">TB_audited!D204</f>
        <v>0</v>
      </c>
      <c r="G221" s="54" t="n">
        <f aca="false">IF($D$8="Interim",TB_audited!G204,TB_audited!E204)</f>
        <v>0</v>
      </c>
      <c r="H221" s="55" t="str">
        <f aca="false">IFERROR(VLOOKUP($A221,RA_result!$B$3:$N$62,11,0),"")</f>
        <v/>
      </c>
      <c r="I221" s="55" t="str">
        <f aca="false">IFERROR(VLOOKUP($A221,RA_result!$B$3:$N$62,12,0),"")</f>
        <v/>
      </c>
      <c r="J221" s="55" t="str">
        <f aca="false">IFERROR(VLOOKUP($A221,RA_result!$B$3:$N$62,13,0),"")</f>
        <v/>
      </c>
      <c r="K221" s="56"/>
      <c r="L221" s="56"/>
      <c r="M221" s="57" t="n">
        <f aca="false">G221</f>
        <v>0</v>
      </c>
      <c r="N221" s="54" t="n">
        <f aca="false">G221-M221</f>
        <v>0</v>
      </c>
      <c r="O221" s="55" t="str">
        <f aca="false">IFERROR(VLOOKUP($A221,RA_result!$B$3:$N$62,7,0),"")</f>
        <v/>
      </c>
      <c r="P221" s="52" t="str">
        <f aca="false">IFERROR(VLOOKUP($A221,RA_result!$B$3:$N$62,9,0),"")</f>
        <v/>
      </c>
      <c r="Q221" s="52" t="str">
        <f aca="false">IFERROR(VLOOKUP($A221,RA_result!$B$3:$N$62,10,0),"")</f>
        <v/>
      </c>
      <c r="R221" s="58" t="s">
        <v>55</v>
      </c>
      <c r="S221" s="59" t="str">
        <f aca="false">IFERROR(VLOOKUP($A221,RA_result!$B$3:$N$62,4,0),"")</f>
        <v/>
      </c>
      <c r="T221" s="60" t="s">
        <v>56</v>
      </c>
      <c r="U221" s="59" t="str">
        <f aca="false">IFERROR(IF(VLOOKUP($A221,RA_result!$B$3:$N$62,6,0)="",S221*T221,VLOOKUP($A221,RA_result!$B$3:$N$62,6,0)),"")</f>
        <v/>
      </c>
      <c r="V221" s="61" t="s">
        <v>56</v>
      </c>
      <c r="W221" s="62" t="n">
        <f aca="false">IFERROR((S221*30%)/V221,0)</f>
        <v>0</v>
      </c>
      <c r="X221" s="63" t="n">
        <f aca="false">IFERROR(N221/W221,0)</f>
        <v>0</v>
      </c>
      <c r="Y221" s="68"/>
      <c r="Z221" s="57"/>
      <c r="AA221" s="69" t="str">
        <f aca="false">IF(OR(U221="",Y221="",Z221=""),"",IF(AND(U221&gt;Y221,-U221&lt;Z221),"Ok","Not Ok"))</f>
        <v/>
      </c>
      <c r="AB221" s="70"/>
    </row>
    <row r="222" customFormat="false" ht="12.8" hidden="false" customHeight="false" outlineLevel="0" collapsed="false">
      <c r="A222" s="48" t="n">
        <f aca="false">TB_audited!A205</f>
        <v>0</v>
      </c>
      <c r="B222" s="49"/>
      <c r="C222" s="50"/>
      <c r="D222" s="51" t="n">
        <f aca="false">TB_audited!B205</f>
        <v>0</v>
      </c>
      <c r="E222" s="52" t="n">
        <f aca="false">TB_audited!C205</f>
        <v>0</v>
      </c>
      <c r="F222" s="53" t="n">
        <f aca="false">TB_audited!D205</f>
        <v>0</v>
      </c>
      <c r="G222" s="54" t="n">
        <f aca="false">IF($D$8="Interim",TB_audited!G205,TB_audited!E205)</f>
        <v>0</v>
      </c>
      <c r="H222" s="55" t="str">
        <f aca="false">IFERROR(VLOOKUP($A222,RA_result!$B$3:$N$62,11,0),"")</f>
        <v/>
      </c>
      <c r="I222" s="55" t="str">
        <f aca="false">IFERROR(VLOOKUP($A222,RA_result!$B$3:$N$62,12,0),"")</f>
        <v/>
      </c>
      <c r="J222" s="55" t="str">
        <f aca="false">IFERROR(VLOOKUP($A222,RA_result!$B$3:$N$62,13,0),"")</f>
        <v/>
      </c>
      <c r="K222" s="56"/>
      <c r="L222" s="56"/>
      <c r="M222" s="57" t="n">
        <f aca="false">G222</f>
        <v>0</v>
      </c>
      <c r="N222" s="54" t="n">
        <f aca="false">G222-M222</f>
        <v>0</v>
      </c>
      <c r="O222" s="55" t="str">
        <f aca="false">IFERROR(VLOOKUP($A222,RA_result!$B$3:$N$62,7,0),"")</f>
        <v/>
      </c>
      <c r="P222" s="52" t="str">
        <f aca="false">IFERROR(VLOOKUP($A222,RA_result!$B$3:$N$62,9,0),"")</f>
        <v/>
      </c>
      <c r="Q222" s="52" t="str">
        <f aca="false">IFERROR(VLOOKUP($A222,RA_result!$B$3:$N$62,10,0),"")</f>
        <v/>
      </c>
      <c r="R222" s="58" t="s">
        <v>55</v>
      </c>
      <c r="S222" s="59" t="str">
        <f aca="false">IFERROR(VLOOKUP($A222,RA_result!$B$3:$N$62,4,0),"")</f>
        <v/>
      </c>
      <c r="T222" s="60" t="s">
        <v>56</v>
      </c>
      <c r="U222" s="59" t="str">
        <f aca="false">IFERROR(IF(VLOOKUP($A222,RA_result!$B$3:$N$62,6,0)="",S222*T222,VLOOKUP($A222,RA_result!$B$3:$N$62,6,0)),"")</f>
        <v/>
      </c>
      <c r="V222" s="61" t="s">
        <v>56</v>
      </c>
      <c r="W222" s="62" t="n">
        <f aca="false">IFERROR((S222*30%)/V222,0)</f>
        <v>0</v>
      </c>
      <c r="X222" s="63" t="n">
        <f aca="false">IFERROR(N222/W222,0)</f>
        <v>0</v>
      </c>
      <c r="Y222" s="68"/>
      <c r="Z222" s="57"/>
      <c r="AA222" s="69" t="str">
        <f aca="false">IF(OR(U222="",Y222="",Z222=""),"",IF(AND(U222&gt;Y222,-U222&lt;Z222),"Ok","Not Ok"))</f>
        <v/>
      </c>
      <c r="AB222" s="70"/>
    </row>
    <row r="223" customFormat="false" ht="12.8" hidden="false" customHeight="false" outlineLevel="0" collapsed="false">
      <c r="A223" s="48" t="n">
        <f aca="false">TB_audited!A206</f>
        <v>0</v>
      </c>
      <c r="B223" s="49"/>
      <c r="C223" s="50"/>
      <c r="D223" s="51" t="n">
        <f aca="false">TB_audited!B206</f>
        <v>0</v>
      </c>
      <c r="E223" s="52" t="n">
        <f aca="false">TB_audited!C206</f>
        <v>0</v>
      </c>
      <c r="F223" s="53" t="n">
        <f aca="false">TB_audited!D206</f>
        <v>0</v>
      </c>
      <c r="G223" s="54" t="n">
        <f aca="false">IF($D$8="Interim",TB_audited!G206,TB_audited!E206)</f>
        <v>0</v>
      </c>
      <c r="H223" s="55" t="str">
        <f aca="false">IFERROR(VLOOKUP($A223,RA_result!$B$3:$N$62,11,0),"")</f>
        <v/>
      </c>
      <c r="I223" s="55" t="str">
        <f aca="false">IFERROR(VLOOKUP($A223,RA_result!$B$3:$N$62,12,0),"")</f>
        <v/>
      </c>
      <c r="J223" s="55" t="str">
        <f aca="false">IFERROR(VLOOKUP($A223,RA_result!$B$3:$N$62,13,0),"")</f>
        <v/>
      </c>
      <c r="K223" s="56"/>
      <c r="L223" s="56"/>
      <c r="M223" s="57" t="n">
        <f aca="false">G223</f>
        <v>0</v>
      </c>
      <c r="N223" s="54" t="n">
        <f aca="false">G223-M223</f>
        <v>0</v>
      </c>
      <c r="O223" s="55" t="str">
        <f aca="false">IFERROR(VLOOKUP($A223,RA_result!$B$3:$N$62,7,0),"")</f>
        <v/>
      </c>
      <c r="P223" s="52" t="str">
        <f aca="false">IFERROR(VLOOKUP($A223,RA_result!$B$3:$N$62,9,0),"")</f>
        <v/>
      </c>
      <c r="Q223" s="52" t="str">
        <f aca="false">IFERROR(VLOOKUP($A223,RA_result!$B$3:$N$62,10,0),"")</f>
        <v/>
      </c>
      <c r="R223" s="58" t="s">
        <v>55</v>
      </c>
      <c r="S223" s="59" t="str">
        <f aca="false">IFERROR(VLOOKUP($A223,RA_result!$B$3:$N$62,4,0),"")</f>
        <v/>
      </c>
      <c r="T223" s="60" t="s">
        <v>56</v>
      </c>
      <c r="U223" s="59" t="str">
        <f aca="false">IFERROR(IF(VLOOKUP($A223,RA_result!$B$3:$N$62,6,0)="",S223*T223,VLOOKUP($A223,RA_result!$B$3:$N$62,6,0)),"")</f>
        <v/>
      </c>
      <c r="V223" s="61" t="s">
        <v>56</v>
      </c>
      <c r="W223" s="62" t="n">
        <f aca="false">IFERROR((S223*30%)/V223,0)</f>
        <v>0</v>
      </c>
      <c r="X223" s="63" t="n">
        <f aca="false">IFERROR(N223/W223,0)</f>
        <v>0</v>
      </c>
      <c r="Y223" s="68"/>
      <c r="Z223" s="57"/>
      <c r="AA223" s="69" t="str">
        <f aca="false">IF(OR(U223="",Y223="",Z223=""),"",IF(AND(U223&gt;Y223,-U223&lt;Z223),"Ok","Not Ok"))</f>
        <v/>
      </c>
      <c r="AB223" s="70"/>
    </row>
    <row r="224" customFormat="false" ht="12.8" hidden="false" customHeight="false" outlineLevel="0" collapsed="false">
      <c r="A224" s="48" t="n">
        <f aca="false">TB_audited!A207</f>
        <v>0</v>
      </c>
      <c r="B224" s="49"/>
      <c r="C224" s="50"/>
      <c r="D224" s="51" t="n">
        <f aca="false">TB_audited!B207</f>
        <v>0</v>
      </c>
      <c r="E224" s="52" t="n">
        <f aca="false">TB_audited!C207</f>
        <v>0</v>
      </c>
      <c r="F224" s="53" t="n">
        <f aca="false">TB_audited!D207</f>
        <v>0</v>
      </c>
      <c r="G224" s="54" t="n">
        <f aca="false">IF($D$8="Interim",TB_audited!G207,TB_audited!E207)</f>
        <v>0</v>
      </c>
      <c r="H224" s="55" t="str">
        <f aca="false">IFERROR(VLOOKUP($A224,RA_result!$B$3:$N$62,11,0),"")</f>
        <v/>
      </c>
      <c r="I224" s="55" t="str">
        <f aca="false">IFERROR(VLOOKUP($A224,RA_result!$B$3:$N$62,12,0),"")</f>
        <v/>
      </c>
      <c r="J224" s="55" t="str">
        <f aca="false">IFERROR(VLOOKUP($A224,RA_result!$B$3:$N$62,13,0),"")</f>
        <v/>
      </c>
      <c r="K224" s="56"/>
      <c r="L224" s="56"/>
      <c r="M224" s="57" t="n">
        <f aca="false">G224</f>
        <v>0</v>
      </c>
      <c r="N224" s="54" t="n">
        <f aca="false">G224-M224</f>
        <v>0</v>
      </c>
      <c r="O224" s="55" t="str">
        <f aca="false">IFERROR(VLOOKUP($A224,RA_result!$B$3:$N$62,7,0),"")</f>
        <v/>
      </c>
      <c r="P224" s="52" t="str">
        <f aca="false">IFERROR(VLOOKUP($A224,RA_result!$B$3:$N$62,9,0),"")</f>
        <v/>
      </c>
      <c r="Q224" s="52" t="str">
        <f aca="false">IFERROR(VLOOKUP($A224,RA_result!$B$3:$N$62,10,0),"")</f>
        <v/>
      </c>
      <c r="R224" s="58" t="s">
        <v>55</v>
      </c>
      <c r="S224" s="59" t="str">
        <f aca="false">IFERROR(VLOOKUP($A224,RA_result!$B$3:$N$62,4,0),"")</f>
        <v/>
      </c>
      <c r="T224" s="60" t="s">
        <v>56</v>
      </c>
      <c r="U224" s="59" t="str">
        <f aca="false">IFERROR(IF(VLOOKUP($A224,RA_result!$B$3:$N$62,6,0)="",S224*T224,VLOOKUP($A224,RA_result!$B$3:$N$62,6,0)),"")</f>
        <v/>
      </c>
      <c r="V224" s="61" t="s">
        <v>56</v>
      </c>
      <c r="W224" s="62" t="n">
        <f aca="false">IFERROR((S224*30%)/V224,0)</f>
        <v>0</v>
      </c>
      <c r="X224" s="63" t="n">
        <f aca="false">IFERROR(N224/W224,0)</f>
        <v>0</v>
      </c>
      <c r="Y224" s="68"/>
      <c r="Z224" s="57"/>
      <c r="AA224" s="69" t="str">
        <f aca="false">IF(OR(U224="",Y224="",Z224=""),"",IF(AND(U224&gt;Y224,-U224&lt;Z224),"Ok","Not Ok"))</f>
        <v/>
      </c>
      <c r="AB224" s="70"/>
    </row>
    <row r="225" customFormat="false" ht="12.8" hidden="false" customHeight="false" outlineLevel="0" collapsed="false">
      <c r="A225" s="48" t="n">
        <f aca="false">TB_audited!A208</f>
        <v>0</v>
      </c>
      <c r="B225" s="49"/>
      <c r="C225" s="50"/>
      <c r="D225" s="51" t="n">
        <f aca="false">TB_audited!B208</f>
        <v>0</v>
      </c>
      <c r="E225" s="52" t="n">
        <f aca="false">TB_audited!C208</f>
        <v>0</v>
      </c>
      <c r="F225" s="53" t="n">
        <f aca="false">TB_audited!D208</f>
        <v>0</v>
      </c>
      <c r="G225" s="54" t="n">
        <f aca="false">IF($D$8="Interim",TB_audited!G208,TB_audited!E208)</f>
        <v>0</v>
      </c>
      <c r="H225" s="55" t="str">
        <f aca="false">IFERROR(VLOOKUP($A225,RA_result!$B$3:$N$62,11,0),"")</f>
        <v/>
      </c>
      <c r="I225" s="55" t="str">
        <f aca="false">IFERROR(VLOOKUP($A225,RA_result!$B$3:$N$62,12,0),"")</f>
        <v/>
      </c>
      <c r="J225" s="55" t="str">
        <f aca="false">IFERROR(VLOOKUP($A225,RA_result!$B$3:$N$62,13,0),"")</f>
        <v/>
      </c>
      <c r="K225" s="56"/>
      <c r="L225" s="56"/>
      <c r="M225" s="57" t="n">
        <f aca="false">G225</f>
        <v>0</v>
      </c>
      <c r="N225" s="54" t="n">
        <f aca="false">G225-M225</f>
        <v>0</v>
      </c>
      <c r="O225" s="55" t="str">
        <f aca="false">IFERROR(VLOOKUP($A225,RA_result!$B$3:$N$62,7,0),"")</f>
        <v/>
      </c>
      <c r="P225" s="52" t="str">
        <f aca="false">IFERROR(VLOOKUP($A225,RA_result!$B$3:$N$62,9,0),"")</f>
        <v/>
      </c>
      <c r="Q225" s="52" t="str">
        <f aca="false">IFERROR(VLOOKUP($A225,RA_result!$B$3:$N$62,10,0),"")</f>
        <v/>
      </c>
      <c r="R225" s="58" t="s">
        <v>55</v>
      </c>
      <c r="S225" s="59" t="str">
        <f aca="false">IFERROR(VLOOKUP($A225,RA_result!$B$3:$N$62,4,0),"")</f>
        <v/>
      </c>
      <c r="T225" s="60" t="s">
        <v>56</v>
      </c>
      <c r="U225" s="59" t="str">
        <f aca="false">IFERROR(IF(VLOOKUP($A225,RA_result!$B$3:$N$62,6,0)="",S225*T225,VLOOKUP($A225,RA_result!$B$3:$N$62,6,0)),"")</f>
        <v/>
      </c>
      <c r="V225" s="61" t="s">
        <v>56</v>
      </c>
      <c r="W225" s="62" t="n">
        <f aca="false">IFERROR((S225*30%)/V225,0)</f>
        <v>0</v>
      </c>
      <c r="X225" s="63" t="n">
        <f aca="false">IFERROR(N225/W225,0)</f>
        <v>0</v>
      </c>
      <c r="Y225" s="68"/>
      <c r="Z225" s="57"/>
      <c r="AA225" s="69" t="str">
        <f aca="false">IF(OR(U225="",Y225="",Z225=""),"",IF(AND(U225&gt;Y225,-U225&lt;Z225),"Ok","Not Ok"))</f>
        <v/>
      </c>
      <c r="AB225" s="70"/>
    </row>
    <row r="226" customFormat="false" ht="12.8" hidden="false" customHeight="false" outlineLevel="0" collapsed="false">
      <c r="A226" s="48" t="n">
        <f aca="false">TB_audited!A209</f>
        <v>0</v>
      </c>
      <c r="B226" s="49"/>
      <c r="C226" s="50"/>
      <c r="D226" s="51" t="n">
        <f aca="false">TB_audited!B209</f>
        <v>0</v>
      </c>
      <c r="E226" s="52" t="n">
        <f aca="false">TB_audited!C209</f>
        <v>0</v>
      </c>
      <c r="F226" s="53" t="n">
        <f aca="false">TB_audited!D209</f>
        <v>0</v>
      </c>
      <c r="G226" s="54" t="n">
        <f aca="false">IF($D$8="Interim",TB_audited!G209,TB_audited!E209)</f>
        <v>0</v>
      </c>
      <c r="H226" s="55" t="str">
        <f aca="false">IFERROR(VLOOKUP($A226,RA_result!$B$3:$N$62,11,0),"")</f>
        <v/>
      </c>
      <c r="I226" s="55" t="str">
        <f aca="false">IFERROR(VLOOKUP($A226,RA_result!$B$3:$N$62,12,0),"")</f>
        <v/>
      </c>
      <c r="J226" s="55" t="str">
        <f aca="false">IFERROR(VLOOKUP($A226,RA_result!$B$3:$N$62,13,0),"")</f>
        <v/>
      </c>
      <c r="K226" s="56"/>
      <c r="L226" s="56"/>
      <c r="M226" s="57" t="n">
        <f aca="false">G226</f>
        <v>0</v>
      </c>
      <c r="N226" s="54" t="n">
        <f aca="false">G226-M226</f>
        <v>0</v>
      </c>
      <c r="O226" s="55" t="str">
        <f aca="false">IFERROR(VLOOKUP($A226,RA_result!$B$3:$N$62,7,0),"")</f>
        <v/>
      </c>
      <c r="P226" s="52" t="str">
        <f aca="false">IFERROR(VLOOKUP($A226,RA_result!$B$3:$N$62,9,0),"")</f>
        <v/>
      </c>
      <c r="Q226" s="52" t="str">
        <f aca="false">IFERROR(VLOOKUP($A226,RA_result!$B$3:$N$62,10,0),"")</f>
        <v/>
      </c>
      <c r="R226" s="58" t="s">
        <v>55</v>
      </c>
      <c r="S226" s="59" t="str">
        <f aca="false">IFERROR(VLOOKUP($A226,RA_result!$B$3:$N$62,4,0),"")</f>
        <v/>
      </c>
      <c r="T226" s="60" t="s">
        <v>56</v>
      </c>
      <c r="U226" s="59" t="str">
        <f aca="false">IFERROR(IF(VLOOKUP($A226,RA_result!$B$3:$N$62,6,0)="",S226*T226,VLOOKUP($A226,RA_result!$B$3:$N$62,6,0)),"")</f>
        <v/>
      </c>
      <c r="V226" s="61" t="s">
        <v>56</v>
      </c>
      <c r="W226" s="62" t="n">
        <f aca="false">IFERROR((S226*30%)/V226,0)</f>
        <v>0</v>
      </c>
      <c r="X226" s="63" t="n">
        <f aca="false">IFERROR(N226/W226,0)</f>
        <v>0</v>
      </c>
      <c r="Y226" s="68"/>
      <c r="Z226" s="57"/>
      <c r="AA226" s="69" t="str">
        <f aca="false">IF(OR(U226="",Y226="",Z226=""),"",IF(AND(U226&gt;Y226,-U226&lt;Z226),"Ok","Not Ok"))</f>
        <v/>
      </c>
      <c r="AB226" s="70"/>
    </row>
    <row r="227" customFormat="false" ht="12.8" hidden="false" customHeight="false" outlineLevel="0" collapsed="false">
      <c r="A227" s="48" t="n">
        <f aca="false">TB_audited!A210</f>
        <v>0</v>
      </c>
      <c r="B227" s="49"/>
      <c r="C227" s="50"/>
      <c r="D227" s="51" t="n">
        <f aca="false">TB_audited!B210</f>
        <v>0</v>
      </c>
      <c r="E227" s="52" t="n">
        <f aca="false">TB_audited!C210</f>
        <v>0</v>
      </c>
      <c r="F227" s="53" t="n">
        <f aca="false">TB_audited!D210</f>
        <v>0</v>
      </c>
      <c r="G227" s="54" t="n">
        <f aca="false">IF($D$8="Interim",TB_audited!G210,TB_audited!E210)</f>
        <v>0</v>
      </c>
      <c r="H227" s="55" t="str">
        <f aca="false">IFERROR(VLOOKUP($A227,RA_result!$B$3:$N$62,11,0),"")</f>
        <v/>
      </c>
      <c r="I227" s="55" t="str">
        <f aca="false">IFERROR(VLOOKUP($A227,RA_result!$B$3:$N$62,12,0),"")</f>
        <v/>
      </c>
      <c r="J227" s="55" t="str">
        <f aca="false">IFERROR(VLOOKUP($A227,RA_result!$B$3:$N$62,13,0),"")</f>
        <v/>
      </c>
      <c r="K227" s="56"/>
      <c r="L227" s="56"/>
      <c r="M227" s="57" t="n">
        <f aca="false">G227</f>
        <v>0</v>
      </c>
      <c r="N227" s="54" t="n">
        <f aca="false">G227-M227</f>
        <v>0</v>
      </c>
      <c r="O227" s="55" t="str">
        <f aca="false">IFERROR(VLOOKUP($A227,RA_result!$B$3:$N$62,7,0),"")</f>
        <v/>
      </c>
      <c r="P227" s="52" t="str">
        <f aca="false">IFERROR(VLOOKUP($A227,RA_result!$B$3:$N$62,9,0),"")</f>
        <v/>
      </c>
      <c r="Q227" s="52" t="str">
        <f aca="false">IFERROR(VLOOKUP($A227,RA_result!$B$3:$N$62,10,0),"")</f>
        <v/>
      </c>
      <c r="R227" s="58" t="s">
        <v>55</v>
      </c>
      <c r="S227" s="59" t="str">
        <f aca="false">IFERROR(VLOOKUP($A227,RA_result!$B$3:$N$62,4,0),"")</f>
        <v/>
      </c>
      <c r="T227" s="60" t="s">
        <v>56</v>
      </c>
      <c r="U227" s="59" t="str">
        <f aca="false">IFERROR(IF(VLOOKUP($A227,RA_result!$B$3:$N$62,6,0)="",S227*T227,VLOOKUP($A227,RA_result!$B$3:$N$62,6,0)),"")</f>
        <v/>
      </c>
      <c r="V227" s="61" t="s">
        <v>56</v>
      </c>
      <c r="W227" s="62" t="n">
        <f aca="false">IFERROR((S227*30%)/V227,0)</f>
        <v>0</v>
      </c>
      <c r="X227" s="63" t="n">
        <f aca="false">IFERROR(N227/W227,0)</f>
        <v>0</v>
      </c>
      <c r="Y227" s="68"/>
      <c r="Z227" s="57"/>
      <c r="AA227" s="69" t="str">
        <f aca="false">IF(OR(U227="",Y227="",Z227=""),"",IF(AND(U227&gt;Y227,-U227&lt;Z227),"Ok","Not Ok"))</f>
        <v/>
      </c>
      <c r="AB227" s="70"/>
    </row>
    <row r="228" customFormat="false" ht="12.8" hidden="false" customHeight="false" outlineLevel="0" collapsed="false">
      <c r="A228" s="48" t="n">
        <f aca="false">TB_audited!A211</f>
        <v>0</v>
      </c>
      <c r="B228" s="49"/>
      <c r="C228" s="50"/>
      <c r="D228" s="51" t="n">
        <f aca="false">TB_audited!B211</f>
        <v>0</v>
      </c>
      <c r="E228" s="52" t="n">
        <f aca="false">TB_audited!C211</f>
        <v>0</v>
      </c>
      <c r="F228" s="53" t="n">
        <f aca="false">TB_audited!D211</f>
        <v>0</v>
      </c>
      <c r="G228" s="54" t="n">
        <f aca="false">IF($D$8="Interim",TB_audited!G211,TB_audited!E211)</f>
        <v>0</v>
      </c>
      <c r="H228" s="55" t="str">
        <f aca="false">IFERROR(VLOOKUP($A228,RA_result!$B$3:$N$62,11,0),"")</f>
        <v/>
      </c>
      <c r="I228" s="55" t="str">
        <f aca="false">IFERROR(VLOOKUP($A228,RA_result!$B$3:$N$62,12,0),"")</f>
        <v/>
      </c>
      <c r="J228" s="55" t="str">
        <f aca="false">IFERROR(VLOOKUP($A228,RA_result!$B$3:$N$62,13,0),"")</f>
        <v/>
      </c>
      <c r="K228" s="56"/>
      <c r="L228" s="56"/>
      <c r="M228" s="57" t="n">
        <f aca="false">G228</f>
        <v>0</v>
      </c>
      <c r="N228" s="54" t="n">
        <f aca="false">G228-M228</f>
        <v>0</v>
      </c>
      <c r="O228" s="55" t="str">
        <f aca="false">IFERROR(VLOOKUP($A228,RA_result!$B$3:$N$62,7,0),"")</f>
        <v/>
      </c>
      <c r="P228" s="52" t="str">
        <f aca="false">IFERROR(VLOOKUP($A228,RA_result!$B$3:$N$62,9,0),"")</f>
        <v/>
      </c>
      <c r="Q228" s="52" t="str">
        <f aca="false">IFERROR(VLOOKUP($A228,RA_result!$B$3:$N$62,10,0),"")</f>
        <v/>
      </c>
      <c r="R228" s="58" t="s">
        <v>55</v>
      </c>
      <c r="S228" s="59" t="str">
        <f aca="false">IFERROR(VLOOKUP($A228,RA_result!$B$3:$N$62,4,0),"")</f>
        <v/>
      </c>
      <c r="T228" s="60" t="s">
        <v>56</v>
      </c>
      <c r="U228" s="59" t="str">
        <f aca="false">IFERROR(IF(VLOOKUP($A228,RA_result!$B$3:$N$62,6,0)="",S228*T228,VLOOKUP($A228,RA_result!$B$3:$N$62,6,0)),"")</f>
        <v/>
      </c>
      <c r="V228" s="61" t="s">
        <v>56</v>
      </c>
      <c r="W228" s="62" t="n">
        <f aca="false">IFERROR((S228*30%)/V228,0)</f>
        <v>0</v>
      </c>
      <c r="X228" s="63" t="n">
        <f aca="false">IFERROR(N228/W228,0)</f>
        <v>0</v>
      </c>
      <c r="Y228" s="68"/>
      <c r="Z228" s="57"/>
      <c r="AA228" s="69" t="str">
        <f aca="false">IF(OR(U228="",Y228="",Z228=""),"",IF(AND(U228&gt;Y228,-U228&lt;Z228),"Ok","Not Ok"))</f>
        <v/>
      </c>
      <c r="AB228" s="70"/>
    </row>
    <row r="229" customFormat="false" ht="12.8" hidden="false" customHeight="false" outlineLevel="0" collapsed="false">
      <c r="A229" s="48" t="n">
        <f aca="false">TB_audited!A212</f>
        <v>0</v>
      </c>
      <c r="B229" s="49"/>
      <c r="C229" s="50"/>
      <c r="D229" s="51" t="n">
        <f aca="false">TB_audited!B212</f>
        <v>0</v>
      </c>
      <c r="E229" s="52" t="n">
        <f aca="false">TB_audited!C212</f>
        <v>0</v>
      </c>
      <c r="F229" s="53" t="n">
        <f aca="false">TB_audited!D212</f>
        <v>0</v>
      </c>
      <c r="G229" s="54" t="n">
        <f aca="false">IF($D$8="Interim",TB_audited!G212,TB_audited!E212)</f>
        <v>0</v>
      </c>
      <c r="H229" s="55" t="str">
        <f aca="false">IFERROR(VLOOKUP($A229,RA_result!$B$3:$N$62,11,0),"")</f>
        <v/>
      </c>
      <c r="I229" s="55" t="str">
        <f aca="false">IFERROR(VLOOKUP($A229,RA_result!$B$3:$N$62,12,0),"")</f>
        <v/>
      </c>
      <c r="J229" s="55" t="str">
        <f aca="false">IFERROR(VLOOKUP($A229,RA_result!$B$3:$N$62,13,0),"")</f>
        <v/>
      </c>
      <c r="K229" s="56"/>
      <c r="L229" s="56"/>
      <c r="M229" s="57" t="n">
        <f aca="false">G229</f>
        <v>0</v>
      </c>
      <c r="N229" s="54" t="n">
        <f aca="false">G229-M229</f>
        <v>0</v>
      </c>
      <c r="O229" s="55" t="str">
        <f aca="false">IFERROR(VLOOKUP($A229,RA_result!$B$3:$N$62,7,0),"")</f>
        <v/>
      </c>
      <c r="P229" s="52" t="str">
        <f aca="false">IFERROR(VLOOKUP($A229,RA_result!$B$3:$N$62,9,0),"")</f>
        <v/>
      </c>
      <c r="Q229" s="52" t="str">
        <f aca="false">IFERROR(VLOOKUP($A229,RA_result!$B$3:$N$62,10,0),"")</f>
        <v/>
      </c>
      <c r="R229" s="58" t="s">
        <v>55</v>
      </c>
      <c r="S229" s="59" t="str">
        <f aca="false">IFERROR(VLOOKUP($A229,RA_result!$B$3:$N$62,4,0),"")</f>
        <v/>
      </c>
      <c r="T229" s="60" t="s">
        <v>56</v>
      </c>
      <c r="U229" s="59" t="str">
        <f aca="false">IFERROR(IF(VLOOKUP($A229,RA_result!$B$3:$N$62,6,0)="",S229*T229,VLOOKUP($A229,RA_result!$B$3:$N$62,6,0)),"")</f>
        <v/>
      </c>
      <c r="V229" s="61" t="s">
        <v>56</v>
      </c>
      <c r="W229" s="62" t="n">
        <f aca="false">IFERROR((S229*30%)/V229,0)</f>
        <v>0</v>
      </c>
      <c r="X229" s="63" t="n">
        <f aca="false">IFERROR(N229/W229,0)</f>
        <v>0</v>
      </c>
      <c r="Y229" s="68"/>
      <c r="Z229" s="57"/>
      <c r="AA229" s="69" t="str">
        <f aca="false">IF(OR(U229="",Y229="",Z229=""),"",IF(AND(U229&gt;Y229,-U229&lt;Z229),"Ok","Not Ok"))</f>
        <v/>
      </c>
      <c r="AB229" s="70"/>
    </row>
    <row r="230" customFormat="false" ht="12.8" hidden="false" customHeight="false" outlineLevel="0" collapsed="false">
      <c r="A230" s="48" t="n">
        <f aca="false">TB_audited!A213</f>
        <v>0</v>
      </c>
      <c r="B230" s="49"/>
      <c r="C230" s="50"/>
      <c r="D230" s="51" t="n">
        <f aca="false">TB_audited!B213</f>
        <v>0</v>
      </c>
      <c r="E230" s="52" t="n">
        <f aca="false">TB_audited!C213</f>
        <v>0</v>
      </c>
      <c r="F230" s="53" t="n">
        <f aca="false">TB_audited!D213</f>
        <v>0</v>
      </c>
      <c r="G230" s="54" t="n">
        <f aca="false">IF($D$8="Interim",TB_audited!G213,TB_audited!E213)</f>
        <v>0</v>
      </c>
      <c r="H230" s="55" t="str">
        <f aca="false">IFERROR(VLOOKUP($A230,RA_result!$B$3:$N$62,11,0),"")</f>
        <v/>
      </c>
      <c r="I230" s="55" t="str">
        <f aca="false">IFERROR(VLOOKUP($A230,RA_result!$B$3:$N$62,12,0),"")</f>
        <v/>
      </c>
      <c r="J230" s="55" t="str">
        <f aca="false">IFERROR(VLOOKUP($A230,RA_result!$B$3:$N$62,13,0),"")</f>
        <v/>
      </c>
      <c r="K230" s="56"/>
      <c r="L230" s="56"/>
      <c r="M230" s="57" t="n">
        <f aca="false">G230</f>
        <v>0</v>
      </c>
      <c r="N230" s="54" t="n">
        <f aca="false">G230-M230</f>
        <v>0</v>
      </c>
      <c r="O230" s="55" t="str">
        <f aca="false">IFERROR(VLOOKUP($A230,RA_result!$B$3:$N$62,7,0),"")</f>
        <v/>
      </c>
      <c r="P230" s="52" t="str">
        <f aca="false">IFERROR(VLOOKUP($A230,RA_result!$B$3:$N$62,9,0),"")</f>
        <v/>
      </c>
      <c r="Q230" s="52" t="str">
        <f aca="false">IFERROR(VLOOKUP($A230,RA_result!$B$3:$N$62,10,0),"")</f>
        <v/>
      </c>
      <c r="R230" s="58" t="s">
        <v>55</v>
      </c>
      <c r="S230" s="59" t="str">
        <f aca="false">IFERROR(VLOOKUP($A230,RA_result!$B$3:$N$62,4,0),"")</f>
        <v/>
      </c>
      <c r="T230" s="60" t="s">
        <v>56</v>
      </c>
      <c r="U230" s="59" t="str">
        <f aca="false">IFERROR(IF(VLOOKUP($A230,RA_result!$B$3:$N$62,6,0)="",S230*T230,VLOOKUP($A230,RA_result!$B$3:$N$62,6,0)),"")</f>
        <v/>
      </c>
      <c r="V230" s="61" t="s">
        <v>56</v>
      </c>
      <c r="W230" s="62" t="n">
        <f aca="false">IFERROR((S230*30%)/V230,0)</f>
        <v>0</v>
      </c>
      <c r="X230" s="63" t="n">
        <f aca="false">IFERROR(N230/W230,0)</f>
        <v>0</v>
      </c>
      <c r="Y230" s="68"/>
      <c r="Z230" s="57"/>
      <c r="AA230" s="69" t="str">
        <f aca="false">IF(OR(U230="",Y230="",Z230=""),"",IF(AND(U230&gt;Y230,-U230&lt;Z230),"Ok","Not Ok"))</f>
        <v/>
      </c>
      <c r="AB230" s="70"/>
    </row>
    <row r="231" customFormat="false" ht="12.8" hidden="false" customHeight="false" outlineLevel="0" collapsed="false">
      <c r="A231" s="48" t="n">
        <f aca="false">TB_audited!A214</f>
        <v>0</v>
      </c>
      <c r="B231" s="49"/>
      <c r="C231" s="50"/>
      <c r="D231" s="51" t="n">
        <f aca="false">TB_audited!B214</f>
        <v>0</v>
      </c>
      <c r="E231" s="52" t="n">
        <f aca="false">TB_audited!C214</f>
        <v>0</v>
      </c>
      <c r="F231" s="53" t="n">
        <f aca="false">TB_audited!D214</f>
        <v>0</v>
      </c>
      <c r="G231" s="54" t="n">
        <f aca="false">IF($D$8="Interim",TB_audited!G214,TB_audited!E214)</f>
        <v>0</v>
      </c>
      <c r="H231" s="55" t="str">
        <f aca="false">IFERROR(VLOOKUP($A231,RA_result!$B$3:$N$62,11,0),"")</f>
        <v/>
      </c>
      <c r="I231" s="55" t="str">
        <f aca="false">IFERROR(VLOOKUP($A231,RA_result!$B$3:$N$62,12,0),"")</f>
        <v/>
      </c>
      <c r="J231" s="55" t="str">
        <f aca="false">IFERROR(VLOOKUP($A231,RA_result!$B$3:$N$62,13,0),"")</f>
        <v/>
      </c>
      <c r="K231" s="56"/>
      <c r="L231" s="56"/>
      <c r="M231" s="57" t="n">
        <f aca="false">G231</f>
        <v>0</v>
      </c>
      <c r="N231" s="54" t="n">
        <f aca="false">G231-M231</f>
        <v>0</v>
      </c>
      <c r="O231" s="55" t="str">
        <f aca="false">IFERROR(VLOOKUP($A231,RA_result!$B$3:$N$62,7,0),"")</f>
        <v/>
      </c>
      <c r="P231" s="52" t="str">
        <f aca="false">IFERROR(VLOOKUP($A231,RA_result!$B$3:$N$62,9,0),"")</f>
        <v/>
      </c>
      <c r="Q231" s="52" t="str">
        <f aca="false">IFERROR(VLOOKUP($A231,RA_result!$B$3:$N$62,10,0),"")</f>
        <v/>
      </c>
      <c r="R231" s="58" t="s">
        <v>55</v>
      </c>
      <c r="S231" s="59" t="str">
        <f aca="false">IFERROR(VLOOKUP($A231,RA_result!$B$3:$N$62,4,0),"")</f>
        <v/>
      </c>
      <c r="T231" s="60" t="s">
        <v>56</v>
      </c>
      <c r="U231" s="59" t="str">
        <f aca="false">IFERROR(IF(VLOOKUP($A231,RA_result!$B$3:$N$62,6,0)="",S231*T231,VLOOKUP($A231,RA_result!$B$3:$N$62,6,0)),"")</f>
        <v/>
      </c>
      <c r="V231" s="61" t="s">
        <v>56</v>
      </c>
      <c r="W231" s="62" t="n">
        <f aca="false">IFERROR((S231*30%)/V231,0)</f>
        <v>0</v>
      </c>
      <c r="X231" s="63" t="n">
        <f aca="false">IFERROR(N231/W231,0)</f>
        <v>0</v>
      </c>
      <c r="Y231" s="68"/>
      <c r="Z231" s="57"/>
      <c r="AA231" s="69" t="str">
        <f aca="false">IF(OR(U231="",Y231="",Z231=""),"",IF(AND(U231&gt;Y231,-U231&lt;Z231),"Ok","Not Ok"))</f>
        <v/>
      </c>
      <c r="AB231" s="70"/>
    </row>
    <row r="232" customFormat="false" ht="12.8" hidden="false" customHeight="false" outlineLevel="0" collapsed="false">
      <c r="A232" s="48" t="n">
        <f aca="false">TB_audited!A215</f>
        <v>0</v>
      </c>
      <c r="B232" s="49"/>
      <c r="C232" s="50"/>
      <c r="D232" s="51" t="n">
        <f aca="false">TB_audited!B215</f>
        <v>0</v>
      </c>
      <c r="E232" s="52" t="n">
        <f aca="false">TB_audited!C215</f>
        <v>0</v>
      </c>
      <c r="F232" s="53" t="n">
        <f aca="false">TB_audited!D215</f>
        <v>0</v>
      </c>
      <c r="G232" s="54" t="n">
        <f aca="false">IF($D$8="Interim",TB_audited!G215,TB_audited!E215)</f>
        <v>0</v>
      </c>
      <c r="H232" s="55" t="str">
        <f aca="false">IFERROR(VLOOKUP($A232,RA_result!$B$3:$N$62,11,0),"")</f>
        <v/>
      </c>
      <c r="I232" s="55" t="str">
        <f aca="false">IFERROR(VLOOKUP($A232,RA_result!$B$3:$N$62,12,0),"")</f>
        <v/>
      </c>
      <c r="J232" s="55" t="str">
        <f aca="false">IFERROR(VLOOKUP($A232,RA_result!$B$3:$N$62,13,0),"")</f>
        <v/>
      </c>
      <c r="K232" s="56"/>
      <c r="L232" s="56"/>
      <c r="M232" s="57" t="n">
        <f aca="false">G232</f>
        <v>0</v>
      </c>
      <c r="N232" s="54" t="n">
        <f aca="false">G232-M232</f>
        <v>0</v>
      </c>
      <c r="O232" s="55" t="str">
        <f aca="false">IFERROR(VLOOKUP($A232,RA_result!$B$3:$N$62,7,0),"")</f>
        <v/>
      </c>
      <c r="P232" s="52" t="str">
        <f aca="false">IFERROR(VLOOKUP($A232,RA_result!$B$3:$N$62,9,0),"")</f>
        <v/>
      </c>
      <c r="Q232" s="52" t="str">
        <f aca="false">IFERROR(VLOOKUP($A232,RA_result!$B$3:$N$62,10,0),"")</f>
        <v/>
      </c>
      <c r="R232" s="58" t="s">
        <v>55</v>
      </c>
      <c r="S232" s="59" t="str">
        <f aca="false">IFERROR(VLOOKUP($A232,RA_result!$B$3:$N$62,4,0),"")</f>
        <v/>
      </c>
      <c r="T232" s="60" t="s">
        <v>56</v>
      </c>
      <c r="U232" s="59" t="str">
        <f aca="false">IFERROR(IF(VLOOKUP($A232,RA_result!$B$3:$N$62,6,0)="",S232*T232,VLOOKUP($A232,RA_result!$B$3:$N$62,6,0)),"")</f>
        <v/>
      </c>
      <c r="V232" s="61" t="s">
        <v>56</v>
      </c>
      <c r="W232" s="62" t="n">
        <f aca="false">IFERROR((S232*30%)/V232,0)</f>
        <v>0</v>
      </c>
      <c r="X232" s="63" t="n">
        <f aca="false">IFERROR(N232/W232,0)</f>
        <v>0</v>
      </c>
      <c r="Y232" s="68"/>
      <c r="Z232" s="57"/>
      <c r="AA232" s="69" t="str">
        <f aca="false">IF(OR(U232="",Y232="",Z232=""),"",IF(AND(U232&gt;Y232,-U232&lt;Z232),"Ok","Not Ok"))</f>
        <v/>
      </c>
      <c r="AB232" s="70"/>
    </row>
    <row r="233" customFormat="false" ht="12.8" hidden="false" customHeight="false" outlineLevel="0" collapsed="false">
      <c r="A233" s="48" t="n">
        <f aca="false">TB_audited!A216</f>
        <v>0</v>
      </c>
      <c r="B233" s="49"/>
      <c r="C233" s="50"/>
      <c r="D233" s="51" t="n">
        <f aca="false">TB_audited!B216</f>
        <v>0</v>
      </c>
      <c r="E233" s="52" t="n">
        <f aca="false">TB_audited!C216</f>
        <v>0</v>
      </c>
      <c r="F233" s="53" t="n">
        <f aca="false">TB_audited!D216</f>
        <v>0</v>
      </c>
      <c r="G233" s="54" t="n">
        <f aca="false">IF($D$8="Interim",TB_audited!G216,TB_audited!E216)</f>
        <v>0</v>
      </c>
      <c r="H233" s="55" t="str">
        <f aca="false">IFERROR(VLOOKUP($A233,RA_result!$B$3:$N$62,11,0),"")</f>
        <v/>
      </c>
      <c r="I233" s="55" t="str">
        <f aca="false">IFERROR(VLOOKUP($A233,RA_result!$B$3:$N$62,12,0),"")</f>
        <v/>
      </c>
      <c r="J233" s="55" t="str">
        <f aca="false">IFERROR(VLOOKUP($A233,RA_result!$B$3:$N$62,13,0),"")</f>
        <v/>
      </c>
      <c r="K233" s="56"/>
      <c r="L233" s="56"/>
      <c r="M233" s="57" t="n">
        <f aca="false">G233</f>
        <v>0</v>
      </c>
      <c r="N233" s="54" t="n">
        <f aca="false">G233-M233</f>
        <v>0</v>
      </c>
      <c r="O233" s="55" t="str">
        <f aca="false">IFERROR(VLOOKUP($A233,RA_result!$B$3:$N$62,7,0),"")</f>
        <v/>
      </c>
      <c r="P233" s="52" t="str">
        <f aca="false">IFERROR(VLOOKUP($A233,RA_result!$B$3:$N$62,9,0),"")</f>
        <v/>
      </c>
      <c r="Q233" s="52" t="str">
        <f aca="false">IFERROR(VLOOKUP($A233,RA_result!$B$3:$N$62,10,0),"")</f>
        <v/>
      </c>
      <c r="R233" s="58" t="s">
        <v>55</v>
      </c>
      <c r="S233" s="59" t="str">
        <f aca="false">IFERROR(VLOOKUP($A233,RA_result!$B$3:$N$62,4,0),"")</f>
        <v/>
      </c>
      <c r="T233" s="60" t="s">
        <v>56</v>
      </c>
      <c r="U233" s="59" t="str">
        <f aca="false">IFERROR(IF(VLOOKUP($A233,RA_result!$B$3:$N$62,6,0)="",S233*T233,VLOOKUP($A233,RA_result!$B$3:$N$62,6,0)),"")</f>
        <v/>
      </c>
      <c r="V233" s="61" t="s">
        <v>56</v>
      </c>
      <c r="W233" s="62" t="n">
        <f aca="false">IFERROR((S233*30%)/V233,0)</f>
        <v>0</v>
      </c>
      <c r="X233" s="63" t="n">
        <f aca="false">IFERROR(N233/W233,0)</f>
        <v>0</v>
      </c>
      <c r="Y233" s="68"/>
      <c r="Z233" s="57"/>
      <c r="AA233" s="69" t="str">
        <f aca="false">IF(OR(U233="",Y233="",Z233=""),"",IF(AND(U233&gt;Y233,-U233&lt;Z233),"Ok","Not Ok"))</f>
        <v/>
      </c>
      <c r="AB233" s="70"/>
    </row>
    <row r="234" customFormat="false" ht="12.8" hidden="false" customHeight="false" outlineLevel="0" collapsed="false">
      <c r="A234" s="48" t="n">
        <f aca="false">TB_audited!A217</f>
        <v>0</v>
      </c>
      <c r="B234" s="49"/>
      <c r="C234" s="50"/>
      <c r="D234" s="51" t="n">
        <f aca="false">TB_audited!B217</f>
        <v>0</v>
      </c>
      <c r="E234" s="52" t="n">
        <f aca="false">TB_audited!C217</f>
        <v>0</v>
      </c>
      <c r="F234" s="53" t="n">
        <f aca="false">TB_audited!D217</f>
        <v>0</v>
      </c>
      <c r="G234" s="54" t="n">
        <f aca="false">IF($D$8="Interim",TB_audited!G217,TB_audited!E217)</f>
        <v>0</v>
      </c>
      <c r="H234" s="55" t="str">
        <f aca="false">IFERROR(VLOOKUP($A234,RA_result!$B$3:$N$62,11,0),"")</f>
        <v/>
      </c>
      <c r="I234" s="55" t="str">
        <f aca="false">IFERROR(VLOOKUP($A234,RA_result!$B$3:$N$62,12,0),"")</f>
        <v/>
      </c>
      <c r="J234" s="55" t="str">
        <f aca="false">IFERROR(VLOOKUP($A234,RA_result!$B$3:$N$62,13,0),"")</f>
        <v/>
      </c>
      <c r="K234" s="56"/>
      <c r="L234" s="56"/>
      <c r="M234" s="57" t="n">
        <f aca="false">G234</f>
        <v>0</v>
      </c>
      <c r="N234" s="54" t="n">
        <f aca="false">G234-M234</f>
        <v>0</v>
      </c>
      <c r="O234" s="55" t="str">
        <f aca="false">IFERROR(VLOOKUP($A234,RA_result!$B$3:$N$62,7,0),"")</f>
        <v/>
      </c>
      <c r="P234" s="52" t="str">
        <f aca="false">IFERROR(VLOOKUP($A234,RA_result!$B$3:$N$62,9,0),"")</f>
        <v/>
      </c>
      <c r="Q234" s="52" t="str">
        <f aca="false">IFERROR(VLOOKUP($A234,RA_result!$B$3:$N$62,10,0),"")</f>
        <v/>
      </c>
      <c r="R234" s="58" t="s">
        <v>55</v>
      </c>
      <c r="S234" s="59" t="str">
        <f aca="false">IFERROR(VLOOKUP($A234,RA_result!$B$3:$N$62,4,0),"")</f>
        <v/>
      </c>
      <c r="T234" s="60" t="s">
        <v>56</v>
      </c>
      <c r="U234" s="59" t="str">
        <f aca="false">IFERROR(IF(VLOOKUP($A234,RA_result!$B$3:$N$62,6,0)="",S234*T234,VLOOKUP($A234,RA_result!$B$3:$N$62,6,0)),"")</f>
        <v/>
      </c>
      <c r="V234" s="61" t="s">
        <v>56</v>
      </c>
      <c r="W234" s="62" t="n">
        <f aca="false">IFERROR((S234*30%)/V234,0)</f>
        <v>0</v>
      </c>
      <c r="X234" s="63" t="n">
        <f aca="false">IFERROR(N234/W234,0)</f>
        <v>0</v>
      </c>
      <c r="Y234" s="68"/>
      <c r="Z234" s="57"/>
      <c r="AA234" s="69" t="str">
        <f aca="false">IF(OR(U234="",Y234="",Z234=""),"",IF(AND(U234&gt;Y234,-U234&lt;Z234),"Ok","Not Ok"))</f>
        <v/>
      </c>
      <c r="AB234" s="70"/>
    </row>
    <row r="235" customFormat="false" ht="12.8" hidden="false" customHeight="false" outlineLevel="0" collapsed="false">
      <c r="A235" s="48" t="n">
        <f aca="false">TB_audited!A218</f>
        <v>0</v>
      </c>
      <c r="B235" s="49"/>
      <c r="C235" s="50"/>
      <c r="D235" s="51" t="n">
        <f aca="false">TB_audited!B218</f>
        <v>0</v>
      </c>
      <c r="E235" s="52" t="n">
        <f aca="false">TB_audited!C218</f>
        <v>0</v>
      </c>
      <c r="F235" s="53" t="n">
        <f aca="false">TB_audited!D218</f>
        <v>0</v>
      </c>
      <c r="G235" s="54" t="n">
        <f aca="false">IF($D$8="Interim",TB_audited!G218,TB_audited!E218)</f>
        <v>0</v>
      </c>
      <c r="H235" s="55" t="str">
        <f aca="false">IFERROR(VLOOKUP($A235,RA_result!$B$3:$N$62,11,0),"")</f>
        <v/>
      </c>
      <c r="I235" s="55" t="str">
        <f aca="false">IFERROR(VLOOKUP($A235,RA_result!$B$3:$N$62,12,0),"")</f>
        <v/>
      </c>
      <c r="J235" s="55" t="str">
        <f aca="false">IFERROR(VLOOKUP($A235,RA_result!$B$3:$N$62,13,0),"")</f>
        <v/>
      </c>
      <c r="K235" s="56"/>
      <c r="L235" s="56"/>
      <c r="M235" s="57" t="n">
        <f aca="false">G235</f>
        <v>0</v>
      </c>
      <c r="N235" s="54" t="n">
        <f aca="false">G235-M235</f>
        <v>0</v>
      </c>
      <c r="O235" s="55" t="str">
        <f aca="false">IFERROR(VLOOKUP($A235,RA_result!$B$3:$N$62,7,0),"")</f>
        <v/>
      </c>
      <c r="P235" s="52" t="str">
        <f aca="false">IFERROR(VLOOKUP($A235,RA_result!$B$3:$N$62,9,0),"")</f>
        <v/>
      </c>
      <c r="Q235" s="52" t="str">
        <f aca="false">IFERROR(VLOOKUP($A235,RA_result!$B$3:$N$62,10,0),"")</f>
        <v/>
      </c>
      <c r="R235" s="58" t="s">
        <v>55</v>
      </c>
      <c r="S235" s="59" t="str">
        <f aca="false">IFERROR(VLOOKUP($A235,RA_result!$B$3:$N$62,4,0),"")</f>
        <v/>
      </c>
      <c r="T235" s="60" t="s">
        <v>56</v>
      </c>
      <c r="U235" s="59" t="str">
        <f aca="false">IFERROR(IF(VLOOKUP($A235,RA_result!$B$3:$N$62,6,0)="",S235*T235,VLOOKUP($A235,RA_result!$B$3:$N$62,6,0)),"")</f>
        <v/>
      </c>
      <c r="V235" s="61" t="s">
        <v>56</v>
      </c>
      <c r="W235" s="62" t="n">
        <f aca="false">IFERROR((S235*30%)/V235,0)</f>
        <v>0</v>
      </c>
      <c r="X235" s="63" t="n">
        <f aca="false">IFERROR(N235/W235,0)</f>
        <v>0</v>
      </c>
      <c r="Y235" s="68"/>
      <c r="Z235" s="57"/>
      <c r="AA235" s="69" t="str">
        <f aca="false">IF(OR(U235="",Y235="",Z235=""),"",IF(AND(U235&gt;Y235,-U235&lt;Z235),"Ok","Not Ok"))</f>
        <v/>
      </c>
      <c r="AB235" s="70"/>
    </row>
    <row r="236" customFormat="false" ht="12.8" hidden="false" customHeight="false" outlineLevel="0" collapsed="false">
      <c r="A236" s="48" t="n">
        <f aca="false">TB_audited!A219</f>
        <v>0</v>
      </c>
      <c r="B236" s="49"/>
      <c r="C236" s="50"/>
      <c r="D236" s="51" t="n">
        <f aca="false">TB_audited!B219</f>
        <v>0</v>
      </c>
      <c r="E236" s="52" t="n">
        <f aca="false">TB_audited!C219</f>
        <v>0</v>
      </c>
      <c r="F236" s="53" t="n">
        <f aca="false">TB_audited!D219</f>
        <v>0</v>
      </c>
      <c r="G236" s="54" t="n">
        <f aca="false">IF($D$8="Interim",TB_audited!G219,TB_audited!E219)</f>
        <v>0</v>
      </c>
      <c r="H236" s="55" t="str">
        <f aca="false">IFERROR(VLOOKUP($A236,RA_result!$B$3:$N$62,11,0),"")</f>
        <v/>
      </c>
      <c r="I236" s="55" t="str">
        <f aca="false">IFERROR(VLOOKUP($A236,RA_result!$B$3:$N$62,12,0),"")</f>
        <v/>
      </c>
      <c r="J236" s="55" t="str">
        <f aca="false">IFERROR(VLOOKUP($A236,RA_result!$B$3:$N$62,13,0),"")</f>
        <v/>
      </c>
      <c r="K236" s="56"/>
      <c r="L236" s="56"/>
      <c r="M236" s="57" t="n">
        <f aca="false">G236</f>
        <v>0</v>
      </c>
      <c r="N236" s="54" t="n">
        <f aca="false">G236-M236</f>
        <v>0</v>
      </c>
      <c r="O236" s="55" t="str">
        <f aca="false">IFERROR(VLOOKUP($A236,RA_result!$B$3:$N$62,7,0),"")</f>
        <v/>
      </c>
      <c r="P236" s="52" t="str">
        <f aca="false">IFERROR(VLOOKUP($A236,RA_result!$B$3:$N$62,9,0),"")</f>
        <v/>
      </c>
      <c r="Q236" s="52" t="str">
        <f aca="false">IFERROR(VLOOKUP($A236,RA_result!$B$3:$N$62,10,0),"")</f>
        <v/>
      </c>
      <c r="R236" s="58" t="s">
        <v>55</v>
      </c>
      <c r="S236" s="59" t="str">
        <f aca="false">IFERROR(VLOOKUP($A236,RA_result!$B$3:$N$62,4,0),"")</f>
        <v/>
      </c>
      <c r="T236" s="60" t="s">
        <v>56</v>
      </c>
      <c r="U236" s="59" t="str">
        <f aca="false">IFERROR(IF(VLOOKUP($A236,RA_result!$B$3:$N$62,6,0)="",S236*T236,VLOOKUP($A236,RA_result!$B$3:$N$62,6,0)),"")</f>
        <v/>
      </c>
      <c r="V236" s="61" t="s">
        <v>56</v>
      </c>
      <c r="W236" s="62" t="n">
        <f aca="false">IFERROR((S236*30%)/V236,0)</f>
        <v>0</v>
      </c>
      <c r="X236" s="63" t="n">
        <f aca="false">IFERROR(N236/W236,0)</f>
        <v>0</v>
      </c>
      <c r="Y236" s="68"/>
      <c r="Z236" s="57"/>
      <c r="AA236" s="69" t="str">
        <f aca="false">IF(OR(U236="",Y236="",Z236=""),"",IF(AND(U236&gt;Y236,-U236&lt;Z236),"Ok","Not Ok"))</f>
        <v/>
      </c>
      <c r="AB236" s="70"/>
    </row>
    <row r="237" customFormat="false" ht="12.8" hidden="false" customHeight="false" outlineLevel="0" collapsed="false">
      <c r="A237" s="48" t="n">
        <f aca="false">TB_audited!A220</f>
        <v>0</v>
      </c>
      <c r="B237" s="49"/>
      <c r="C237" s="50"/>
      <c r="D237" s="51" t="n">
        <f aca="false">TB_audited!B220</f>
        <v>0</v>
      </c>
      <c r="E237" s="52" t="n">
        <f aca="false">TB_audited!C220</f>
        <v>0</v>
      </c>
      <c r="F237" s="53" t="n">
        <f aca="false">TB_audited!D220</f>
        <v>0</v>
      </c>
      <c r="G237" s="54" t="n">
        <f aca="false">IF($D$8="Interim",TB_audited!G220,TB_audited!E220)</f>
        <v>0</v>
      </c>
      <c r="H237" s="55" t="str">
        <f aca="false">IFERROR(VLOOKUP($A237,RA_result!$B$3:$N$62,11,0),"")</f>
        <v/>
      </c>
      <c r="I237" s="55" t="str">
        <f aca="false">IFERROR(VLOOKUP($A237,RA_result!$B$3:$N$62,12,0),"")</f>
        <v/>
      </c>
      <c r="J237" s="55" t="str">
        <f aca="false">IFERROR(VLOOKUP($A237,RA_result!$B$3:$N$62,13,0),"")</f>
        <v/>
      </c>
      <c r="K237" s="56"/>
      <c r="L237" s="56"/>
      <c r="M237" s="57" t="n">
        <f aca="false">G237</f>
        <v>0</v>
      </c>
      <c r="N237" s="54" t="n">
        <f aca="false">G237-M237</f>
        <v>0</v>
      </c>
      <c r="O237" s="55" t="str">
        <f aca="false">IFERROR(VLOOKUP($A237,RA_result!$B$3:$N$62,7,0),"")</f>
        <v/>
      </c>
      <c r="P237" s="52" t="str">
        <f aca="false">IFERROR(VLOOKUP($A237,RA_result!$B$3:$N$62,9,0),"")</f>
        <v/>
      </c>
      <c r="Q237" s="52" t="str">
        <f aca="false">IFERROR(VLOOKUP($A237,RA_result!$B$3:$N$62,10,0),"")</f>
        <v/>
      </c>
      <c r="R237" s="58" t="s">
        <v>55</v>
      </c>
      <c r="S237" s="59" t="str">
        <f aca="false">IFERROR(VLOOKUP($A237,RA_result!$B$3:$N$62,4,0),"")</f>
        <v/>
      </c>
      <c r="T237" s="60" t="s">
        <v>56</v>
      </c>
      <c r="U237" s="59" t="str">
        <f aca="false">IFERROR(IF(VLOOKUP($A237,RA_result!$B$3:$N$62,6,0)="",S237*T237,VLOOKUP($A237,RA_result!$B$3:$N$62,6,0)),"")</f>
        <v/>
      </c>
      <c r="V237" s="61" t="s">
        <v>56</v>
      </c>
      <c r="W237" s="62" t="n">
        <f aca="false">IFERROR((S237*30%)/V237,0)</f>
        <v>0</v>
      </c>
      <c r="X237" s="63" t="n">
        <f aca="false">IFERROR(N237/W237,0)</f>
        <v>0</v>
      </c>
      <c r="Y237" s="68"/>
      <c r="Z237" s="57"/>
      <c r="AA237" s="69" t="str">
        <f aca="false">IF(OR(U237="",Y237="",Z237=""),"",IF(AND(U237&gt;Y237,-U237&lt;Z237),"Ok","Not Ok"))</f>
        <v/>
      </c>
      <c r="AB237" s="70"/>
    </row>
    <row r="238" customFormat="false" ht="12.8" hidden="false" customHeight="false" outlineLevel="0" collapsed="false">
      <c r="A238" s="48" t="n">
        <f aca="false">TB_audited!A221</f>
        <v>0</v>
      </c>
      <c r="B238" s="49"/>
      <c r="C238" s="50"/>
      <c r="D238" s="51" t="n">
        <f aca="false">TB_audited!B221</f>
        <v>0</v>
      </c>
      <c r="E238" s="52" t="n">
        <f aca="false">TB_audited!C221</f>
        <v>0</v>
      </c>
      <c r="F238" s="53" t="n">
        <f aca="false">TB_audited!D221</f>
        <v>0</v>
      </c>
      <c r="G238" s="54" t="n">
        <f aca="false">IF($D$8="Interim",TB_audited!G221,TB_audited!E221)</f>
        <v>0</v>
      </c>
      <c r="H238" s="55" t="str">
        <f aca="false">IFERROR(VLOOKUP($A238,RA_result!$B$3:$N$62,11,0),"")</f>
        <v/>
      </c>
      <c r="I238" s="55" t="str">
        <f aca="false">IFERROR(VLOOKUP($A238,RA_result!$B$3:$N$62,12,0),"")</f>
        <v/>
      </c>
      <c r="J238" s="55" t="str">
        <f aca="false">IFERROR(VLOOKUP($A238,RA_result!$B$3:$N$62,13,0),"")</f>
        <v/>
      </c>
      <c r="K238" s="56"/>
      <c r="L238" s="56"/>
      <c r="M238" s="57" t="n">
        <f aca="false">G238</f>
        <v>0</v>
      </c>
      <c r="N238" s="54" t="n">
        <f aca="false">G238-M238</f>
        <v>0</v>
      </c>
      <c r="O238" s="55" t="str">
        <f aca="false">IFERROR(VLOOKUP($A238,RA_result!$B$3:$N$62,7,0),"")</f>
        <v/>
      </c>
      <c r="P238" s="52" t="str">
        <f aca="false">IFERROR(VLOOKUP($A238,RA_result!$B$3:$N$62,9,0),"")</f>
        <v/>
      </c>
      <c r="Q238" s="52" t="str">
        <f aca="false">IFERROR(VLOOKUP($A238,RA_result!$B$3:$N$62,10,0),"")</f>
        <v/>
      </c>
      <c r="R238" s="58" t="s">
        <v>55</v>
      </c>
      <c r="S238" s="59" t="str">
        <f aca="false">IFERROR(VLOOKUP($A238,RA_result!$B$3:$N$62,4,0),"")</f>
        <v/>
      </c>
      <c r="T238" s="60" t="s">
        <v>56</v>
      </c>
      <c r="U238" s="59" t="str">
        <f aca="false">IFERROR(IF(VLOOKUP($A238,RA_result!$B$3:$N$62,6,0)="",S238*T238,VLOOKUP($A238,RA_result!$B$3:$N$62,6,0)),"")</f>
        <v/>
      </c>
      <c r="V238" s="61" t="s">
        <v>56</v>
      </c>
      <c r="W238" s="62" t="n">
        <f aca="false">IFERROR((S238*30%)/V238,0)</f>
        <v>0</v>
      </c>
      <c r="X238" s="63" t="n">
        <f aca="false">IFERROR(N238/W238,0)</f>
        <v>0</v>
      </c>
      <c r="Y238" s="68"/>
      <c r="Z238" s="57"/>
      <c r="AA238" s="69" t="str">
        <f aca="false">IF(OR(U238="",Y238="",Z238=""),"",IF(AND(U238&gt;Y238,-U238&lt;Z238),"Ok","Not Ok"))</f>
        <v/>
      </c>
      <c r="AB238" s="70"/>
    </row>
    <row r="239" customFormat="false" ht="12.8" hidden="false" customHeight="false" outlineLevel="0" collapsed="false">
      <c r="A239" s="48" t="n">
        <f aca="false">TB_audited!A222</f>
        <v>0</v>
      </c>
      <c r="B239" s="49"/>
      <c r="C239" s="50"/>
      <c r="D239" s="51" t="n">
        <f aca="false">TB_audited!B222</f>
        <v>0</v>
      </c>
      <c r="E239" s="52" t="n">
        <f aca="false">TB_audited!C222</f>
        <v>0</v>
      </c>
      <c r="F239" s="53" t="n">
        <f aca="false">TB_audited!D222</f>
        <v>0</v>
      </c>
      <c r="G239" s="54" t="n">
        <f aca="false">IF($D$8="Interim",TB_audited!G222,TB_audited!E222)</f>
        <v>0</v>
      </c>
      <c r="H239" s="55" t="str">
        <f aca="false">IFERROR(VLOOKUP($A239,RA_result!$B$3:$N$62,11,0),"")</f>
        <v/>
      </c>
      <c r="I239" s="55" t="str">
        <f aca="false">IFERROR(VLOOKUP($A239,RA_result!$B$3:$N$62,12,0),"")</f>
        <v/>
      </c>
      <c r="J239" s="55" t="str">
        <f aca="false">IFERROR(VLOOKUP($A239,RA_result!$B$3:$N$62,13,0),"")</f>
        <v/>
      </c>
      <c r="K239" s="56"/>
      <c r="L239" s="56"/>
      <c r="M239" s="57" t="n">
        <f aca="false">G239</f>
        <v>0</v>
      </c>
      <c r="N239" s="54" t="n">
        <f aca="false">G239-M239</f>
        <v>0</v>
      </c>
      <c r="O239" s="55" t="str">
        <f aca="false">IFERROR(VLOOKUP($A239,RA_result!$B$3:$N$62,7,0),"")</f>
        <v/>
      </c>
      <c r="P239" s="52" t="str">
        <f aca="false">IFERROR(VLOOKUP($A239,RA_result!$B$3:$N$62,9,0),"")</f>
        <v/>
      </c>
      <c r="Q239" s="52" t="str">
        <f aca="false">IFERROR(VLOOKUP($A239,RA_result!$B$3:$N$62,10,0),"")</f>
        <v/>
      </c>
      <c r="R239" s="58" t="s">
        <v>55</v>
      </c>
      <c r="S239" s="59" t="str">
        <f aca="false">IFERROR(VLOOKUP($A239,RA_result!$B$3:$N$62,4,0),"")</f>
        <v/>
      </c>
      <c r="T239" s="60" t="s">
        <v>56</v>
      </c>
      <c r="U239" s="59" t="str">
        <f aca="false">IFERROR(IF(VLOOKUP($A239,RA_result!$B$3:$N$62,6,0)="",S239*T239,VLOOKUP($A239,RA_result!$B$3:$N$62,6,0)),"")</f>
        <v/>
      </c>
      <c r="V239" s="61" t="s">
        <v>56</v>
      </c>
      <c r="W239" s="62" t="n">
        <f aca="false">IFERROR((S239*30%)/V239,0)</f>
        <v>0</v>
      </c>
      <c r="X239" s="63" t="n">
        <f aca="false">IFERROR(N239/W239,0)</f>
        <v>0</v>
      </c>
      <c r="Y239" s="68"/>
      <c r="Z239" s="57"/>
      <c r="AA239" s="69" t="str">
        <f aca="false">IF(OR(U239="",Y239="",Z239=""),"",IF(AND(U239&gt;Y239,-U239&lt;Z239),"Ok","Not Ok"))</f>
        <v/>
      </c>
      <c r="AB239" s="70"/>
    </row>
    <row r="240" customFormat="false" ht="12.8" hidden="false" customHeight="false" outlineLevel="0" collapsed="false">
      <c r="A240" s="48" t="n">
        <f aca="false">TB_audited!A223</f>
        <v>0</v>
      </c>
      <c r="B240" s="49"/>
      <c r="C240" s="50"/>
      <c r="D240" s="51" t="n">
        <f aca="false">TB_audited!B223</f>
        <v>0</v>
      </c>
      <c r="E240" s="52" t="n">
        <f aca="false">TB_audited!C223</f>
        <v>0</v>
      </c>
      <c r="F240" s="53" t="n">
        <f aca="false">TB_audited!D223</f>
        <v>0</v>
      </c>
      <c r="G240" s="54" t="n">
        <f aca="false">IF($D$8="Interim",TB_audited!G223,TB_audited!E223)</f>
        <v>0</v>
      </c>
      <c r="H240" s="55" t="str">
        <f aca="false">IFERROR(VLOOKUP($A240,RA_result!$B$3:$N$62,11,0),"")</f>
        <v/>
      </c>
      <c r="I240" s="55" t="str">
        <f aca="false">IFERROR(VLOOKUP($A240,RA_result!$B$3:$N$62,12,0),"")</f>
        <v/>
      </c>
      <c r="J240" s="55" t="str">
        <f aca="false">IFERROR(VLOOKUP($A240,RA_result!$B$3:$N$62,13,0),"")</f>
        <v/>
      </c>
      <c r="K240" s="56"/>
      <c r="L240" s="56"/>
      <c r="M240" s="57" t="n">
        <f aca="false">G240</f>
        <v>0</v>
      </c>
      <c r="N240" s="54" t="n">
        <f aca="false">G240-M240</f>
        <v>0</v>
      </c>
      <c r="O240" s="55" t="str">
        <f aca="false">IFERROR(VLOOKUP($A240,RA_result!$B$3:$N$62,7,0),"")</f>
        <v/>
      </c>
      <c r="P240" s="52" t="str">
        <f aca="false">IFERROR(VLOOKUP($A240,RA_result!$B$3:$N$62,9,0),"")</f>
        <v/>
      </c>
      <c r="Q240" s="52" t="str">
        <f aca="false">IFERROR(VLOOKUP($A240,RA_result!$B$3:$N$62,10,0),"")</f>
        <v/>
      </c>
      <c r="R240" s="58" t="s">
        <v>55</v>
      </c>
      <c r="S240" s="59" t="str">
        <f aca="false">IFERROR(VLOOKUP($A240,RA_result!$B$3:$N$62,4,0),"")</f>
        <v/>
      </c>
      <c r="T240" s="60" t="s">
        <v>56</v>
      </c>
      <c r="U240" s="59" t="str">
        <f aca="false">IFERROR(IF(VLOOKUP($A240,RA_result!$B$3:$N$62,6,0)="",S240*T240,VLOOKUP($A240,RA_result!$B$3:$N$62,6,0)),"")</f>
        <v/>
      </c>
      <c r="V240" s="61" t="s">
        <v>56</v>
      </c>
      <c r="W240" s="62" t="n">
        <f aca="false">IFERROR((S240*30%)/V240,0)</f>
        <v>0</v>
      </c>
      <c r="X240" s="63" t="n">
        <f aca="false">IFERROR(N240/W240,0)</f>
        <v>0</v>
      </c>
      <c r="Y240" s="68"/>
      <c r="Z240" s="57"/>
      <c r="AA240" s="69" t="str">
        <f aca="false">IF(OR(U240="",Y240="",Z240=""),"",IF(AND(U240&gt;Y240,-U240&lt;Z240),"Ok","Not Ok"))</f>
        <v/>
      </c>
      <c r="AB240" s="70"/>
    </row>
    <row r="241" customFormat="false" ht="12.8" hidden="false" customHeight="false" outlineLevel="0" collapsed="false">
      <c r="A241" s="48" t="n">
        <f aca="false">TB_audited!A224</f>
        <v>0</v>
      </c>
      <c r="B241" s="49"/>
      <c r="C241" s="50"/>
      <c r="D241" s="51" t="n">
        <f aca="false">TB_audited!B224</f>
        <v>0</v>
      </c>
      <c r="E241" s="52" t="n">
        <f aca="false">TB_audited!C224</f>
        <v>0</v>
      </c>
      <c r="F241" s="53" t="n">
        <f aca="false">TB_audited!D224</f>
        <v>0</v>
      </c>
      <c r="G241" s="54" t="n">
        <f aca="false">IF($D$8="Interim",TB_audited!G224,TB_audited!E224)</f>
        <v>0</v>
      </c>
      <c r="H241" s="55" t="str">
        <f aca="false">IFERROR(VLOOKUP($A241,RA_result!$B$3:$N$62,11,0),"")</f>
        <v/>
      </c>
      <c r="I241" s="55" t="str">
        <f aca="false">IFERROR(VLOOKUP($A241,RA_result!$B$3:$N$62,12,0),"")</f>
        <v/>
      </c>
      <c r="J241" s="55" t="str">
        <f aca="false">IFERROR(VLOOKUP($A241,RA_result!$B$3:$N$62,13,0),"")</f>
        <v/>
      </c>
      <c r="K241" s="56"/>
      <c r="L241" s="56"/>
      <c r="M241" s="57" t="n">
        <f aca="false">G241</f>
        <v>0</v>
      </c>
      <c r="N241" s="54" t="n">
        <f aca="false">G241-M241</f>
        <v>0</v>
      </c>
      <c r="O241" s="55" t="str">
        <f aca="false">IFERROR(VLOOKUP($A241,RA_result!$B$3:$N$62,7,0),"")</f>
        <v/>
      </c>
      <c r="P241" s="52" t="str">
        <f aca="false">IFERROR(VLOOKUP($A241,RA_result!$B$3:$N$62,9,0),"")</f>
        <v/>
      </c>
      <c r="Q241" s="52" t="str">
        <f aca="false">IFERROR(VLOOKUP($A241,RA_result!$B$3:$N$62,10,0),"")</f>
        <v/>
      </c>
      <c r="R241" s="58" t="s">
        <v>55</v>
      </c>
      <c r="S241" s="59" t="str">
        <f aca="false">IFERROR(VLOOKUP($A241,RA_result!$B$3:$N$62,4,0),"")</f>
        <v/>
      </c>
      <c r="T241" s="60" t="s">
        <v>56</v>
      </c>
      <c r="U241" s="59" t="str">
        <f aca="false">IFERROR(IF(VLOOKUP($A241,RA_result!$B$3:$N$62,6,0)="",S241*T241,VLOOKUP($A241,RA_result!$B$3:$N$62,6,0)),"")</f>
        <v/>
      </c>
      <c r="V241" s="61" t="s">
        <v>56</v>
      </c>
      <c r="W241" s="62" t="n">
        <f aca="false">IFERROR((S241*30%)/V241,0)</f>
        <v>0</v>
      </c>
      <c r="X241" s="63" t="n">
        <f aca="false">IFERROR(N241/W241,0)</f>
        <v>0</v>
      </c>
      <c r="Y241" s="68"/>
      <c r="Z241" s="57"/>
      <c r="AA241" s="69" t="str">
        <f aca="false">IF(OR(U241="",Y241="",Z241=""),"",IF(AND(U241&gt;Y241,-U241&lt;Z241),"Ok","Not Ok"))</f>
        <v/>
      </c>
      <c r="AB241" s="70"/>
    </row>
    <row r="242" customFormat="false" ht="12.8" hidden="false" customHeight="false" outlineLevel="0" collapsed="false">
      <c r="A242" s="48" t="n">
        <f aca="false">TB_audited!A225</f>
        <v>0</v>
      </c>
      <c r="B242" s="49"/>
      <c r="C242" s="50"/>
      <c r="D242" s="51" t="n">
        <f aca="false">TB_audited!B225</f>
        <v>0</v>
      </c>
      <c r="E242" s="52" t="n">
        <f aca="false">TB_audited!C225</f>
        <v>0</v>
      </c>
      <c r="F242" s="53" t="n">
        <f aca="false">TB_audited!D225</f>
        <v>0</v>
      </c>
      <c r="G242" s="54" t="n">
        <f aca="false">IF($D$8="Interim",TB_audited!G225,TB_audited!E225)</f>
        <v>0</v>
      </c>
      <c r="H242" s="55" t="str">
        <f aca="false">IFERROR(VLOOKUP($A242,RA_result!$B$3:$N$62,11,0),"")</f>
        <v/>
      </c>
      <c r="I242" s="55" t="str">
        <f aca="false">IFERROR(VLOOKUP($A242,RA_result!$B$3:$N$62,12,0),"")</f>
        <v/>
      </c>
      <c r="J242" s="55" t="str">
        <f aca="false">IFERROR(VLOOKUP($A242,RA_result!$B$3:$N$62,13,0),"")</f>
        <v/>
      </c>
      <c r="K242" s="56"/>
      <c r="L242" s="56"/>
      <c r="M242" s="57" t="n">
        <f aca="false">G242</f>
        <v>0</v>
      </c>
      <c r="N242" s="54" t="n">
        <f aca="false">G242-M242</f>
        <v>0</v>
      </c>
      <c r="O242" s="55" t="str">
        <f aca="false">IFERROR(VLOOKUP($A242,RA_result!$B$3:$N$62,7,0),"")</f>
        <v/>
      </c>
      <c r="P242" s="52" t="str">
        <f aca="false">IFERROR(VLOOKUP($A242,RA_result!$B$3:$N$62,9,0),"")</f>
        <v/>
      </c>
      <c r="Q242" s="52" t="str">
        <f aca="false">IFERROR(VLOOKUP($A242,RA_result!$B$3:$N$62,10,0),"")</f>
        <v/>
      </c>
      <c r="R242" s="58" t="s">
        <v>55</v>
      </c>
      <c r="S242" s="59" t="str">
        <f aca="false">IFERROR(VLOOKUP($A242,RA_result!$B$3:$N$62,4,0),"")</f>
        <v/>
      </c>
      <c r="T242" s="60" t="s">
        <v>56</v>
      </c>
      <c r="U242" s="59" t="str">
        <f aca="false">IFERROR(IF(VLOOKUP($A242,RA_result!$B$3:$N$62,6,0)="",S242*T242,VLOOKUP($A242,RA_result!$B$3:$N$62,6,0)),"")</f>
        <v/>
      </c>
      <c r="V242" s="61" t="s">
        <v>56</v>
      </c>
      <c r="W242" s="62" t="n">
        <f aca="false">IFERROR((S242*30%)/V242,0)</f>
        <v>0</v>
      </c>
      <c r="X242" s="63" t="n">
        <f aca="false">IFERROR(N242/W242,0)</f>
        <v>0</v>
      </c>
      <c r="Y242" s="68"/>
      <c r="Z242" s="57"/>
      <c r="AA242" s="69" t="str">
        <f aca="false">IF(OR(U242="",Y242="",Z242=""),"",IF(AND(U242&gt;Y242,-U242&lt;Z242),"Ok","Not Ok"))</f>
        <v/>
      </c>
      <c r="AB242" s="70"/>
    </row>
    <row r="243" customFormat="false" ht="12.8" hidden="false" customHeight="false" outlineLevel="0" collapsed="false">
      <c r="A243" s="48" t="n">
        <f aca="false">TB_audited!A226</f>
        <v>0</v>
      </c>
      <c r="B243" s="49"/>
      <c r="C243" s="50"/>
      <c r="D243" s="51" t="n">
        <f aca="false">TB_audited!B226</f>
        <v>0</v>
      </c>
      <c r="E243" s="52" t="n">
        <f aca="false">TB_audited!C226</f>
        <v>0</v>
      </c>
      <c r="F243" s="53" t="n">
        <f aca="false">TB_audited!D226</f>
        <v>0</v>
      </c>
      <c r="G243" s="54" t="n">
        <f aca="false">IF($D$8="Interim",TB_audited!G226,TB_audited!E226)</f>
        <v>0</v>
      </c>
      <c r="H243" s="55" t="str">
        <f aca="false">IFERROR(VLOOKUP($A243,RA_result!$B$3:$N$62,11,0),"")</f>
        <v/>
      </c>
      <c r="I243" s="55" t="str">
        <f aca="false">IFERROR(VLOOKUP($A243,RA_result!$B$3:$N$62,12,0),"")</f>
        <v/>
      </c>
      <c r="J243" s="55" t="str">
        <f aca="false">IFERROR(VLOOKUP($A243,RA_result!$B$3:$N$62,13,0),"")</f>
        <v/>
      </c>
      <c r="K243" s="56"/>
      <c r="L243" s="56"/>
      <c r="M243" s="57" t="n">
        <f aca="false">G243</f>
        <v>0</v>
      </c>
      <c r="N243" s="54" t="n">
        <f aca="false">G243-M243</f>
        <v>0</v>
      </c>
      <c r="O243" s="55" t="str">
        <f aca="false">IFERROR(VLOOKUP($A243,RA_result!$B$3:$N$62,7,0),"")</f>
        <v/>
      </c>
      <c r="P243" s="52" t="str">
        <f aca="false">IFERROR(VLOOKUP($A243,RA_result!$B$3:$N$62,9,0),"")</f>
        <v/>
      </c>
      <c r="Q243" s="52" t="str">
        <f aca="false">IFERROR(VLOOKUP($A243,RA_result!$B$3:$N$62,10,0),"")</f>
        <v/>
      </c>
      <c r="R243" s="58" t="s">
        <v>55</v>
      </c>
      <c r="S243" s="59" t="str">
        <f aca="false">IFERROR(VLOOKUP($A243,RA_result!$B$3:$N$62,4,0),"")</f>
        <v/>
      </c>
      <c r="T243" s="60" t="s">
        <v>56</v>
      </c>
      <c r="U243" s="59" t="str">
        <f aca="false">IFERROR(IF(VLOOKUP($A243,RA_result!$B$3:$N$62,6,0)="",S243*T243,VLOOKUP($A243,RA_result!$B$3:$N$62,6,0)),"")</f>
        <v/>
      </c>
      <c r="V243" s="61" t="s">
        <v>56</v>
      </c>
      <c r="W243" s="62" t="n">
        <f aca="false">IFERROR((S243*30%)/V243,0)</f>
        <v>0</v>
      </c>
      <c r="X243" s="63" t="n">
        <f aca="false">IFERROR(N243/W243,0)</f>
        <v>0</v>
      </c>
      <c r="Y243" s="68"/>
      <c r="Z243" s="57"/>
      <c r="AA243" s="69" t="str">
        <f aca="false">IF(OR(U243="",Y243="",Z243=""),"",IF(AND(U243&gt;Y243,-U243&lt;Z243),"Ok","Not Ok"))</f>
        <v/>
      </c>
      <c r="AB243" s="70"/>
    </row>
    <row r="244" customFormat="false" ht="12.8" hidden="false" customHeight="false" outlineLevel="0" collapsed="false">
      <c r="A244" s="48" t="n">
        <f aca="false">TB_audited!A227</f>
        <v>0</v>
      </c>
      <c r="B244" s="49"/>
      <c r="C244" s="50"/>
      <c r="D244" s="51" t="n">
        <f aca="false">TB_audited!B227</f>
        <v>0</v>
      </c>
      <c r="E244" s="52" t="n">
        <f aca="false">TB_audited!C227</f>
        <v>0</v>
      </c>
      <c r="F244" s="53" t="n">
        <f aca="false">TB_audited!D227</f>
        <v>0</v>
      </c>
      <c r="G244" s="54" t="n">
        <f aca="false">IF($D$8="Interim",TB_audited!G227,TB_audited!E227)</f>
        <v>0</v>
      </c>
      <c r="H244" s="55" t="str">
        <f aca="false">IFERROR(VLOOKUP($A244,RA_result!$B$3:$N$62,11,0),"")</f>
        <v/>
      </c>
      <c r="I244" s="55" t="str">
        <f aca="false">IFERROR(VLOOKUP($A244,RA_result!$B$3:$N$62,12,0),"")</f>
        <v/>
      </c>
      <c r="J244" s="55" t="str">
        <f aca="false">IFERROR(VLOOKUP($A244,RA_result!$B$3:$N$62,13,0),"")</f>
        <v/>
      </c>
      <c r="K244" s="56"/>
      <c r="L244" s="56"/>
      <c r="M244" s="57" t="n">
        <f aca="false">G244</f>
        <v>0</v>
      </c>
      <c r="N244" s="54" t="n">
        <f aca="false">G244-M244</f>
        <v>0</v>
      </c>
      <c r="O244" s="55" t="str">
        <f aca="false">IFERROR(VLOOKUP($A244,RA_result!$B$3:$N$62,7,0),"")</f>
        <v/>
      </c>
      <c r="P244" s="52" t="str">
        <f aca="false">IFERROR(VLOOKUP($A244,RA_result!$B$3:$N$62,9,0),"")</f>
        <v/>
      </c>
      <c r="Q244" s="52" t="str">
        <f aca="false">IFERROR(VLOOKUP($A244,RA_result!$B$3:$N$62,10,0),"")</f>
        <v/>
      </c>
      <c r="R244" s="58" t="s">
        <v>55</v>
      </c>
      <c r="S244" s="59" t="str">
        <f aca="false">IFERROR(VLOOKUP($A244,RA_result!$B$3:$N$62,4,0),"")</f>
        <v/>
      </c>
      <c r="T244" s="60" t="s">
        <v>56</v>
      </c>
      <c r="U244" s="59" t="str">
        <f aca="false">IFERROR(IF(VLOOKUP($A244,RA_result!$B$3:$N$62,6,0)="",S244*T244,VLOOKUP($A244,RA_result!$B$3:$N$62,6,0)),"")</f>
        <v/>
      </c>
      <c r="V244" s="61" t="s">
        <v>56</v>
      </c>
      <c r="W244" s="62" t="n">
        <f aca="false">IFERROR((S244*30%)/V244,0)</f>
        <v>0</v>
      </c>
      <c r="X244" s="63" t="n">
        <f aca="false">IFERROR(N244/W244,0)</f>
        <v>0</v>
      </c>
      <c r="Y244" s="68"/>
      <c r="Z244" s="57"/>
      <c r="AA244" s="69" t="str">
        <f aca="false">IF(OR(U244="",Y244="",Z244=""),"",IF(AND(U244&gt;Y244,-U244&lt;Z244),"Ok","Not Ok"))</f>
        <v/>
      </c>
      <c r="AB244" s="70"/>
    </row>
    <row r="245" customFormat="false" ht="12.8" hidden="false" customHeight="false" outlineLevel="0" collapsed="false">
      <c r="A245" s="48" t="n">
        <f aca="false">TB_audited!A228</f>
        <v>0</v>
      </c>
      <c r="B245" s="49"/>
      <c r="C245" s="50"/>
      <c r="D245" s="51" t="n">
        <f aca="false">TB_audited!B228</f>
        <v>0</v>
      </c>
      <c r="E245" s="52" t="n">
        <f aca="false">TB_audited!C228</f>
        <v>0</v>
      </c>
      <c r="F245" s="53" t="n">
        <f aca="false">TB_audited!D228</f>
        <v>0</v>
      </c>
      <c r="G245" s="54" t="n">
        <f aca="false">IF($D$8="Interim",TB_audited!G228,TB_audited!E228)</f>
        <v>0</v>
      </c>
      <c r="H245" s="55" t="str">
        <f aca="false">IFERROR(VLOOKUP($A245,RA_result!$B$3:$N$62,11,0),"")</f>
        <v/>
      </c>
      <c r="I245" s="55" t="str">
        <f aca="false">IFERROR(VLOOKUP($A245,RA_result!$B$3:$N$62,12,0),"")</f>
        <v/>
      </c>
      <c r="J245" s="55" t="str">
        <f aca="false">IFERROR(VLOOKUP($A245,RA_result!$B$3:$N$62,13,0),"")</f>
        <v/>
      </c>
      <c r="K245" s="56"/>
      <c r="L245" s="56"/>
      <c r="M245" s="57" t="n">
        <f aca="false">G245</f>
        <v>0</v>
      </c>
      <c r="N245" s="54" t="n">
        <f aca="false">G245-M245</f>
        <v>0</v>
      </c>
      <c r="O245" s="55" t="str">
        <f aca="false">IFERROR(VLOOKUP($A245,RA_result!$B$3:$N$62,7,0),"")</f>
        <v/>
      </c>
      <c r="P245" s="52" t="str">
        <f aca="false">IFERROR(VLOOKUP($A245,RA_result!$B$3:$N$62,9,0),"")</f>
        <v/>
      </c>
      <c r="Q245" s="52" t="str">
        <f aca="false">IFERROR(VLOOKUP($A245,RA_result!$B$3:$N$62,10,0),"")</f>
        <v/>
      </c>
      <c r="R245" s="58" t="s">
        <v>55</v>
      </c>
      <c r="S245" s="59" t="str">
        <f aca="false">IFERROR(VLOOKUP($A245,RA_result!$B$3:$N$62,4,0),"")</f>
        <v/>
      </c>
      <c r="T245" s="60" t="s">
        <v>56</v>
      </c>
      <c r="U245" s="59" t="str">
        <f aca="false">IFERROR(IF(VLOOKUP($A245,RA_result!$B$3:$N$62,6,0)="",S245*T245,VLOOKUP($A245,RA_result!$B$3:$N$62,6,0)),"")</f>
        <v/>
      </c>
      <c r="V245" s="61" t="s">
        <v>56</v>
      </c>
      <c r="W245" s="62" t="n">
        <f aca="false">IFERROR((S245*30%)/V245,0)</f>
        <v>0</v>
      </c>
      <c r="X245" s="63" t="n">
        <f aca="false">IFERROR(N245/W245,0)</f>
        <v>0</v>
      </c>
      <c r="Y245" s="68"/>
      <c r="Z245" s="57"/>
      <c r="AA245" s="69" t="str">
        <f aca="false">IF(OR(U245="",Y245="",Z245=""),"",IF(AND(U245&gt;Y245,-U245&lt;Z245),"Ok","Not Ok"))</f>
        <v/>
      </c>
      <c r="AB245" s="70"/>
    </row>
    <row r="246" customFormat="false" ht="12.8" hidden="false" customHeight="false" outlineLevel="0" collapsed="false">
      <c r="A246" s="48" t="n">
        <f aca="false">TB_audited!A229</f>
        <v>0</v>
      </c>
      <c r="B246" s="49"/>
      <c r="C246" s="50"/>
      <c r="D246" s="51" t="n">
        <f aca="false">TB_audited!B229</f>
        <v>0</v>
      </c>
      <c r="E246" s="52" t="n">
        <f aca="false">TB_audited!C229</f>
        <v>0</v>
      </c>
      <c r="F246" s="53" t="n">
        <f aca="false">TB_audited!D229</f>
        <v>0</v>
      </c>
      <c r="G246" s="54" t="n">
        <f aca="false">IF($D$8="Interim",TB_audited!G229,TB_audited!E229)</f>
        <v>0</v>
      </c>
      <c r="H246" s="55" t="str">
        <f aca="false">IFERROR(VLOOKUP($A246,RA_result!$B$3:$N$62,11,0),"")</f>
        <v/>
      </c>
      <c r="I246" s="55" t="str">
        <f aca="false">IFERROR(VLOOKUP($A246,RA_result!$B$3:$N$62,12,0),"")</f>
        <v/>
      </c>
      <c r="J246" s="55" t="str">
        <f aca="false">IFERROR(VLOOKUP($A246,RA_result!$B$3:$N$62,13,0),"")</f>
        <v/>
      </c>
      <c r="K246" s="56"/>
      <c r="L246" s="56"/>
      <c r="M246" s="57" t="n">
        <f aca="false">G246</f>
        <v>0</v>
      </c>
      <c r="N246" s="54" t="n">
        <f aca="false">G246-M246</f>
        <v>0</v>
      </c>
      <c r="O246" s="55" t="str">
        <f aca="false">IFERROR(VLOOKUP($A246,RA_result!$B$3:$N$62,7,0),"")</f>
        <v/>
      </c>
      <c r="P246" s="52" t="str">
        <f aca="false">IFERROR(VLOOKUP($A246,RA_result!$B$3:$N$62,9,0),"")</f>
        <v/>
      </c>
      <c r="Q246" s="52" t="str">
        <f aca="false">IFERROR(VLOOKUP($A246,RA_result!$B$3:$N$62,10,0),"")</f>
        <v/>
      </c>
      <c r="R246" s="58" t="s">
        <v>55</v>
      </c>
      <c r="S246" s="59" t="str">
        <f aca="false">IFERROR(VLOOKUP($A246,RA_result!$B$3:$N$62,4,0),"")</f>
        <v/>
      </c>
      <c r="T246" s="60" t="s">
        <v>56</v>
      </c>
      <c r="U246" s="59" t="str">
        <f aca="false">IFERROR(IF(VLOOKUP($A246,RA_result!$B$3:$N$62,6,0)="",S246*T246,VLOOKUP($A246,RA_result!$B$3:$N$62,6,0)),"")</f>
        <v/>
      </c>
      <c r="V246" s="61" t="s">
        <v>56</v>
      </c>
      <c r="W246" s="62" t="n">
        <f aca="false">IFERROR((S246*30%)/V246,0)</f>
        <v>0</v>
      </c>
      <c r="X246" s="63" t="n">
        <f aca="false">IFERROR(N246/W246,0)</f>
        <v>0</v>
      </c>
      <c r="Y246" s="68"/>
      <c r="Z246" s="57"/>
      <c r="AA246" s="69" t="str">
        <f aca="false">IF(OR(U246="",Y246="",Z246=""),"",IF(AND(U246&gt;Y246,-U246&lt;Z246),"Ok","Not Ok"))</f>
        <v/>
      </c>
      <c r="AB246" s="70"/>
    </row>
    <row r="247" customFormat="false" ht="12.8" hidden="false" customHeight="false" outlineLevel="0" collapsed="false">
      <c r="A247" s="48" t="n">
        <f aca="false">TB_audited!A230</f>
        <v>0</v>
      </c>
      <c r="B247" s="49"/>
      <c r="C247" s="50"/>
      <c r="D247" s="51" t="n">
        <f aca="false">TB_audited!B230</f>
        <v>0</v>
      </c>
      <c r="E247" s="52" t="n">
        <f aca="false">TB_audited!C230</f>
        <v>0</v>
      </c>
      <c r="F247" s="53" t="n">
        <f aca="false">TB_audited!D230</f>
        <v>0</v>
      </c>
      <c r="G247" s="54" t="n">
        <f aca="false">IF($D$8="Interim",TB_audited!G230,TB_audited!E230)</f>
        <v>0</v>
      </c>
      <c r="H247" s="55" t="str">
        <f aca="false">IFERROR(VLOOKUP($A247,RA_result!$B$3:$N$62,11,0),"")</f>
        <v/>
      </c>
      <c r="I247" s="55" t="str">
        <f aca="false">IFERROR(VLOOKUP($A247,RA_result!$B$3:$N$62,12,0),"")</f>
        <v/>
      </c>
      <c r="J247" s="55" t="str">
        <f aca="false">IFERROR(VLOOKUP($A247,RA_result!$B$3:$N$62,13,0),"")</f>
        <v/>
      </c>
      <c r="K247" s="56"/>
      <c r="L247" s="56"/>
      <c r="M247" s="57" t="n">
        <f aca="false">G247</f>
        <v>0</v>
      </c>
      <c r="N247" s="54" t="n">
        <f aca="false">G247-M247</f>
        <v>0</v>
      </c>
      <c r="O247" s="55" t="str">
        <f aca="false">IFERROR(VLOOKUP($A247,RA_result!$B$3:$N$62,7,0),"")</f>
        <v/>
      </c>
      <c r="P247" s="52" t="str">
        <f aca="false">IFERROR(VLOOKUP($A247,RA_result!$B$3:$N$62,9,0),"")</f>
        <v/>
      </c>
      <c r="Q247" s="52" t="str">
        <f aca="false">IFERROR(VLOOKUP($A247,RA_result!$B$3:$N$62,10,0),"")</f>
        <v/>
      </c>
      <c r="R247" s="58" t="s">
        <v>55</v>
      </c>
      <c r="S247" s="59" t="str">
        <f aca="false">IFERROR(VLOOKUP($A247,RA_result!$B$3:$N$62,4,0),"")</f>
        <v/>
      </c>
      <c r="T247" s="60" t="s">
        <v>56</v>
      </c>
      <c r="U247" s="59" t="str">
        <f aca="false">IFERROR(IF(VLOOKUP($A247,RA_result!$B$3:$N$62,6,0)="",S247*T247,VLOOKUP($A247,RA_result!$B$3:$N$62,6,0)),"")</f>
        <v/>
      </c>
      <c r="V247" s="61" t="s">
        <v>56</v>
      </c>
      <c r="W247" s="62" t="n">
        <f aca="false">IFERROR((S247*30%)/V247,0)</f>
        <v>0</v>
      </c>
      <c r="X247" s="63" t="n">
        <f aca="false">IFERROR(N247/W247,0)</f>
        <v>0</v>
      </c>
      <c r="Y247" s="68"/>
      <c r="Z247" s="57"/>
      <c r="AA247" s="69" t="str">
        <f aca="false">IF(OR(U247="",Y247="",Z247=""),"",IF(AND(U247&gt;Y247,-U247&lt;Z247),"Ok","Not Ok"))</f>
        <v/>
      </c>
      <c r="AB247" s="70"/>
    </row>
    <row r="248" customFormat="false" ht="12.8" hidden="false" customHeight="false" outlineLevel="0" collapsed="false">
      <c r="A248" s="48" t="n">
        <f aca="false">TB_audited!A231</f>
        <v>0</v>
      </c>
      <c r="B248" s="49"/>
      <c r="C248" s="50"/>
      <c r="D248" s="51" t="n">
        <f aca="false">TB_audited!B231</f>
        <v>0</v>
      </c>
      <c r="E248" s="52" t="n">
        <f aca="false">TB_audited!C231</f>
        <v>0</v>
      </c>
      <c r="F248" s="53" t="n">
        <f aca="false">TB_audited!D231</f>
        <v>0</v>
      </c>
      <c r="G248" s="54" t="n">
        <f aca="false">IF($D$8="Interim",TB_audited!G231,TB_audited!E231)</f>
        <v>0</v>
      </c>
      <c r="H248" s="55" t="str">
        <f aca="false">IFERROR(VLOOKUP($A248,RA_result!$B$3:$N$62,11,0),"")</f>
        <v/>
      </c>
      <c r="I248" s="55" t="str">
        <f aca="false">IFERROR(VLOOKUP($A248,RA_result!$B$3:$N$62,12,0),"")</f>
        <v/>
      </c>
      <c r="J248" s="55" t="str">
        <f aca="false">IFERROR(VLOOKUP($A248,RA_result!$B$3:$N$62,13,0),"")</f>
        <v/>
      </c>
      <c r="K248" s="56"/>
      <c r="L248" s="56"/>
      <c r="M248" s="57" t="n">
        <f aca="false">G248</f>
        <v>0</v>
      </c>
      <c r="N248" s="54" t="n">
        <f aca="false">G248-M248</f>
        <v>0</v>
      </c>
      <c r="O248" s="55" t="str">
        <f aca="false">IFERROR(VLOOKUP($A248,RA_result!$B$3:$N$62,7,0),"")</f>
        <v/>
      </c>
      <c r="P248" s="52" t="str">
        <f aca="false">IFERROR(VLOOKUP($A248,RA_result!$B$3:$N$62,9,0),"")</f>
        <v/>
      </c>
      <c r="Q248" s="52" t="str">
        <f aca="false">IFERROR(VLOOKUP($A248,RA_result!$B$3:$N$62,10,0),"")</f>
        <v/>
      </c>
      <c r="R248" s="58" t="s">
        <v>55</v>
      </c>
      <c r="S248" s="59" t="str">
        <f aca="false">IFERROR(VLOOKUP($A248,RA_result!$B$3:$N$62,4,0),"")</f>
        <v/>
      </c>
      <c r="T248" s="60" t="s">
        <v>56</v>
      </c>
      <c r="U248" s="59" t="str">
        <f aca="false">IFERROR(IF(VLOOKUP($A248,RA_result!$B$3:$N$62,6,0)="",S248*T248,VLOOKUP($A248,RA_result!$B$3:$N$62,6,0)),"")</f>
        <v/>
      </c>
      <c r="V248" s="61" t="s">
        <v>56</v>
      </c>
      <c r="W248" s="62" t="n">
        <f aca="false">IFERROR((S248*30%)/V248,0)</f>
        <v>0</v>
      </c>
      <c r="X248" s="63" t="n">
        <f aca="false">IFERROR(N248/W248,0)</f>
        <v>0</v>
      </c>
      <c r="Y248" s="68"/>
      <c r="Z248" s="57"/>
      <c r="AA248" s="69" t="str">
        <f aca="false">IF(OR(U248="",Y248="",Z248=""),"",IF(AND(U248&gt;Y248,-U248&lt;Z248),"Ok","Not Ok"))</f>
        <v/>
      </c>
      <c r="AB248" s="70"/>
    </row>
    <row r="249" customFormat="false" ht="12.8" hidden="false" customHeight="false" outlineLevel="0" collapsed="false">
      <c r="A249" s="48" t="n">
        <f aca="false">TB_audited!A232</f>
        <v>0</v>
      </c>
      <c r="B249" s="49"/>
      <c r="C249" s="50"/>
      <c r="D249" s="51" t="n">
        <f aca="false">TB_audited!B232</f>
        <v>0</v>
      </c>
      <c r="E249" s="52" t="n">
        <f aca="false">TB_audited!C232</f>
        <v>0</v>
      </c>
      <c r="F249" s="53" t="n">
        <f aca="false">TB_audited!D232</f>
        <v>0</v>
      </c>
      <c r="G249" s="54" t="n">
        <f aca="false">IF($D$8="Interim",TB_audited!G232,TB_audited!E232)</f>
        <v>0</v>
      </c>
      <c r="H249" s="55" t="str">
        <f aca="false">IFERROR(VLOOKUP($A249,RA_result!$B$3:$N$62,11,0),"")</f>
        <v/>
      </c>
      <c r="I249" s="55" t="str">
        <f aca="false">IFERROR(VLOOKUP($A249,RA_result!$B$3:$N$62,12,0),"")</f>
        <v/>
      </c>
      <c r="J249" s="55" t="str">
        <f aca="false">IFERROR(VLOOKUP($A249,RA_result!$B$3:$N$62,13,0),"")</f>
        <v/>
      </c>
      <c r="K249" s="56"/>
      <c r="L249" s="56"/>
      <c r="M249" s="57" t="n">
        <f aca="false">G249</f>
        <v>0</v>
      </c>
      <c r="N249" s="54" t="n">
        <f aca="false">G249-M249</f>
        <v>0</v>
      </c>
      <c r="O249" s="55" t="str">
        <f aca="false">IFERROR(VLOOKUP($A249,RA_result!$B$3:$N$62,7,0),"")</f>
        <v/>
      </c>
      <c r="P249" s="52" t="str">
        <f aca="false">IFERROR(VLOOKUP($A249,RA_result!$B$3:$N$62,9,0),"")</f>
        <v/>
      </c>
      <c r="Q249" s="52" t="str">
        <f aca="false">IFERROR(VLOOKUP($A249,RA_result!$B$3:$N$62,10,0),"")</f>
        <v/>
      </c>
      <c r="R249" s="58" t="s">
        <v>55</v>
      </c>
      <c r="S249" s="59" t="str">
        <f aca="false">IFERROR(VLOOKUP($A249,RA_result!$B$3:$N$62,4,0),"")</f>
        <v/>
      </c>
      <c r="T249" s="60" t="s">
        <v>56</v>
      </c>
      <c r="U249" s="59" t="str">
        <f aca="false">IFERROR(IF(VLOOKUP($A249,RA_result!$B$3:$N$62,6,0)="",S249*T249,VLOOKUP($A249,RA_result!$B$3:$N$62,6,0)),"")</f>
        <v/>
      </c>
      <c r="V249" s="61" t="s">
        <v>56</v>
      </c>
      <c r="W249" s="62" t="n">
        <f aca="false">IFERROR((S249*30%)/V249,0)</f>
        <v>0</v>
      </c>
      <c r="X249" s="63" t="n">
        <f aca="false">IFERROR(N249/W249,0)</f>
        <v>0</v>
      </c>
      <c r="Y249" s="68"/>
      <c r="Z249" s="57"/>
      <c r="AA249" s="69" t="str">
        <f aca="false">IF(OR(U249="",Y249="",Z249=""),"",IF(AND(U249&gt;Y249,-U249&lt;Z249),"Ok","Not Ok"))</f>
        <v/>
      </c>
      <c r="AB249" s="70"/>
    </row>
    <row r="250" customFormat="false" ht="12.8" hidden="false" customHeight="false" outlineLevel="0" collapsed="false">
      <c r="A250" s="48" t="n">
        <f aca="false">TB_audited!A233</f>
        <v>0</v>
      </c>
      <c r="B250" s="49"/>
      <c r="C250" s="50"/>
      <c r="D250" s="51" t="n">
        <f aca="false">TB_audited!B233</f>
        <v>0</v>
      </c>
      <c r="E250" s="52" t="n">
        <f aca="false">TB_audited!C233</f>
        <v>0</v>
      </c>
      <c r="F250" s="53" t="n">
        <f aca="false">TB_audited!D233</f>
        <v>0</v>
      </c>
      <c r="G250" s="54" t="n">
        <f aca="false">IF($D$8="Interim",TB_audited!G233,TB_audited!E233)</f>
        <v>0</v>
      </c>
      <c r="H250" s="55" t="str">
        <f aca="false">IFERROR(VLOOKUP($A250,RA_result!$B$3:$N$62,11,0),"")</f>
        <v/>
      </c>
      <c r="I250" s="55" t="str">
        <f aca="false">IFERROR(VLOOKUP($A250,RA_result!$B$3:$N$62,12,0),"")</f>
        <v/>
      </c>
      <c r="J250" s="55" t="str">
        <f aca="false">IFERROR(VLOOKUP($A250,RA_result!$B$3:$N$62,13,0),"")</f>
        <v/>
      </c>
      <c r="K250" s="56"/>
      <c r="L250" s="56"/>
      <c r="M250" s="57" t="n">
        <f aca="false">G250</f>
        <v>0</v>
      </c>
      <c r="N250" s="54" t="n">
        <f aca="false">G250-M250</f>
        <v>0</v>
      </c>
      <c r="O250" s="55" t="str">
        <f aca="false">IFERROR(VLOOKUP($A250,RA_result!$B$3:$N$62,7,0),"")</f>
        <v/>
      </c>
      <c r="P250" s="52" t="str">
        <f aca="false">IFERROR(VLOOKUP($A250,RA_result!$B$3:$N$62,9,0),"")</f>
        <v/>
      </c>
      <c r="Q250" s="52" t="str">
        <f aca="false">IFERROR(VLOOKUP($A250,RA_result!$B$3:$N$62,10,0),"")</f>
        <v/>
      </c>
      <c r="R250" s="58" t="s">
        <v>55</v>
      </c>
      <c r="S250" s="59" t="str">
        <f aca="false">IFERROR(VLOOKUP($A250,RA_result!$B$3:$N$62,4,0),"")</f>
        <v/>
      </c>
      <c r="T250" s="60" t="s">
        <v>56</v>
      </c>
      <c r="U250" s="59" t="str">
        <f aca="false">IFERROR(IF(VLOOKUP($A250,RA_result!$B$3:$N$62,6,0)="",S250*T250,VLOOKUP($A250,RA_result!$B$3:$N$62,6,0)),"")</f>
        <v/>
      </c>
      <c r="V250" s="61" t="s">
        <v>56</v>
      </c>
      <c r="W250" s="62" t="n">
        <f aca="false">IFERROR((S250*30%)/V250,0)</f>
        <v>0</v>
      </c>
      <c r="X250" s="63" t="n">
        <f aca="false">IFERROR(N250/W250,0)</f>
        <v>0</v>
      </c>
      <c r="Y250" s="68"/>
      <c r="Z250" s="57"/>
      <c r="AA250" s="69" t="str">
        <f aca="false">IF(OR(U250="",Y250="",Z250=""),"",IF(AND(U250&gt;Y250,-U250&lt;Z250),"Ok","Not Ok"))</f>
        <v/>
      </c>
      <c r="AB250" s="70"/>
    </row>
    <row r="251" customFormat="false" ht="12.8" hidden="false" customHeight="false" outlineLevel="0" collapsed="false">
      <c r="A251" s="48" t="n">
        <f aca="false">TB_audited!A234</f>
        <v>0</v>
      </c>
      <c r="B251" s="49"/>
      <c r="C251" s="50"/>
      <c r="D251" s="51" t="n">
        <f aca="false">TB_audited!B234</f>
        <v>0</v>
      </c>
      <c r="E251" s="52" t="n">
        <f aca="false">TB_audited!C234</f>
        <v>0</v>
      </c>
      <c r="F251" s="53" t="n">
        <f aca="false">TB_audited!D234</f>
        <v>0</v>
      </c>
      <c r="G251" s="54" t="n">
        <f aca="false">IF($D$8="Interim",TB_audited!G234,TB_audited!E234)</f>
        <v>0</v>
      </c>
      <c r="H251" s="55" t="str">
        <f aca="false">IFERROR(VLOOKUP($A251,RA_result!$B$3:$N$62,11,0),"")</f>
        <v/>
      </c>
      <c r="I251" s="55" t="str">
        <f aca="false">IFERROR(VLOOKUP($A251,RA_result!$B$3:$N$62,12,0),"")</f>
        <v/>
      </c>
      <c r="J251" s="55" t="str">
        <f aca="false">IFERROR(VLOOKUP($A251,RA_result!$B$3:$N$62,13,0),"")</f>
        <v/>
      </c>
      <c r="K251" s="56"/>
      <c r="L251" s="56"/>
      <c r="M251" s="57" t="n">
        <f aca="false">G251</f>
        <v>0</v>
      </c>
      <c r="N251" s="54" t="n">
        <f aca="false">G251-M251</f>
        <v>0</v>
      </c>
      <c r="O251" s="55" t="str">
        <f aca="false">IFERROR(VLOOKUP($A251,RA_result!$B$3:$N$62,7,0),"")</f>
        <v/>
      </c>
      <c r="P251" s="52" t="str">
        <f aca="false">IFERROR(VLOOKUP($A251,RA_result!$B$3:$N$62,9,0),"")</f>
        <v/>
      </c>
      <c r="Q251" s="52" t="str">
        <f aca="false">IFERROR(VLOOKUP($A251,RA_result!$B$3:$N$62,10,0),"")</f>
        <v/>
      </c>
      <c r="R251" s="58" t="s">
        <v>55</v>
      </c>
      <c r="S251" s="59" t="str">
        <f aca="false">IFERROR(VLOOKUP($A251,RA_result!$B$3:$N$62,4,0),"")</f>
        <v/>
      </c>
      <c r="T251" s="60" t="s">
        <v>56</v>
      </c>
      <c r="U251" s="59" t="str">
        <f aca="false">IFERROR(IF(VLOOKUP($A251,RA_result!$B$3:$N$62,6,0)="",S251*T251,VLOOKUP($A251,RA_result!$B$3:$N$62,6,0)),"")</f>
        <v/>
      </c>
      <c r="V251" s="61" t="s">
        <v>56</v>
      </c>
      <c r="W251" s="62" t="n">
        <f aca="false">IFERROR((S251*30%)/V251,0)</f>
        <v>0</v>
      </c>
      <c r="X251" s="63" t="n">
        <f aca="false">IFERROR(N251/W251,0)</f>
        <v>0</v>
      </c>
      <c r="Y251" s="68"/>
      <c r="Z251" s="57"/>
      <c r="AA251" s="69" t="str">
        <f aca="false">IF(OR(U251="",Y251="",Z251=""),"",IF(AND(U251&gt;Y251,-U251&lt;Z251),"Ok","Not Ok"))</f>
        <v/>
      </c>
      <c r="AB251" s="70"/>
    </row>
    <row r="252" customFormat="false" ht="12.8" hidden="false" customHeight="false" outlineLevel="0" collapsed="false">
      <c r="A252" s="48" t="n">
        <f aca="false">TB_audited!A235</f>
        <v>0</v>
      </c>
      <c r="B252" s="49"/>
      <c r="C252" s="50"/>
      <c r="D252" s="51" t="n">
        <f aca="false">TB_audited!B235</f>
        <v>0</v>
      </c>
      <c r="E252" s="52" t="n">
        <f aca="false">TB_audited!C235</f>
        <v>0</v>
      </c>
      <c r="F252" s="53" t="n">
        <f aca="false">TB_audited!D235</f>
        <v>0</v>
      </c>
      <c r="G252" s="54" t="n">
        <f aca="false">IF($D$8="Interim",TB_audited!G235,TB_audited!E235)</f>
        <v>0</v>
      </c>
      <c r="H252" s="55" t="str">
        <f aca="false">IFERROR(VLOOKUP($A252,RA_result!$B$3:$N$62,11,0),"")</f>
        <v/>
      </c>
      <c r="I252" s="55" t="str">
        <f aca="false">IFERROR(VLOOKUP($A252,RA_result!$B$3:$N$62,12,0),"")</f>
        <v/>
      </c>
      <c r="J252" s="55" t="str">
        <f aca="false">IFERROR(VLOOKUP($A252,RA_result!$B$3:$N$62,13,0),"")</f>
        <v/>
      </c>
      <c r="K252" s="56"/>
      <c r="L252" s="56"/>
      <c r="M252" s="57" t="n">
        <f aca="false">G252</f>
        <v>0</v>
      </c>
      <c r="N252" s="54" t="n">
        <f aca="false">G252-M252</f>
        <v>0</v>
      </c>
      <c r="O252" s="55" t="str">
        <f aca="false">IFERROR(VLOOKUP($A252,RA_result!$B$3:$N$62,7,0),"")</f>
        <v/>
      </c>
      <c r="P252" s="52" t="str">
        <f aca="false">IFERROR(VLOOKUP($A252,RA_result!$B$3:$N$62,9,0),"")</f>
        <v/>
      </c>
      <c r="Q252" s="52" t="str">
        <f aca="false">IFERROR(VLOOKUP($A252,RA_result!$B$3:$N$62,10,0),"")</f>
        <v/>
      </c>
      <c r="R252" s="58" t="s">
        <v>55</v>
      </c>
      <c r="S252" s="59" t="str">
        <f aca="false">IFERROR(VLOOKUP($A252,RA_result!$B$3:$N$62,4,0),"")</f>
        <v/>
      </c>
      <c r="T252" s="60" t="s">
        <v>56</v>
      </c>
      <c r="U252" s="59" t="str">
        <f aca="false">IFERROR(IF(VLOOKUP($A252,RA_result!$B$3:$N$62,6,0)="",S252*T252,VLOOKUP($A252,RA_result!$B$3:$N$62,6,0)),"")</f>
        <v/>
      </c>
      <c r="V252" s="61" t="s">
        <v>56</v>
      </c>
      <c r="W252" s="62" t="n">
        <f aca="false">IFERROR((S252*30%)/V252,0)</f>
        <v>0</v>
      </c>
      <c r="X252" s="63" t="n">
        <f aca="false">IFERROR(N252/W252,0)</f>
        <v>0</v>
      </c>
      <c r="Y252" s="68"/>
      <c r="Z252" s="57"/>
      <c r="AA252" s="69" t="str">
        <f aca="false">IF(OR(U252="",Y252="",Z252=""),"",IF(AND(U252&gt;Y252,-U252&lt;Z252),"Ok","Not Ok"))</f>
        <v/>
      </c>
      <c r="AB252" s="70"/>
    </row>
    <row r="253" customFormat="false" ht="12.8" hidden="false" customHeight="false" outlineLevel="0" collapsed="false">
      <c r="A253" s="48" t="n">
        <f aca="false">TB_audited!A236</f>
        <v>0</v>
      </c>
      <c r="B253" s="49"/>
      <c r="C253" s="50"/>
      <c r="D253" s="51" t="n">
        <f aca="false">TB_audited!B236</f>
        <v>0</v>
      </c>
      <c r="E253" s="52" t="n">
        <f aca="false">TB_audited!C236</f>
        <v>0</v>
      </c>
      <c r="F253" s="53" t="n">
        <f aca="false">TB_audited!D236</f>
        <v>0</v>
      </c>
      <c r="G253" s="54" t="n">
        <f aca="false">IF($D$8="Interim",TB_audited!G236,TB_audited!E236)</f>
        <v>0</v>
      </c>
      <c r="H253" s="55" t="str">
        <f aca="false">IFERROR(VLOOKUP($A253,RA_result!$B$3:$N$62,11,0),"")</f>
        <v/>
      </c>
      <c r="I253" s="55" t="str">
        <f aca="false">IFERROR(VLOOKUP($A253,RA_result!$B$3:$N$62,12,0),"")</f>
        <v/>
      </c>
      <c r="J253" s="55" t="str">
        <f aca="false">IFERROR(VLOOKUP($A253,RA_result!$B$3:$N$62,13,0),"")</f>
        <v/>
      </c>
      <c r="K253" s="56"/>
      <c r="L253" s="56"/>
      <c r="M253" s="57" t="n">
        <f aca="false">G253</f>
        <v>0</v>
      </c>
      <c r="N253" s="54" t="n">
        <f aca="false">G253-M253</f>
        <v>0</v>
      </c>
      <c r="O253" s="55" t="str">
        <f aca="false">IFERROR(VLOOKUP($A253,RA_result!$B$3:$N$62,7,0),"")</f>
        <v/>
      </c>
      <c r="P253" s="52" t="str">
        <f aca="false">IFERROR(VLOOKUP($A253,RA_result!$B$3:$N$62,9,0),"")</f>
        <v/>
      </c>
      <c r="Q253" s="52" t="str">
        <f aca="false">IFERROR(VLOOKUP($A253,RA_result!$B$3:$N$62,10,0),"")</f>
        <v/>
      </c>
      <c r="R253" s="58" t="s">
        <v>55</v>
      </c>
      <c r="S253" s="59" t="str">
        <f aca="false">IFERROR(VLOOKUP($A253,RA_result!$B$3:$N$62,4,0),"")</f>
        <v/>
      </c>
      <c r="T253" s="60" t="s">
        <v>56</v>
      </c>
      <c r="U253" s="59" t="str">
        <f aca="false">IFERROR(IF(VLOOKUP($A253,RA_result!$B$3:$N$62,6,0)="",S253*T253,VLOOKUP($A253,RA_result!$B$3:$N$62,6,0)),"")</f>
        <v/>
      </c>
      <c r="V253" s="61" t="s">
        <v>56</v>
      </c>
      <c r="W253" s="62" t="n">
        <f aca="false">IFERROR((S253*30%)/V253,0)</f>
        <v>0</v>
      </c>
      <c r="X253" s="63" t="n">
        <f aca="false">IFERROR(N253/W253,0)</f>
        <v>0</v>
      </c>
      <c r="Y253" s="68"/>
      <c r="Z253" s="57"/>
      <c r="AA253" s="69" t="str">
        <f aca="false">IF(OR(U253="",Y253="",Z253=""),"",IF(AND(U253&gt;Y253,-U253&lt;Z253),"Ok","Not Ok"))</f>
        <v/>
      </c>
      <c r="AB253" s="70"/>
    </row>
    <row r="254" customFormat="false" ht="12.8" hidden="false" customHeight="false" outlineLevel="0" collapsed="false">
      <c r="A254" s="48" t="n">
        <f aca="false">TB_audited!A237</f>
        <v>0</v>
      </c>
      <c r="B254" s="49"/>
      <c r="C254" s="50"/>
      <c r="D254" s="51" t="n">
        <f aca="false">TB_audited!B237</f>
        <v>0</v>
      </c>
      <c r="E254" s="52" t="n">
        <f aca="false">TB_audited!C237</f>
        <v>0</v>
      </c>
      <c r="F254" s="53" t="n">
        <f aca="false">TB_audited!D237</f>
        <v>0</v>
      </c>
      <c r="G254" s="54" t="n">
        <f aca="false">IF($D$8="Interim",TB_audited!G237,TB_audited!E237)</f>
        <v>0</v>
      </c>
      <c r="H254" s="55" t="str">
        <f aca="false">IFERROR(VLOOKUP($A254,RA_result!$B$3:$N$62,11,0),"")</f>
        <v/>
      </c>
      <c r="I254" s="55" t="str">
        <f aca="false">IFERROR(VLOOKUP($A254,RA_result!$B$3:$N$62,12,0),"")</f>
        <v/>
      </c>
      <c r="J254" s="55" t="str">
        <f aca="false">IFERROR(VLOOKUP($A254,RA_result!$B$3:$N$62,13,0),"")</f>
        <v/>
      </c>
      <c r="K254" s="56"/>
      <c r="L254" s="56"/>
      <c r="M254" s="57" t="n">
        <f aca="false">G254</f>
        <v>0</v>
      </c>
      <c r="N254" s="54" t="n">
        <f aca="false">G254-M254</f>
        <v>0</v>
      </c>
      <c r="O254" s="55" t="str">
        <f aca="false">IFERROR(VLOOKUP($A254,RA_result!$B$3:$N$62,7,0),"")</f>
        <v/>
      </c>
      <c r="P254" s="52" t="str">
        <f aca="false">IFERROR(VLOOKUP($A254,RA_result!$B$3:$N$62,9,0),"")</f>
        <v/>
      </c>
      <c r="Q254" s="52" t="str">
        <f aca="false">IFERROR(VLOOKUP($A254,RA_result!$B$3:$N$62,10,0),"")</f>
        <v/>
      </c>
      <c r="R254" s="58" t="s">
        <v>55</v>
      </c>
      <c r="S254" s="59" t="str">
        <f aca="false">IFERROR(VLOOKUP($A254,RA_result!$B$3:$N$62,4,0),"")</f>
        <v/>
      </c>
      <c r="T254" s="60" t="s">
        <v>56</v>
      </c>
      <c r="U254" s="59" t="str">
        <f aca="false">IFERROR(IF(VLOOKUP($A254,RA_result!$B$3:$N$62,6,0)="",S254*T254,VLOOKUP($A254,RA_result!$B$3:$N$62,6,0)),"")</f>
        <v/>
      </c>
      <c r="V254" s="61" t="s">
        <v>56</v>
      </c>
      <c r="W254" s="62" t="n">
        <f aca="false">IFERROR((S254*30%)/V254,0)</f>
        <v>0</v>
      </c>
      <c r="X254" s="63" t="n">
        <f aca="false">IFERROR(N254/W254,0)</f>
        <v>0</v>
      </c>
      <c r="Y254" s="68"/>
      <c r="Z254" s="57"/>
      <c r="AA254" s="69" t="str">
        <f aca="false">IF(OR(U254="",Y254="",Z254=""),"",IF(AND(U254&gt;Y254,-U254&lt;Z254),"Ok","Not Ok"))</f>
        <v/>
      </c>
      <c r="AB254" s="70"/>
    </row>
    <row r="255" customFormat="false" ht="12.8" hidden="false" customHeight="false" outlineLevel="0" collapsed="false">
      <c r="A255" s="48" t="n">
        <f aca="false">TB_audited!A238</f>
        <v>0</v>
      </c>
      <c r="B255" s="49"/>
      <c r="C255" s="50"/>
      <c r="D255" s="51" t="n">
        <f aca="false">TB_audited!B238</f>
        <v>0</v>
      </c>
      <c r="E255" s="52" t="n">
        <f aca="false">TB_audited!C238</f>
        <v>0</v>
      </c>
      <c r="F255" s="53" t="n">
        <f aca="false">TB_audited!D238</f>
        <v>0</v>
      </c>
      <c r="G255" s="54" t="n">
        <f aca="false">IF($D$8="Interim",TB_audited!G238,TB_audited!E238)</f>
        <v>0</v>
      </c>
      <c r="H255" s="55" t="str">
        <f aca="false">IFERROR(VLOOKUP($A255,RA_result!$B$3:$N$62,11,0),"")</f>
        <v/>
      </c>
      <c r="I255" s="55" t="str">
        <f aca="false">IFERROR(VLOOKUP($A255,RA_result!$B$3:$N$62,12,0),"")</f>
        <v/>
      </c>
      <c r="J255" s="55" t="str">
        <f aca="false">IFERROR(VLOOKUP($A255,RA_result!$B$3:$N$62,13,0),"")</f>
        <v/>
      </c>
      <c r="K255" s="56"/>
      <c r="L255" s="56"/>
      <c r="M255" s="57" t="n">
        <f aca="false">G255</f>
        <v>0</v>
      </c>
      <c r="N255" s="54" t="n">
        <f aca="false">G255-M255</f>
        <v>0</v>
      </c>
      <c r="O255" s="55" t="str">
        <f aca="false">IFERROR(VLOOKUP($A255,RA_result!$B$3:$N$62,7,0),"")</f>
        <v/>
      </c>
      <c r="P255" s="52" t="str">
        <f aca="false">IFERROR(VLOOKUP($A255,RA_result!$B$3:$N$62,9,0),"")</f>
        <v/>
      </c>
      <c r="Q255" s="52" t="str">
        <f aca="false">IFERROR(VLOOKUP($A255,RA_result!$B$3:$N$62,10,0),"")</f>
        <v/>
      </c>
      <c r="R255" s="58" t="s">
        <v>55</v>
      </c>
      <c r="S255" s="59" t="str">
        <f aca="false">IFERROR(VLOOKUP($A255,RA_result!$B$3:$N$62,4,0),"")</f>
        <v/>
      </c>
      <c r="T255" s="60" t="s">
        <v>56</v>
      </c>
      <c r="U255" s="59" t="str">
        <f aca="false">IFERROR(IF(VLOOKUP($A255,RA_result!$B$3:$N$62,6,0)="",S255*T255,VLOOKUP($A255,RA_result!$B$3:$N$62,6,0)),"")</f>
        <v/>
      </c>
      <c r="V255" s="61" t="s">
        <v>56</v>
      </c>
      <c r="W255" s="62" t="n">
        <f aca="false">IFERROR((S255*30%)/V255,0)</f>
        <v>0</v>
      </c>
      <c r="X255" s="63" t="n">
        <f aca="false">IFERROR(N255/W255,0)</f>
        <v>0</v>
      </c>
      <c r="Y255" s="68"/>
      <c r="Z255" s="57"/>
      <c r="AA255" s="69" t="str">
        <f aca="false">IF(OR(U255="",Y255="",Z255=""),"",IF(AND(U255&gt;Y255,-U255&lt;Z255),"Ok","Not Ok"))</f>
        <v/>
      </c>
      <c r="AB255" s="70"/>
    </row>
    <row r="256" customFormat="false" ht="12.8" hidden="false" customHeight="false" outlineLevel="0" collapsed="false">
      <c r="A256" s="48" t="n">
        <f aca="false">TB_audited!A239</f>
        <v>0</v>
      </c>
      <c r="B256" s="49"/>
      <c r="C256" s="50"/>
      <c r="D256" s="51" t="n">
        <f aca="false">TB_audited!B239</f>
        <v>0</v>
      </c>
      <c r="E256" s="52" t="n">
        <f aca="false">TB_audited!C239</f>
        <v>0</v>
      </c>
      <c r="F256" s="53" t="n">
        <f aca="false">TB_audited!D239</f>
        <v>0</v>
      </c>
      <c r="G256" s="54" t="n">
        <f aca="false">IF($D$8="Interim",TB_audited!G239,TB_audited!E239)</f>
        <v>0</v>
      </c>
      <c r="H256" s="55" t="str">
        <f aca="false">IFERROR(VLOOKUP($A256,RA_result!$B$3:$N$62,11,0),"")</f>
        <v/>
      </c>
      <c r="I256" s="55" t="str">
        <f aca="false">IFERROR(VLOOKUP($A256,RA_result!$B$3:$N$62,12,0),"")</f>
        <v/>
      </c>
      <c r="J256" s="55" t="str">
        <f aca="false">IFERROR(VLOOKUP($A256,RA_result!$B$3:$N$62,13,0),"")</f>
        <v/>
      </c>
      <c r="K256" s="56"/>
      <c r="L256" s="56"/>
      <c r="M256" s="57" t="n">
        <f aca="false">G256</f>
        <v>0</v>
      </c>
      <c r="N256" s="54" t="n">
        <f aca="false">G256-M256</f>
        <v>0</v>
      </c>
      <c r="O256" s="55" t="str">
        <f aca="false">IFERROR(VLOOKUP($A256,RA_result!$B$3:$N$62,7,0),"")</f>
        <v/>
      </c>
      <c r="P256" s="52" t="str">
        <f aca="false">IFERROR(VLOOKUP($A256,RA_result!$B$3:$N$62,9,0),"")</f>
        <v/>
      </c>
      <c r="Q256" s="52" t="str">
        <f aca="false">IFERROR(VLOOKUP($A256,RA_result!$B$3:$N$62,10,0),"")</f>
        <v/>
      </c>
      <c r="R256" s="58" t="s">
        <v>55</v>
      </c>
      <c r="S256" s="59" t="str">
        <f aca="false">IFERROR(VLOOKUP($A256,RA_result!$B$3:$N$62,4,0),"")</f>
        <v/>
      </c>
      <c r="T256" s="60" t="s">
        <v>56</v>
      </c>
      <c r="U256" s="59" t="str">
        <f aca="false">IFERROR(IF(VLOOKUP($A256,RA_result!$B$3:$N$62,6,0)="",S256*T256,VLOOKUP($A256,RA_result!$B$3:$N$62,6,0)),"")</f>
        <v/>
      </c>
      <c r="V256" s="61" t="s">
        <v>56</v>
      </c>
      <c r="W256" s="62" t="n">
        <f aca="false">IFERROR((S256*30%)/V256,0)</f>
        <v>0</v>
      </c>
      <c r="X256" s="63" t="n">
        <f aca="false">IFERROR(N256/W256,0)</f>
        <v>0</v>
      </c>
      <c r="Y256" s="68"/>
      <c r="Z256" s="57"/>
      <c r="AA256" s="69" t="str">
        <f aca="false">IF(OR(U256="",Y256="",Z256=""),"",IF(AND(U256&gt;Y256,-U256&lt;Z256),"Ok","Not Ok"))</f>
        <v/>
      </c>
      <c r="AB256" s="70"/>
    </row>
    <row r="257" customFormat="false" ht="12.8" hidden="false" customHeight="false" outlineLevel="0" collapsed="false">
      <c r="A257" s="48" t="n">
        <f aca="false">TB_audited!A240</f>
        <v>0</v>
      </c>
      <c r="B257" s="49"/>
      <c r="C257" s="50"/>
      <c r="D257" s="51" t="n">
        <f aca="false">TB_audited!B240</f>
        <v>0</v>
      </c>
      <c r="E257" s="52" t="n">
        <f aca="false">TB_audited!C240</f>
        <v>0</v>
      </c>
      <c r="F257" s="53" t="n">
        <f aca="false">TB_audited!D240</f>
        <v>0</v>
      </c>
      <c r="G257" s="54" t="n">
        <f aca="false">IF($D$8="Interim",TB_audited!G240,TB_audited!E240)</f>
        <v>0</v>
      </c>
      <c r="H257" s="55" t="str">
        <f aca="false">IFERROR(VLOOKUP($A257,RA_result!$B$3:$N$62,11,0),"")</f>
        <v/>
      </c>
      <c r="I257" s="55" t="str">
        <f aca="false">IFERROR(VLOOKUP($A257,RA_result!$B$3:$N$62,12,0),"")</f>
        <v/>
      </c>
      <c r="J257" s="55" t="str">
        <f aca="false">IFERROR(VLOOKUP($A257,RA_result!$B$3:$N$62,13,0),"")</f>
        <v/>
      </c>
      <c r="K257" s="56"/>
      <c r="L257" s="56"/>
      <c r="M257" s="57" t="n">
        <f aca="false">G257</f>
        <v>0</v>
      </c>
      <c r="N257" s="54" t="n">
        <f aca="false">G257-M257</f>
        <v>0</v>
      </c>
      <c r="O257" s="55" t="str">
        <f aca="false">IFERROR(VLOOKUP($A257,RA_result!$B$3:$N$62,7,0),"")</f>
        <v/>
      </c>
      <c r="P257" s="52" t="str">
        <f aca="false">IFERROR(VLOOKUP($A257,RA_result!$B$3:$N$62,9,0),"")</f>
        <v/>
      </c>
      <c r="Q257" s="52" t="str">
        <f aca="false">IFERROR(VLOOKUP($A257,RA_result!$B$3:$N$62,10,0),"")</f>
        <v/>
      </c>
      <c r="R257" s="58" t="s">
        <v>55</v>
      </c>
      <c r="S257" s="59" t="str">
        <f aca="false">IFERROR(VLOOKUP($A257,RA_result!$B$3:$N$62,4,0),"")</f>
        <v/>
      </c>
      <c r="T257" s="60" t="s">
        <v>56</v>
      </c>
      <c r="U257" s="59" t="str">
        <f aca="false">IFERROR(IF(VLOOKUP($A257,RA_result!$B$3:$N$62,6,0)="",S257*T257,VLOOKUP($A257,RA_result!$B$3:$N$62,6,0)),"")</f>
        <v/>
      </c>
      <c r="V257" s="61" t="s">
        <v>56</v>
      </c>
      <c r="W257" s="62" t="n">
        <f aca="false">IFERROR((S257*30%)/V257,0)</f>
        <v>0</v>
      </c>
      <c r="X257" s="63" t="n">
        <f aca="false">IFERROR(N257/W257,0)</f>
        <v>0</v>
      </c>
      <c r="Y257" s="68"/>
      <c r="Z257" s="57"/>
      <c r="AA257" s="69" t="str">
        <f aca="false">IF(OR(U257="",Y257="",Z257=""),"",IF(AND(U257&gt;Y257,-U257&lt;Z257),"Ok","Not Ok"))</f>
        <v/>
      </c>
      <c r="AB257" s="70"/>
    </row>
    <row r="258" customFormat="false" ht="12.8" hidden="false" customHeight="false" outlineLevel="0" collapsed="false">
      <c r="A258" s="48" t="n">
        <f aca="false">TB_audited!A241</f>
        <v>0</v>
      </c>
      <c r="B258" s="49"/>
      <c r="C258" s="50"/>
      <c r="D258" s="51" t="n">
        <f aca="false">TB_audited!B241</f>
        <v>0</v>
      </c>
      <c r="E258" s="52" t="n">
        <f aca="false">TB_audited!C241</f>
        <v>0</v>
      </c>
      <c r="F258" s="53" t="n">
        <f aca="false">TB_audited!D241</f>
        <v>0</v>
      </c>
      <c r="G258" s="54" t="n">
        <f aca="false">IF($D$8="Interim",TB_audited!G241,TB_audited!E241)</f>
        <v>0</v>
      </c>
      <c r="H258" s="55" t="str">
        <f aca="false">IFERROR(VLOOKUP($A258,RA_result!$B$3:$N$62,11,0),"")</f>
        <v/>
      </c>
      <c r="I258" s="55" t="str">
        <f aca="false">IFERROR(VLOOKUP($A258,RA_result!$B$3:$N$62,12,0),"")</f>
        <v/>
      </c>
      <c r="J258" s="55" t="str">
        <f aca="false">IFERROR(VLOOKUP($A258,RA_result!$B$3:$N$62,13,0),"")</f>
        <v/>
      </c>
      <c r="K258" s="56"/>
      <c r="L258" s="56"/>
      <c r="M258" s="57" t="n">
        <f aca="false">G258</f>
        <v>0</v>
      </c>
      <c r="N258" s="54" t="n">
        <f aca="false">G258-M258</f>
        <v>0</v>
      </c>
      <c r="O258" s="55" t="str">
        <f aca="false">IFERROR(VLOOKUP($A258,RA_result!$B$3:$N$62,7,0),"")</f>
        <v/>
      </c>
      <c r="P258" s="52" t="str">
        <f aca="false">IFERROR(VLOOKUP($A258,RA_result!$B$3:$N$62,9,0),"")</f>
        <v/>
      </c>
      <c r="Q258" s="52" t="str">
        <f aca="false">IFERROR(VLOOKUP($A258,RA_result!$B$3:$N$62,10,0),"")</f>
        <v/>
      </c>
      <c r="R258" s="58" t="s">
        <v>55</v>
      </c>
      <c r="S258" s="59" t="str">
        <f aca="false">IFERROR(VLOOKUP($A258,RA_result!$B$3:$N$62,4,0),"")</f>
        <v/>
      </c>
      <c r="T258" s="60" t="s">
        <v>56</v>
      </c>
      <c r="U258" s="59" t="str">
        <f aca="false">IFERROR(IF(VLOOKUP($A258,RA_result!$B$3:$N$62,6,0)="",S258*T258,VLOOKUP($A258,RA_result!$B$3:$N$62,6,0)),"")</f>
        <v/>
      </c>
      <c r="V258" s="61" t="s">
        <v>56</v>
      </c>
      <c r="W258" s="62" t="n">
        <f aca="false">IFERROR((S258*30%)/V258,0)</f>
        <v>0</v>
      </c>
      <c r="X258" s="63" t="n">
        <f aca="false">IFERROR(N258/W258,0)</f>
        <v>0</v>
      </c>
      <c r="Y258" s="68"/>
      <c r="Z258" s="57"/>
      <c r="AA258" s="69" t="str">
        <f aca="false">IF(OR(U258="",Y258="",Z258=""),"",IF(AND(U258&gt;Y258,-U258&lt;Z258),"Ok","Not Ok"))</f>
        <v/>
      </c>
      <c r="AB258" s="70"/>
    </row>
    <row r="259" customFormat="false" ht="12.8" hidden="false" customHeight="false" outlineLevel="0" collapsed="false">
      <c r="A259" s="48" t="n">
        <f aca="false">TB_audited!A242</f>
        <v>0</v>
      </c>
      <c r="B259" s="49"/>
      <c r="C259" s="50"/>
      <c r="D259" s="51" t="n">
        <f aca="false">TB_audited!B242</f>
        <v>0</v>
      </c>
      <c r="E259" s="52" t="n">
        <f aca="false">TB_audited!C242</f>
        <v>0</v>
      </c>
      <c r="F259" s="53" t="n">
        <f aca="false">TB_audited!D242</f>
        <v>0</v>
      </c>
      <c r="G259" s="54" t="n">
        <f aca="false">IF($D$8="Interim",TB_audited!G242,TB_audited!E242)</f>
        <v>0</v>
      </c>
      <c r="H259" s="55" t="str">
        <f aca="false">IFERROR(VLOOKUP($A259,RA_result!$B$3:$N$62,11,0),"")</f>
        <v/>
      </c>
      <c r="I259" s="55" t="str">
        <f aca="false">IFERROR(VLOOKUP($A259,RA_result!$B$3:$N$62,12,0),"")</f>
        <v/>
      </c>
      <c r="J259" s="55" t="str">
        <f aca="false">IFERROR(VLOOKUP($A259,RA_result!$B$3:$N$62,13,0),"")</f>
        <v/>
      </c>
      <c r="K259" s="56"/>
      <c r="L259" s="56"/>
      <c r="M259" s="57" t="n">
        <f aca="false">G259</f>
        <v>0</v>
      </c>
      <c r="N259" s="54" t="n">
        <f aca="false">G259-M259</f>
        <v>0</v>
      </c>
      <c r="O259" s="55" t="str">
        <f aca="false">IFERROR(VLOOKUP($A259,RA_result!$B$3:$N$62,7,0),"")</f>
        <v/>
      </c>
      <c r="P259" s="52" t="str">
        <f aca="false">IFERROR(VLOOKUP($A259,RA_result!$B$3:$N$62,9,0),"")</f>
        <v/>
      </c>
      <c r="Q259" s="52" t="str">
        <f aca="false">IFERROR(VLOOKUP($A259,RA_result!$B$3:$N$62,10,0),"")</f>
        <v/>
      </c>
      <c r="R259" s="58" t="s">
        <v>55</v>
      </c>
      <c r="S259" s="59" t="str">
        <f aca="false">IFERROR(VLOOKUP($A259,RA_result!$B$3:$N$62,4,0),"")</f>
        <v/>
      </c>
      <c r="T259" s="60" t="s">
        <v>56</v>
      </c>
      <c r="U259" s="59" t="str">
        <f aca="false">IFERROR(IF(VLOOKUP($A259,RA_result!$B$3:$N$62,6,0)="",S259*T259,VLOOKUP($A259,RA_result!$B$3:$N$62,6,0)),"")</f>
        <v/>
      </c>
      <c r="V259" s="61" t="s">
        <v>56</v>
      </c>
      <c r="W259" s="62" t="n">
        <f aca="false">IFERROR((S259*30%)/V259,0)</f>
        <v>0</v>
      </c>
      <c r="X259" s="63" t="n">
        <f aca="false">IFERROR(N259/W259,0)</f>
        <v>0</v>
      </c>
      <c r="Y259" s="68"/>
      <c r="Z259" s="57"/>
      <c r="AA259" s="69" t="str">
        <f aca="false">IF(OR(U259="",Y259="",Z259=""),"",IF(AND(U259&gt;Y259,-U259&lt;Z259),"Ok","Not Ok"))</f>
        <v/>
      </c>
      <c r="AB259" s="70"/>
    </row>
    <row r="260" customFormat="false" ht="12.8" hidden="false" customHeight="false" outlineLevel="0" collapsed="false">
      <c r="A260" s="48" t="n">
        <f aca="false">TB_audited!A243</f>
        <v>0</v>
      </c>
      <c r="B260" s="49"/>
      <c r="C260" s="50"/>
      <c r="D260" s="51" t="n">
        <f aca="false">TB_audited!B243</f>
        <v>0</v>
      </c>
      <c r="E260" s="52" t="n">
        <f aca="false">TB_audited!C243</f>
        <v>0</v>
      </c>
      <c r="F260" s="53" t="n">
        <f aca="false">TB_audited!D243</f>
        <v>0</v>
      </c>
      <c r="G260" s="54" t="n">
        <f aca="false">IF($D$8="Interim",TB_audited!G243,TB_audited!E243)</f>
        <v>0</v>
      </c>
      <c r="H260" s="55" t="str">
        <f aca="false">IFERROR(VLOOKUP($A260,RA_result!$B$3:$N$62,11,0),"")</f>
        <v/>
      </c>
      <c r="I260" s="55" t="str">
        <f aca="false">IFERROR(VLOOKUP($A260,RA_result!$B$3:$N$62,12,0),"")</f>
        <v/>
      </c>
      <c r="J260" s="55" t="str">
        <f aca="false">IFERROR(VLOOKUP($A260,RA_result!$B$3:$N$62,13,0),"")</f>
        <v/>
      </c>
      <c r="K260" s="56"/>
      <c r="L260" s="56"/>
      <c r="M260" s="57" t="n">
        <f aca="false">G260</f>
        <v>0</v>
      </c>
      <c r="N260" s="54" t="n">
        <f aca="false">G260-M260</f>
        <v>0</v>
      </c>
      <c r="O260" s="55" t="str">
        <f aca="false">IFERROR(VLOOKUP($A260,RA_result!$B$3:$N$62,7,0),"")</f>
        <v/>
      </c>
      <c r="P260" s="52" t="str">
        <f aca="false">IFERROR(VLOOKUP($A260,RA_result!$B$3:$N$62,9,0),"")</f>
        <v/>
      </c>
      <c r="Q260" s="52" t="str">
        <f aca="false">IFERROR(VLOOKUP($A260,RA_result!$B$3:$N$62,10,0),"")</f>
        <v/>
      </c>
      <c r="R260" s="58" t="s">
        <v>55</v>
      </c>
      <c r="S260" s="59" t="str">
        <f aca="false">IFERROR(VLOOKUP($A260,RA_result!$B$3:$N$62,4,0),"")</f>
        <v/>
      </c>
      <c r="T260" s="60" t="s">
        <v>56</v>
      </c>
      <c r="U260" s="59" t="str">
        <f aca="false">IFERROR(IF(VLOOKUP($A260,RA_result!$B$3:$N$62,6,0)="",S260*T260,VLOOKUP($A260,RA_result!$B$3:$N$62,6,0)),"")</f>
        <v/>
      </c>
      <c r="V260" s="61" t="s">
        <v>56</v>
      </c>
      <c r="W260" s="62" t="n">
        <f aca="false">IFERROR((S260*30%)/V260,0)</f>
        <v>0</v>
      </c>
      <c r="X260" s="63" t="n">
        <f aca="false">IFERROR(N260/W260,0)</f>
        <v>0</v>
      </c>
      <c r="Y260" s="68"/>
      <c r="Z260" s="57"/>
      <c r="AA260" s="69" t="str">
        <f aca="false">IF(OR(U260="",Y260="",Z260=""),"",IF(AND(U260&gt;Y260,-U260&lt;Z260),"Ok","Not Ok"))</f>
        <v/>
      </c>
      <c r="AB260" s="70"/>
    </row>
    <row r="261" customFormat="false" ht="12.8" hidden="false" customHeight="false" outlineLevel="0" collapsed="false">
      <c r="A261" s="48" t="n">
        <f aca="false">TB_audited!A244</f>
        <v>0</v>
      </c>
      <c r="B261" s="49"/>
      <c r="C261" s="50"/>
      <c r="D261" s="51" t="n">
        <f aca="false">TB_audited!B244</f>
        <v>0</v>
      </c>
      <c r="E261" s="52" t="n">
        <f aca="false">TB_audited!C244</f>
        <v>0</v>
      </c>
      <c r="F261" s="53" t="n">
        <f aca="false">TB_audited!D244</f>
        <v>0</v>
      </c>
      <c r="G261" s="54" t="n">
        <f aca="false">IF($D$8="Interim",TB_audited!G244,TB_audited!E244)</f>
        <v>0</v>
      </c>
      <c r="H261" s="55" t="str">
        <f aca="false">IFERROR(VLOOKUP($A261,RA_result!$B$3:$N$62,11,0),"")</f>
        <v/>
      </c>
      <c r="I261" s="55" t="str">
        <f aca="false">IFERROR(VLOOKUP($A261,RA_result!$B$3:$N$62,12,0),"")</f>
        <v/>
      </c>
      <c r="J261" s="55" t="str">
        <f aca="false">IFERROR(VLOOKUP($A261,RA_result!$B$3:$N$62,13,0),"")</f>
        <v/>
      </c>
      <c r="K261" s="56"/>
      <c r="L261" s="56"/>
      <c r="M261" s="57" t="n">
        <f aca="false">G261</f>
        <v>0</v>
      </c>
      <c r="N261" s="54" t="n">
        <f aca="false">G261-M261</f>
        <v>0</v>
      </c>
      <c r="O261" s="55" t="str">
        <f aca="false">IFERROR(VLOOKUP($A261,RA_result!$B$3:$N$62,7,0),"")</f>
        <v/>
      </c>
      <c r="P261" s="52" t="str">
        <f aca="false">IFERROR(VLOOKUP($A261,RA_result!$B$3:$N$62,9,0),"")</f>
        <v/>
      </c>
      <c r="Q261" s="52" t="str">
        <f aca="false">IFERROR(VLOOKUP($A261,RA_result!$B$3:$N$62,10,0),"")</f>
        <v/>
      </c>
      <c r="R261" s="58" t="s">
        <v>55</v>
      </c>
      <c r="S261" s="59" t="str">
        <f aca="false">IFERROR(VLOOKUP($A261,RA_result!$B$3:$N$62,4,0),"")</f>
        <v/>
      </c>
      <c r="T261" s="60" t="s">
        <v>56</v>
      </c>
      <c r="U261" s="59" t="str">
        <f aca="false">IFERROR(IF(VLOOKUP($A261,RA_result!$B$3:$N$62,6,0)="",S261*T261,VLOOKUP($A261,RA_result!$B$3:$N$62,6,0)),"")</f>
        <v/>
      </c>
      <c r="V261" s="61" t="s">
        <v>56</v>
      </c>
      <c r="W261" s="62" t="n">
        <f aca="false">IFERROR((S261*30%)/V261,0)</f>
        <v>0</v>
      </c>
      <c r="X261" s="63" t="n">
        <f aca="false">IFERROR(N261/W261,0)</f>
        <v>0</v>
      </c>
      <c r="Y261" s="68"/>
      <c r="Z261" s="57"/>
      <c r="AA261" s="69" t="str">
        <f aca="false">IF(OR(U261="",Y261="",Z261=""),"",IF(AND(U261&gt;Y261,-U261&lt;Z261),"Ok","Not Ok"))</f>
        <v/>
      </c>
      <c r="AB261" s="70"/>
    </row>
    <row r="262" customFormat="false" ht="12.8" hidden="false" customHeight="false" outlineLevel="0" collapsed="false">
      <c r="A262" s="48" t="n">
        <f aca="false">TB_audited!A245</f>
        <v>0</v>
      </c>
      <c r="B262" s="49"/>
      <c r="C262" s="50"/>
      <c r="D262" s="51" t="n">
        <f aca="false">TB_audited!B245</f>
        <v>0</v>
      </c>
      <c r="E262" s="52" t="n">
        <f aca="false">TB_audited!C245</f>
        <v>0</v>
      </c>
      <c r="F262" s="53" t="n">
        <f aca="false">TB_audited!D245</f>
        <v>0</v>
      </c>
      <c r="G262" s="54" t="n">
        <f aca="false">IF($D$8="Interim",TB_audited!G245,TB_audited!E245)</f>
        <v>0</v>
      </c>
      <c r="H262" s="55" t="str">
        <f aca="false">IFERROR(VLOOKUP($A262,RA_result!$B$3:$N$62,11,0),"")</f>
        <v/>
      </c>
      <c r="I262" s="55" t="str">
        <f aca="false">IFERROR(VLOOKUP($A262,RA_result!$B$3:$N$62,12,0),"")</f>
        <v/>
      </c>
      <c r="J262" s="55" t="str">
        <f aca="false">IFERROR(VLOOKUP($A262,RA_result!$B$3:$N$62,13,0),"")</f>
        <v/>
      </c>
      <c r="K262" s="56"/>
      <c r="L262" s="56"/>
      <c r="M262" s="57" t="n">
        <f aca="false">G262</f>
        <v>0</v>
      </c>
      <c r="N262" s="54" t="n">
        <f aca="false">G262-M262</f>
        <v>0</v>
      </c>
      <c r="O262" s="55" t="str">
        <f aca="false">IFERROR(VLOOKUP($A262,RA_result!$B$3:$N$62,7,0),"")</f>
        <v/>
      </c>
      <c r="P262" s="52" t="str">
        <f aca="false">IFERROR(VLOOKUP($A262,RA_result!$B$3:$N$62,9,0),"")</f>
        <v/>
      </c>
      <c r="Q262" s="52" t="str">
        <f aca="false">IFERROR(VLOOKUP($A262,RA_result!$B$3:$N$62,10,0),"")</f>
        <v/>
      </c>
      <c r="R262" s="58" t="s">
        <v>55</v>
      </c>
      <c r="S262" s="59" t="str">
        <f aca="false">IFERROR(VLOOKUP($A262,RA_result!$B$3:$N$62,4,0),"")</f>
        <v/>
      </c>
      <c r="T262" s="60" t="s">
        <v>56</v>
      </c>
      <c r="U262" s="59" t="str">
        <f aca="false">IFERROR(IF(VLOOKUP($A262,RA_result!$B$3:$N$62,6,0)="",S262*T262,VLOOKUP($A262,RA_result!$B$3:$N$62,6,0)),"")</f>
        <v/>
      </c>
      <c r="V262" s="61" t="s">
        <v>56</v>
      </c>
      <c r="W262" s="62" t="n">
        <f aca="false">IFERROR((S262*30%)/V262,0)</f>
        <v>0</v>
      </c>
      <c r="X262" s="63" t="n">
        <f aca="false">IFERROR(N262/W262,0)</f>
        <v>0</v>
      </c>
      <c r="Y262" s="68"/>
      <c r="Z262" s="57"/>
      <c r="AA262" s="69" t="str">
        <f aca="false">IF(OR(U262="",Y262="",Z262=""),"",IF(AND(U262&gt;Y262,-U262&lt;Z262),"Ok","Not Ok"))</f>
        <v/>
      </c>
      <c r="AB262" s="70"/>
    </row>
    <row r="263" customFormat="false" ht="12.8" hidden="false" customHeight="false" outlineLevel="0" collapsed="false">
      <c r="A263" s="48" t="n">
        <f aca="false">TB_audited!A246</f>
        <v>0</v>
      </c>
      <c r="B263" s="49"/>
      <c r="C263" s="50"/>
      <c r="D263" s="51" t="n">
        <f aca="false">TB_audited!B246</f>
        <v>0</v>
      </c>
      <c r="E263" s="52" t="n">
        <f aca="false">TB_audited!C246</f>
        <v>0</v>
      </c>
      <c r="F263" s="53" t="n">
        <f aca="false">TB_audited!D246</f>
        <v>0</v>
      </c>
      <c r="G263" s="54" t="n">
        <f aca="false">IF($D$8="Interim",TB_audited!G246,TB_audited!E246)</f>
        <v>0</v>
      </c>
      <c r="H263" s="55" t="str">
        <f aca="false">IFERROR(VLOOKUP($A263,RA_result!$B$3:$N$62,11,0),"")</f>
        <v/>
      </c>
      <c r="I263" s="55" t="str">
        <f aca="false">IFERROR(VLOOKUP($A263,RA_result!$B$3:$N$62,12,0),"")</f>
        <v/>
      </c>
      <c r="J263" s="55" t="str">
        <f aca="false">IFERROR(VLOOKUP($A263,RA_result!$B$3:$N$62,13,0),"")</f>
        <v/>
      </c>
      <c r="K263" s="56"/>
      <c r="L263" s="56"/>
      <c r="M263" s="57" t="n">
        <f aca="false">G263</f>
        <v>0</v>
      </c>
      <c r="N263" s="54" t="n">
        <f aca="false">G263-M263</f>
        <v>0</v>
      </c>
      <c r="O263" s="55" t="str">
        <f aca="false">IFERROR(VLOOKUP($A263,RA_result!$B$3:$N$62,7,0),"")</f>
        <v/>
      </c>
      <c r="P263" s="52" t="str">
        <f aca="false">IFERROR(VLOOKUP($A263,RA_result!$B$3:$N$62,9,0),"")</f>
        <v/>
      </c>
      <c r="Q263" s="52" t="str">
        <f aca="false">IFERROR(VLOOKUP($A263,RA_result!$B$3:$N$62,10,0),"")</f>
        <v/>
      </c>
      <c r="R263" s="58" t="s">
        <v>55</v>
      </c>
      <c r="S263" s="59" t="str">
        <f aca="false">IFERROR(VLOOKUP($A263,RA_result!$B$3:$N$62,4,0),"")</f>
        <v/>
      </c>
      <c r="T263" s="60" t="s">
        <v>56</v>
      </c>
      <c r="U263" s="59" t="str">
        <f aca="false">IFERROR(IF(VLOOKUP($A263,RA_result!$B$3:$N$62,6,0)="",S263*T263,VLOOKUP($A263,RA_result!$B$3:$N$62,6,0)),"")</f>
        <v/>
      </c>
      <c r="V263" s="61" t="s">
        <v>56</v>
      </c>
      <c r="W263" s="62" t="n">
        <f aca="false">IFERROR((S263*30%)/V263,0)</f>
        <v>0</v>
      </c>
      <c r="X263" s="63" t="n">
        <f aca="false">IFERROR(N263/W263,0)</f>
        <v>0</v>
      </c>
      <c r="Y263" s="68"/>
      <c r="Z263" s="57"/>
      <c r="AA263" s="69" t="str">
        <f aca="false">IF(OR(U263="",Y263="",Z263=""),"",IF(AND(U263&gt;Y263,-U263&lt;Z263),"Ok","Not Ok"))</f>
        <v/>
      </c>
      <c r="AB263" s="70"/>
    </row>
    <row r="264" customFormat="false" ht="12.8" hidden="false" customHeight="false" outlineLevel="0" collapsed="false">
      <c r="A264" s="48" t="n">
        <f aca="false">TB_audited!A247</f>
        <v>0</v>
      </c>
      <c r="B264" s="49"/>
      <c r="C264" s="50"/>
      <c r="D264" s="51" t="n">
        <f aca="false">TB_audited!B247</f>
        <v>0</v>
      </c>
      <c r="E264" s="52" t="n">
        <f aca="false">TB_audited!C247</f>
        <v>0</v>
      </c>
      <c r="F264" s="53" t="n">
        <f aca="false">TB_audited!D247</f>
        <v>0</v>
      </c>
      <c r="G264" s="54" t="n">
        <f aca="false">IF($D$8="Interim",TB_audited!G247,TB_audited!E247)</f>
        <v>0</v>
      </c>
      <c r="H264" s="55" t="str">
        <f aca="false">IFERROR(VLOOKUP($A264,RA_result!$B$3:$N$62,11,0),"")</f>
        <v/>
      </c>
      <c r="I264" s="55" t="str">
        <f aca="false">IFERROR(VLOOKUP($A264,RA_result!$B$3:$N$62,12,0),"")</f>
        <v/>
      </c>
      <c r="J264" s="55" t="str">
        <f aca="false">IFERROR(VLOOKUP($A264,RA_result!$B$3:$N$62,13,0),"")</f>
        <v/>
      </c>
      <c r="K264" s="56"/>
      <c r="L264" s="56"/>
      <c r="M264" s="57" t="n">
        <f aca="false">G264</f>
        <v>0</v>
      </c>
      <c r="N264" s="54" t="n">
        <f aca="false">G264-M264</f>
        <v>0</v>
      </c>
      <c r="O264" s="55" t="str">
        <f aca="false">IFERROR(VLOOKUP($A264,RA_result!$B$3:$N$62,7,0),"")</f>
        <v/>
      </c>
      <c r="P264" s="52" t="str">
        <f aca="false">IFERROR(VLOOKUP($A264,RA_result!$B$3:$N$62,9,0),"")</f>
        <v/>
      </c>
      <c r="Q264" s="52" t="str">
        <f aca="false">IFERROR(VLOOKUP($A264,RA_result!$B$3:$N$62,10,0),"")</f>
        <v/>
      </c>
      <c r="R264" s="58" t="s">
        <v>55</v>
      </c>
      <c r="S264" s="59" t="str">
        <f aca="false">IFERROR(VLOOKUP($A264,RA_result!$B$3:$N$62,4,0),"")</f>
        <v/>
      </c>
      <c r="T264" s="60" t="s">
        <v>56</v>
      </c>
      <c r="U264" s="59" t="str">
        <f aca="false">IFERROR(IF(VLOOKUP($A264,RA_result!$B$3:$N$62,6,0)="",S264*T264,VLOOKUP($A264,RA_result!$B$3:$N$62,6,0)),"")</f>
        <v/>
      </c>
      <c r="V264" s="61" t="s">
        <v>56</v>
      </c>
      <c r="W264" s="62" t="n">
        <f aca="false">IFERROR((S264*30%)/V264,0)</f>
        <v>0</v>
      </c>
      <c r="X264" s="63" t="n">
        <f aca="false">IFERROR(N264/W264,0)</f>
        <v>0</v>
      </c>
      <c r="Y264" s="68"/>
      <c r="Z264" s="57"/>
      <c r="AA264" s="69" t="str">
        <f aca="false">IF(OR(U264="",Y264="",Z264=""),"",IF(AND(U264&gt;Y264,-U264&lt;Z264),"Ok","Not Ok"))</f>
        <v/>
      </c>
      <c r="AB264" s="70"/>
    </row>
    <row r="265" customFormat="false" ht="12.8" hidden="false" customHeight="false" outlineLevel="0" collapsed="false">
      <c r="A265" s="48" t="n">
        <f aca="false">TB_audited!A248</f>
        <v>0</v>
      </c>
      <c r="B265" s="49"/>
      <c r="C265" s="50"/>
      <c r="D265" s="51" t="n">
        <f aca="false">TB_audited!B248</f>
        <v>0</v>
      </c>
      <c r="E265" s="52" t="n">
        <f aca="false">TB_audited!C248</f>
        <v>0</v>
      </c>
      <c r="F265" s="53" t="n">
        <f aca="false">TB_audited!D248</f>
        <v>0</v>
      </c>
      <c r="G265" s="54" t="n">
        <f aca="false">IF($D$8="Interim",TB_audited!G248,TB_audited!E248)</f>
        <v>0</v>
      </c>
      <c r="H265" s="55" t="str">
        <f aca="false">IFERROR(VLOOKUP($A265,RA_result!$B$3:$N$62,11,0),"")</f>
        <v/>
      </c>
      <c r="I265" s="55" t="str">
        <f aca="false">IFERROR(VLOOKUP($A265,RA_result!$B$3:$N$62,12,0),"")</f>
        <v/>
      </c>
      <c r="J265" s="55" t="str">
        <f aca="false">IFERROR(VLOOKUP($A265,RA_result!$B$3:$N$62,13,0),"")</f>
        <v/>
      </c>
      <c r="K265" s="56"/>
      <c r="L265" s="56"/>
      <c r="M265" s="57" t="n">
        <f aca="false">G265</f>
        <v>0</v>
      </c>
      <c r="N265" s="54" t="n">
        <f aca="false">G265-M265</f>
        <v>0</v>
      </c>
      <c r="O265" s="55" t="str">
        <f aca="false">IFERROR(VLOOKUP($A265,RA_result!$B$3:$N$62,7,0),"")</f>
        <v/>
      </c>
      <c r="P265" s="52" t="str">
        <f aca="false">IFERROR(VLOOKUP($A265,RA_result!$B$3:$N$62,9,0),"")</f>
        <v/>
      </c>
      <c r="Q265" s="52" t="str">
        <f aca="false">IFERROR(VLOOKUP($A265,RA_result!$B$3:$N$62,10,0),"")</f>
        <v/>
      </c>
      <c r="R265" s="58" t="s">
        <v>55</v>
      </c>
      <c r="S265" s="59" t="str">
        <f aca="false">IFERROR(VLOOKUP($A265,RA_result!$B$3:$N$62,4,0),"")</f>
        <v/>
      </c>
      <c r="T265" s="60" t="s">
        <v>56</v>
      </c>
      <c r="U265" s="59" t="str">
        <f aca="false">IFERROR(IF(VLOOKUP($A265,RA_result!$B$3:$N$62,6,0)="",S265*T265,VLOOKUP($A265,RA_result!$B$3:$N$62,6,0)),"")</f>
        <v/>
      </c>
      <c r="V265" s="61" t="s">
        <v>56</v>
      </c>
      <c r="W265" s="62" t="n">
        <f aca="false">IFERROR((S265*30%)/V265,0)</f>
        <v>0</v>
      </c>
      <c r="X265" s="63" t="n">
        <f aca="false">IFERROR(N265/W265,0)</f>
        <v>0</v>
      </c>
      <c r="Y265" s="68"/>
      <c r="Z265" s="57"/>
      <c r="AA265" s="69" t="str">
        <f aca="false">IF(OR(U265="",Y265="",Z265=""),"",IF(AND(U265&gt;Y265,-U265&lt;Z265),"Ok","Not Ok"))</f>
        <v/>
      </c>
      <c r="AB265" s="70"/>
    </row>
    <row r="266" customFormat="false" ht="12.8" hidden="false" customHeight="false" outlineLevel="0" collapsed="false">
      <c r="A266" s="48" t="n">
        <f aca="false">TB_audited!A249</f>
        <v>0</v>
      </c>
      <c r="B266" s="49"/>
      <c r="C266" s="50"/>
      <c r="D266" s="51" t="n">
        <f aca="false">TB_audited!B249</f>
        <v>0</v>
      </c>
      <c r="E266" s="52" t="n">
        <f aca="false">TB_audited!C249</f>
        <v>0</v>
      </c>
      <c r="F266" s="53" t="n">
        <f aca="false">TB_audited!D249</f>
        <v>0</v>
      </c>
      <c r="G266" s="54" t="n">
        <f aca="false">IF($D$8="Interim",TB_audited!G249,TB_audited!E249)</f>
        <v>0</v>
      </c>
      <c r="H266" s="55" t="str">
        <f aca="false">IFERROR(VLOOKUP($A266,RA_result!$B$3:$N$62,11,0),"")</f>
        <v/>
      </c>
      <c r="I266" s="55" t="str">
        <f aca="false">IFERROR(VLOOKUP($A266,RA_result!$B$3:$N$62,12,0),"")</f>
        <v/>
      </c>
      <c r="J266" s="55" t="str">
        <f aca="false">IFERROR(VLOOKUP($A266,RA_result!$B$3:$N$62,13,0),"")</f>
        <v/>
      </c>
      <c r="K266" s="56"/>
      <c r="L266" s="56"/>
      <c r="M266" s="57" t="n">
        <f aca="false">G266</f>
        <v>0</v>
      </c>
      <c r="N266" s="54" t="n">
        <f aca="false">G266-M266</f>
        <v>0</v>
      </c>
      <c r="O266" s="55" t="str">
        <f aca="false">IFERROR(VLOOKUP($A266,RA_result!$B$3:$N$62,7,0),"")</f>
        <v/>
      </c>
      <c r="P266" s="52" t="str">
        <f aca="false">IFERROR(VLOOKUP($A266,RA_result!$B$3:$N$62,9,0),"")</f>
        <v/>
      </c>
      <c r="Q266" s="52" t="str">
        <f aca="false">IFERROR(VLOOKUP($A266,RA_result!$B$3:$N$62,10,0),"")</f>
        <v/>
      </c>
      <c r="R266" s="58" t="s">
        <v>55</v>
      </c>
      <c r="S266" s="59" t="str">
        <f aca="false">IFERROR(VLOOKUP($A266,RA_result!$B$3:$N$62,4,0),"")</f>
        <v/>
      </c>
      <c r="T266" s="60" t="s">
        <v>56</v>
      </c>
      <c r="U266" s="59" t="str">
        <f aca="false">IFERROR(IF(VLOOKUP($A266,RA_result!$B$3:$N$62,6,0)="",S266*T266,VLOOKUP($A266,RA_result!$B$3:$N$62,6,0)),"")</f>
        <v/>
      </c>
      <c r="V266" s="61" t="s">
        <v>56</v>
      </c>
      <c r="W266" s="62" t="n">
        <f aca="false">IFERROR((S266*30%)/V266,0)</f>
        <v>0</v>
      </c>
      <c r="X266" s="63" t="n">
        <f aca="false">IFERROR(N266/W266,0)</f>
        <v>0</v>
      </c>
      <c r="Y266" s="68"/>
      <c r="Z266" s="57"/>
      <c r="AA266" s="69" t="str">
        <f aca="false">IF(OR(U266="",Y266="",Z266=""),"",IF(AND(U266&gt;Y266,-U266&lt;Z266),"Ok","Not Ok"))</f>
        <v/>
      </c>
      <c r="AB266" s="70"/>
    </row>
    <row r="267" customFormat="false" ht="12.8" hidden="false" customHeight="false" outlineLevel="0" collapsed="false">
      <c r="A267" s="48" t="n">
        <f aca="false">TB_audited!A250</f>
        <v>0</v>
      </c>
      <c r="B267" s="49"/>
      <c r="C267" s="50"/>
      <c r="D267" s="51" t="n">
        <f aca="false">TB_audited!B250</f>
        <v>0</v>
      </c>
      <c r="E267" s="52" t="n">
        <f aca="false">TB_audited!C250</f>
        <v>0</v>
      </c>
      <c r="F267" s="53" t="n">
        <f aca="false">TB_audited!D250</f>
        <v>0</v>
      </c>
      <c r="G267" s="54" t="n">
        <f aca="false">IF($D$8="Interim",TB_audited!G250,TB_audited!E250)</f>
        <v>0</v>
      </c>
      <c r="H267" s="55" t="str">
        <f aca="false">IFERROR(VLOOKUP($A267,RA_result!$B$3:$N$62,11,0),"")</f>
        <v/>
      </c>
      <c r="I267" s="55" t="str">
        <f aca="false">IFERROR(VLOOKUP($A267,RA_result!$B$3:$N$62,12,0),"")</f>
        <v/>
      </c>
      <c r="J267" s="55" t="str">
        <f aca="false">IFERROR(VLOOKUP($A267,RA_result!$B$3:$N$62,13,0),"")</f>
        <v/>
      </c>
      <c r="K267" s="56"/>
      <c r="L267" s="56"/>
      <c r="M267" s="57" t="n">
        <f aca="false">G267</f>
        <v>0</v>
      </c>
      <c r="N267" s="54" t="n">
        <f aca="false">G267-M267</f>
        <v>0</v>
      </c>
      <c r="O267" s="55" t="str">
        <f aca="false">IFERROR(VLOOKUP($A267,RA_result!$B$3:$N$62,7,0),"")</f>
        <v/>
      </c>
      <c r="P267" s="52" t="str">
        <f aca="false">IFERROR(VLOOKUP($A267,RA_result!$B$3:$N$62,9,0),"")</f>
        <v/>
      </c>
      <c r="Q267" s="52" t="str">
        <f aca="false">IFERROR(VLOOKUP($A267,RA_result!$B$3:$N$62,10,0),"")</f>
        <v/>
      </c>
      <c r="R267" s="58" t="s">
        <v>55</v>
      </c>
      <c r="S267" s="59" t="str">
        <f aca="false">IFERROR(VLOOKUP($A267,RA_result!$B$3:$N$62,4,0),"")</f>
        <v/>
      </c>
      <c r="T267" s="60" t="s">
        <v>56</v>
      </c>
      <c r="U267" s="59" t="str">
        <f aca="false">IFERROR(IF(VLOOKUP($A267,RA_result!$B$3:$N$62,6,0)="",S267*T267,VLOOKUP($A267,RA_result!$B$3:$N$62,6,0)),"")</f>
        <v/>
      </c>
      <c r="V267" s="61" t="s">
        <v>56</v>
      </c>
      <c r="W267" s="62" t="n">
        <f aca="false">IFERROR((S267*30%)/V267,0)</f>
        <v>0</v>
      </c>
      <c r="X267" s="63" t="n">
        <f aca="false">IFERROR(N267/W267,0)</f>
        <v>0</v>
      </c>
      <c r="Y267" s="68"/>
      <c r="Z267" s="57"/>
      <c r="AA267" s="69" t="str">
        <f aca="false">IF(OR(U267="",Y267="",Z267=""),"",IF(AND(U267&gt;Y267,-U267&lt;Z267),"Ok","Not Ok"))</f>
        <v/>
      </c>
      <c r="AB267" s="70"/>
    </row>
    <row r="268" customFormat="false" ht="12.8" hidden="false" customHeight="false" outlineLevel="0" collapsed="false">
      <c r="A268" s="48" t="n">
        <f aca="false">TB_audited!A251</f>
        <v>0</v>
      </c>
      <c r="B268" s="49"/>
      <c r="C268" s="50"/>
      <c r="D268" s="51" t="n">
        <f aca="false">TB_audited!B251</f>
        <v>0</v>
      </c>
      <c r="E268" s="52" t="n">
        <f aca="false">TB_audited!C251</f>
        <v>0</v>
      </c>
      <c r="F268" s="53" t="n">
        <f aca="false">TB_audited!D251</f>
        <v>0</v>
      </c>
      <c r="G268" s="54" t="n">
        <f aca="false">IF($D$8="Interim",TB_audited!G251,TB_audited!E251)</f>
        <v>0</v>
      </c>
      <c r="H268" s="55" t="str">
        <f aca="false">IFERROR(VLOOKUP($A268,RA_result!$B$3:$N$62,11,0),"")</f>
        <v/>
      </c>
      <c r="I268" s="55" t="str">
        <f aca="false">IFERROR(VLOOKUP($A268,RA_result!$B$3:$N$62,12,0),"")</f>
        <v/>
      </c>
      <c r="J268" s="55" t="str">
        <f aca="false">IFERROR(VLOOKUP($A268,RA_result!$B$3:$N$62,13,0),"")</f>
        <v/>
      </c>
      <c r="K268" s="56"/>
      <c r="L268" s="56"/>
      <c r="M268" s="57" t="n">
        <f aca="false">G268</f>
        <v>0</v>
      </c>
      <c r="N268" s="54" t="n">
        <f aca="false">G268-M268</f>
        <v>0</v>
      </c>
      <c r="O268" s="55" t="str">
        <f aca="false">IFERROR(VLOOKUP($A268,RA_result!$B$3:$N$62,7,0),"")</f>
        <v/>
      </c>
      <c r="P268" s="52" t="str">
        <f aca="false">IFERROR(VLOOKUP($A268,RA_result!$B$3:$N$62,9,0),"")</f>
        <v/>
      </c>
      <c r="Q268" s="52" t="str">
        <f aca="false">IFERROR(VLOOKUP($A268,RA_result!$B$3:$N$62,10,0),"")</f>
        <v/>
      </c>
      <c r="R268" s="58" t="s">
        <v>55</v>
      </c>
      <c r="S268" s="59" t="str">
        <f aca="false">IFERROR(VLOOKUP($A268,RA_result!$B$3:$N$62,4,0),"")</f>
        <v/>
      </c>
      <c r="T268" s="60" t="s">
        <v>56</v>
      </c>
      <c r="U268" s="59" t="str">
        <f aca="false">IFERROR(IF(VLOOKUP($A268,RA_result!$B$3:$N$62,6,0)="",S268*T268,VLOOKUP($A268,RA_result!$B$3:$N$62,6,0)),"")</f>
        <v/>
      </c>
      <c r="V268" s="61" t="s">
        <v>56</v>
      </c>
      <c r="W268" s="62" t="n">
        <f aca="false">IFERROR((S268*30%)/V268,0)</f>
        <v>0</v>
      </c>
      <c r="X268" s="63" t="n">
        <f aca="false">IFERROR(N268/W268,0)</f>
        <v>0</v>
      </c>
      <c r="Y268" s="68"/>
      <c r="Z268" s="57"/>
      <c r="AA268" s="69" t="str">
        <f aca="false">IF(OR(U268="",Y268="",Z268=""),"",IF(AND(U268&gt;Y268,-U268&lt;Z268),"Ok","Not Ok"))</f>
        <v/>
      </c>
      <c r="AB268" s="70"/>
    </row>
    <row r="269" customFormat="false" ht="12.8" hidden="false" customHeight="false" outlineLevel="0" collapsed="false">
      <c r="A269" s="48" t="n">
        <f aca="false">TB_audited!A252</f>
        <v>0</v>
      </c>
      <c r="B269" s="49"/>
      <c r="C269" s="50"/>
      <c r="D269" s="51" t="n">
        <f aca="false">TB_audited!B252</f>
        <v>0</v>
      </c>
      <c r="E269" s="52" t="n">
        <f aca="false">TB_audited!C252</f>
        <v>0</v>
      </c>
      <c r="F269" s="53" t="n">
        <f aca="false">TB_audited!D252</f>
        <v>0</v>
      </c>
      <c r="G269" s="54" t="n">
        <f aca="false">IF($D$8="Interim",TB_audited!G252,TB_audited!E252)</f>
        <v>0</v>
      </c>
      <c r="H269" s="55" t="str">
        <f aca="false">IFERROR(VLOOKUP($A269,RA_result!$B$3:$N$62,11,0),"")</f>
        <v/>
      </c>
      <c r="I269" s="55" t="str">
        <f aca="false">IFERROR(VLOOKUP($A269,RA_result!$B$3:$N$62,12,0),"")</f>
        <v/>
      </c>
      <c r="J269" s="55" t="str">
        <f aca="false">IFERROR(VLOOKUP($A269,RA_result!$B$3:$N$62,13,0),"")</f>
        <v/>
      </c>
      <c r="K269" s="56"/>
      <c r="L269" s="56"/>
      <c r="M269" s="57" t="n">
        <f aca="false">G269</f>
        <v>0</v>
      </c>
      <c r="N269" s="54" t="n">
        <f aca="false">G269-M269</f>
        <v>0</v>
      </c>
      <c r="O269" s="55" t="str">
        <f aca="false">IFERROR(VLOOKUP($A269,RA_result!$B$3:$N$62,7,0),"")</f>
        <v/>
      </c>
      <c r="P269" s="52" t="str">
        <f aca="false">IFERROR(VLOOKUP($A269,RA_result!$B$3:$N$62,9,0),"")</f>
        <v/>
      </c>
      <c r="Q269" s="52" t="str">
        <f aca="false">IFERROR(VLOOKUP($A269,RA_result!$B$3:$N$62,10,0),"")</f>
        <v/>
      </c>
      <c r="R269" s="58" t="s">
        <v>55</v>
      </c>
      <c r="S269" s="59" t="str">
        <f aca="false">IFERROR(VLOOKUP($A269,RA_result!$B$3:$N$62,4,0),"")</f>
        <v/>
      </c>
      <c r="T269" s="60" t="s">
        <v>56</v>
      </c>
      <c r="U269" s="59" t="str">
        <f aca="false">IFERROR(IF(VLOOKUP($A269,RA_result!$B$3:$N$62,6,0)="",S269*T269,VLOOKUP($A269,RA_result!$B$3:$N$62,6,0)),"")</f>
        <v/>
      </c>
      <c r="V269" s="61" t="s">
        <v>56</v>
      </c>
      <c r="W269" s="62" t="n">
        <f aca="false">IFERROR((S269*30%)/V269,0)</f>
        <v>0</v>
      </c>
      <c r="X269" s="63" t="n">
        <f aca="false">IFERROR(N269/W269,0)</f>
        <v>0</v>
      </c>
      <c r="Y269" s="68"/>
      <c r="Z269" s="57"/>
      <c r="AA269" s="69" t="str">
        <f aca="false">IF(OR(U269="",Y269="",Z269=""),"",IF(AND(U269&gt;Y269,-U269&lt;Z269),"Ok","Not Ok"))</f>
        <v/>
      </c>
      <c r="AB269" s="70"/>
    </row>
    <row r="270" customFormat="false" ht="12.8" hidden="false" customHeight="false" outlineLevel="0" collapsed="false">
      <c r="A270" s="48" t="n">
        <f aca="false">TB_audited!A253</f>
        <v>0</v>
      </c>
      <c r="B270" s="49"/>
      <c r="C270" s="50"/>
      <c r="D270" s="51" t="n">
        <f aca="false">TB_audited!B253</f>
        <v>0</v>
      </c>
      <c r="E270" s="52" t="n">
        <f aca="false">TB_audited!C253</f>
        <v>0</v>
      </c>
      <c r="F270" s="53" t="n">
        <f aca="false">TB_audited!D253</f>
        <v>0</v>
      </c>
      <c r="G270" s="54" t="n">
        <f aca="false">IF($D$8="Interim",TB_audited!G253,TB_audited!E253)</f>
        <v>0</v>
      </c>
      <c r="H270" s="55" t="str">
        <f aca="false">IFERROR(VLOOKUP($A270,RA_result!$B$3:$N$62,11,0),"")</f>
        <v/>
      </c>
      <c r="I270" s="55" t="str">
        <f aca="false">IFERROR(VLOOKUP($A270,RA_result!$B$3:$N$62,12,0),"")</f>
        <v/>
      </c>
      <c r="J270" s="55" t="str">
        <f aca="false">IFERROR(VLOOKUP($A270,RA_result!$B$3:$N$62,13,0),"")</f>
        <v/>
      </c>
      <c r="K270" s="56"/>
      <c r="L270" s="56"/>
      <c r="M270" s="57" t="n">
        <f aca="false">G270</f>
        <v>0</v>
      </c>
      <c r="N270" s="54" t="n">
        <f aca="false">G270-M270</f>
        <v>0</v>
      </c>
      <c r="O270" s="55" t="str">
        <f aca="false">IFERROR(VLOOKUP($A270,RA_result!$B$3:$N$62,7,0),"")</f>
        <v/>
      </c>
      <c r="P270" s="52" t="str">
        <f aca="false">IFERROR(VLOOKUP($A270,RA_result!$B$3:$N$62,9,0),"")</f>
        <v/>
      </c>
      <c r="Q270" s="52" t="str">
        <f aca="false">IFERROR(VLOOKUP($A270,RA_result!$B$3:$N$62,10,0),"")</f>
        <v/>
      </c>
      <c r="R270" s="58" t="s">
        <v>55</v>
      </c>
      <c r="S270" s="59" t="str">
        <f aca="false">IFERROR(VLOOKUP($A270,RA_result!$B$3:$N$62,4,0),"")</f>
        <v/>
      </c>
      <c r="T270" s="60" t="s">
        <v>56</v>
      </c>
      <c r="U270" s="59" t="str">
        <f aca="false">IFERROR(IF(VLOOKUP($A270,RA_result!$B$3:$N$62,6,0)="",S270*T270,VLOOKUP($A270,RA_result!$B$3:$N$62,6,0)),"")</f>
        <v/>
      </c>
      <c r="V270" s="61" t="s">
        <v>56</v>
      </c>
      <c r="W270" s="62" t="n">
        <f aca="false">IFERROR((S270*30%)/V270,0)</f>
        <v>0</v>
      </c>
      <c r="X270" s="63" t="n">
        <f aca="false">IFERROR(N270/W270,0)</f>
        <v>0</v>
      </c>
      <c r="Y270" s="68"/>
      <c r="Z270" s="57"/>
      <c r="AA270" s="69" t="str">
        <f aca="false">IF(OR(U270="",Y270="",Z270=""),"",IF(AND(U270&gt;Y270,-U270&lt;Z270),"Ok","Not Ok"))</f>
        <v/>
      </c>
      <c r="AB270" s="70"/>
    </row>
    <row r="271" customFormat="false" ht="12.8" hidden="false" customHeight="false" outlineLevel="0" collapsed="false">
      <c r="A271" s="48" t="n">
        <f aca="false">TB_audited!A254</f>
        <v>0</v>
      </c>
      <c r="B271" s="49"/>
      <c r="C271" s="50"/>
      <c r="D271" s="51" t="n">
        <f aca="false">TB_audited!B254</f>
        <v>0</v>
      </c>
      <c r="E271" s="52" t="n">
        <f aca="false">TB_audited!C254</f>
        <v>0</v>
      </c>
      <c r="F271" s="53" t="n">
        <f aca="false">TB_audited!D254</f>
        <v>0</v>
      </c>
      <c r="G271" s="54" t="n">
        <f aca="false">IF($D$8="Interim",TB_audited!G254,TB_audited!E254)</f>
        <v>0</v>
      </c>
      <c r="H271" s="55" t="str">
        <f aca="false">IFERROR(VLOOKUP($A271,RA_result!$B$3:$N$62,11,0),"")</f>
        <v/>
      </c>
      <c r="I271" s="55" t="str">
        <f aca="false">IFERROR(VLOOKUP($A271,RA_result!$B$3:$N$62,12,0),"")</f>
        <v/>
      </c>
      <c r="J271" s="55" t="str">
        <f aca="false">IFERROR(VLOOKUP($A271,RA_result!$B$3:$N$62,13,0),"")</f>
        <v/>
      </c>
      <c r="K271" s="56"/>
      <c r="L271" s="56"/>
      <c r="M271" s="57" t="n">
        <f aca="false">G271</f>
        <v>0</v>
      </c>
      <c r="N271" s="54" t="n">
        <f aca="false">G271-M271</f>
        <v>0</v>
      </c>
      <c r="O271" s="55" t="str">
        <f aca="false">IFERROR(VLOOKUP($A271,RA_result!$B$3:$N$62,7,0),"")</f>
        <v/>
      </c>
      <c r="P271" s="52" t="str">
        <f aca="false">IFERROR(VLOOKUP($A271,RA_result!$B$3:$N$62,9,0),"")</f>
        <v/>
      </c>
      <c r="Q271" s="52" t="str">
        <f aca="false">IFERROR(VLOOKUP($A271,RA_result!$B$3:$N$62,10,0),"")</f>
        <v/>
      </c>
      <c r="R271" s="58" t="s">
        <v>55</v>
      </c>
      <c r="S271" s="59" t="str">
        <f aca="false">IFERROR(VLOOKUP($A271,RA_result!$B$3:$N$62,4,0),"")</f>
        <v/>
      </c>
      <c r="T271" s="60" t="s">
        <v>56</v>
      </c>
      <c r="U271" s="59" t="str">
        <f aca="false">IFERROR(IF(VLOOKUP($A271,RA_result!$B$3:$N$62,6,0)="",S271*T271,VLOOKUP($A271,RA_result!$B$3:$N$62,6,0)),"")</f>
        <v/>
      </c>
      <c r="V271" s="61" t="s">
        <v>56</v>
      </c>
      <c r="W271" s="62" t="n">
        <f aca="false">IFERROR((S271*30%)/V271,0)</f>
        <v>0</v>
      </c>
      <c r="X271" s="63" t="n">
        <f aca="false">IFERROR(N271/W271,0)</f>
        <v>0</v>
      </c>
      <c r="Y271" s="68"/>
      <c r="Z271" s="57"/>
      <c r="AA271" s="69" t="str">
        <f aca="false">IF(OR(U271="",Y271="",Z271=""),"",IF(AND(U271&gt;Y271,-U271&lt;Z271),"Ok","Not Ok"))</f>
        <v/>
      </c>
      <c r="AB271" s="70"/>
    </row>
    <row r="272" customFormat="false" ht="12.8" hidden="false" customHeight="false" outlineLevel="0" collapsed="false">
      <c r="A272" s="48" t="n">
        <f aca="false">TB_audited!A255</f>
        <v>0</v>
      </c>
      <c r="B272" s="49"/>
      <c r="C272" s="50"/>
      <c r="D272" s="51" t="n">
        <f aca="false">TB_audited!B255</f>
        <v>0</v>
      </c>
      <c r="E272" s="52" t="n">
        <f aca="false">TB_audited!C255</f>
        <v>0</v>
      </c>
      <c r="F272" s="53" t="n">
        <f aca="false">TB_audited!D255</f>
        <v>0</v>
      </c>
      <c r="G272" s="54" t="n">
        <f aca="false">IF($D$8="Interim",TB_audited!G255,TB_audited!E255)</f>
        <v>0</v>
      </c>
      <c r="H272" s="55" t="str">
        <f aca="false">IFERROR(VLOOKUP($A272,RA_result!$B$3:$N$62,11,0),"")</f>
        <v/>
      </c>
      <c r="I272" s="55" t="str">
        <f aca="false">IFERROR(VLOOKUP($A272,RA_result!$B$3:$N$62,12,0),"")</f>
        <v/>
      </c>
      <c r="J272" s="55" t="str">
        <f aca="false">IFERROR(VLOOKUP($A272,RA_result!$B$3:$N$62,13,0),"")</f>
        <v/>
      </c>
      <c r="K272" s="56"/>
      <c r="L272" s="56"/>
      <c r="M272" s="57" t="n">
        <f aca="false">G272</f>
        <v>0</v>
      </c>
      <c r="N272" s="54" t="n">
        <f aca="false">G272-M272</f>
        <v>0</v>
      </c>
      <c r="O272" s="55" t="str">
        <f aca="false">IFERROR(VLOOKUP($A272,RA_result!$B$3:$N$62,7,0),"")</f>
        <v/>
      </c>
      <c r="P272" s="52" t="str">
        <f aca="false">IFERROR(VLOOKUP($A272,RA_result!$B$3:$N$62,9,0),"")</f>
        <v/>
      </c>
      <c r="Q272" s="52" t="str">
        <f aca="false">IFERROR(VLOOKUP($A272,RA_result!$B$3:$N$62,10,0),"")</f>
        <v/>
      </c>
      <c r="R272" s="58" t="s">
        <v>55</v>
      </c>
      <c r="S272" s="59" t="str">
        <f aca="false">IFERROR(VLOOKUP($A272,RA_result!$B$3:$N$62,4,0),"")</f>
        <v/>
      </c>
      <c r="T272" s="60" t="s">
        <v>56</v>
      </c>
      <c r="U272" s="59" t="str">
        <f aca="false">IFERROR(IF(VLOOKUP($A272,RA_result!$B$3:$N$62,6,0)="",S272*T272,VLOOKUP($A272,RA_result!$B$3:$N$62,6,0)),"")</f>
        <v/>
      </c>
      <c r="V272" s="61" t="s">
        <v>56</v>
      </c>
      <c r="W272" s="62" t="n">
        <f aca="false">IFERROR((S272*30%)/V272,0)</f>
        <v>0</v>
      </c>
      <c r="X272" s="63" t="n">
        <f aca="false">IFERROR(N272/W272,0)</f>
        <v>0</v>
      </c>
      <c r="Y272" s="68"/>
      <c r="Z272" s="57"/>
      <c r="AA272" s="69" t="str">
        <f aca="false">IF(OR(U272="",Y272="",Z272=""),"",IF(AND(U272&gt;Y272,-U272&lt;Z272),"Ok","Not Ok"))</f>
        <v/>
      </c>
      <c r="AB272" s="70"/>
    </row>
    <row r="273" customFormat="false" ht="12.8" hidden="false" customHeight="false" outlineLevel="0" collapsed="false">
      <c r="A273" s="48" t="n">
        <f aca="false">TB_audited!A256</f>
        <v>0</v>
      </c>
      <c r="B273" s="49"/>
      <c r="C273" s="50"/>
      <c r="D273" s="51" t="n">
        <f aca="false">TB_audited!B256</f>
        <v>0</v>
      </c>
      <c r="E273" s="52" t="n">
        <f aca="false">TB_audited!C256</f>
        <v>0</v>
      </c>
      <c r="F273" s="53" t="n">
        <f aca="false">TB_audited!D256</f>
        <v>0</v>
      </c>
      <c r="G273" s="54" t="n">
        <f aca="false">IF($D$8="Interim",TB_audited!G256,TB_audited!E256)</f>
        <v>0</v>
      </c>
      <c r="H273" s="55" t="str">
        <f aca="false">IFERROR(VLOOKUP($A273,RA_result!$B$3:$N$62,11,0),"")</f>
        <v/>
      </c>
      <c r="I273" s="55" t="str">
        <f aca="false">IFERROR(VLOOKUP($A273,RA_result!$B$3:$N$62,12,0),"")</f>
        <v/>
      </c>
      <c r="J273" s="55" t="str">
        <f aca="false">IFERROR(VLOOKUP($A273,RA_result!$B$3:$N$62,13,0),"")</f>
        <v/>
      </c>
      <c r="K273" s="56"/>
      <c r="L273" s="56"/>
      <c r="M273" s="57" t="n">
        <f aca="false">G273</f>
        <v>0</v>
      </c>
      <c r="N273" s="54" t="n">
        <f aca="false">G273-M273</f>
        <v>0</v>
      </c>
      <c r="O273" s="55" t="str">
        <f aca="false">IFERROR(VLOOKUP($A273,RA_result!$B$3:$N$62,7,0),"")</f>
        <v/>
      </c>
      <c r="P273" s="52" t="str">
        <f aca="false">IFERROR(VLOOKUP($A273,RA_result!$B$3:$N$62,9,0),"")</f>
        <v/>
      </c>
      <c r="Q273" s="52" t="str">
        <f aca="false">IFERROR(VLOOKUP($A273,RA_result!$B$3:$N$62,10,0),"")</f>
        <v/>
      </c>
      <c r="R273" s="58" t="s">
        <v>55</v>
      </c>
      <c r="S273" s="59" t="str">
        <f aca="false">IFERROR(VLOOKUP($A273,RA_result!$B$3:$N$62,4,0),"")</f>
        <v/>
      </c>
      <c r="T273" s="60" t="s">
        <v>56</v>
      </c>
      <c r="U273" s="59" t="str">
        <f aca="false">IFERROR(IF(VLOOKUP($A273,RA_result!$B$3:$N$62,6,0)="",S273*T273,VLOOKUP($A273,RA_result!$B$3:$N$62,6,0)),"")</f>
        <v/>
      </c>
      <c r="V273" s="61" t="s">
        <v>56</v>
      </c>
      <c r="W273" s="62" t="n">
        <f aca="false">IFERROR((S273*30%)/V273,0)</f>
        <v>0</v>
      </c>
      <c r="X273" s="63" t="n">
        <f aca="false">IFERROR(N273/W273,0)</f>
        <v>0</v>
      </c>
      <c r="Y273" s="68"/>
      <c r="Z273" s="57"/>
      <c r="AA273" s="69" t="str">
        <f aca="false">IF(OR(U273="",Y273="",Z273=""),"",IF(AND(U273&gt;Y273,-U273&lt;Z273),"Ok","Not Ok"))</f>
        <v/>
      </c>
      <c r="AB273" s="70"/>
    </row>
    <row r="274" customFormat="false" ht="12.8" hidden="false" customHeight="false" outlineLevel="0" collapsed="false">
      <c r="A274" s="48" t="n">
        <f aca="false">TB_audited!A257</f>
        <v>0</v>
      </c>
      <c r="B274" s="49"/>
      <c r="C274" s="50"/>
      <c r="D274" s="51" t="n">
        <f aca="false">TB_audited!B257</f>
        <v>0</v>
      </c>
      <c r="E274" s="52" t="n">
        <f aca="false">TB_audited!C257</f>
        <v>0</v>
      </c>
      <c r="F274" s="53" t="n">
        <f aca="false">TB_audited!D257</f>
        <v>0</v>
      </c>
      <c r="G274" s="54" t="n">
        <f aca="false">IF($D$8="Interim",TB_audited!G257,TB_audited!E257)</f>
        <v>0</v>
      </c>
      <c r="H274" s="55" t="str">
        <f aca="false">IFERROR(VLOOKUP($A274,RA_result!$B$3:$N$62,11,0),"")</f>
        <v/>
      </c>
      <c r="I274" s="55" t="str">
        <f aca="false">IFERROR(VLOOKUP($A274,RA_result!$B$3:$N$62,12,0),"")</f>
        <v/>
      </c>
      <c r="J274" s="55" t="str">
        <f aca="false">IFERROR(VLOOKUP($A274,RA_result!$B$3:$N$62,13,0),"")</f>
        <v/>
      </c>
      <c r="K274" s="56"/>
      <c r="L274" s="56"/>
      <c r="M274" s="57" t="n">
        <f aca="false">G274</f>
        <v>0</v>
      </c>
      <c r="N274" s="54" t="n">
        <f aca="false">G274-M274</f>
        <v>0</v>
      </c>
      <c r="O274" s="55" t="str">
        <f aca="false">IFERROR(VLOOKUP($A274,RA_result!$B$3:$N$62,7,0),"")</f>
        <v/>
      </c>
      <c r="P274" s="52" t="str">
        <f aca="false">IFERROR(VLOOKUP($A274,RA_result!$B$3:$N$62,9,0),"")</f>
        <v/>
      </c>
      <c r="Q274" s="52" t="str">
        <f aca="false">IFERROR(VLOOKUP($A274,RA_result!$B$3:$N$62,10,0),"")</f>
        <v/>
      </c>
      <c r="R274" s="58" t="s">
        <v>55</v>
      </c>
      <c r="S274" s="59" t="str">
        <f aca="false">IFERROR(VLOOKUP($A274,RA_result!$B$3:$N$62,4,0),"")</f>
        <v/>
      </c>
      <c r="T274" s="60" t="s">
        <v>56</v>
      </c>
      <c r="U274" s="59" t="str">
        <f aca="false">IFERROR(IF(VLOOKUP($A274,RA_result!$B$3:$N$62,6,0)="",S274*T274,VLOOKUP($A274,RA_result!$B$3:$N$62,6,0)),"")</f>
        <v/>
      </c>
      <c r="V274" s="61" t="s">
        <v>56</v>
      </c>
      <c r="W274" s="62" t="n">
        <f aca="false">IFERROR((S274*30%)/V274,0)</f>
        <v>0</v>
      </c>
      <c r="X274" s="63" t="n">
        <f aca="false">IFERROR(N274/W274,0)</f>
        <v>0</v>
      </c>
      <c r="Y274" s="68"/>
      <c r="Z274" s="57"/>
      <c r="AA274" s="69" t="str">
        <f aca="false">IF(OR(U274="",Y274="",Z274=""),"",IF(AND(U274&gt;Y274,-U274&lt;Z274),"Ok","Not Ok"))</f>
        <v/>
      </c>
      <c r="AB274" s="70"/>
    </row>
    <row r="275" customFormat="false" ht="12.8" hidden="false" customHeight="false" outlineLevel="0" collapsed="false">
      <c r="A275" s="48" t="n">
        <f aca="false">TB_audited!A258</f>
        <v>0</v>
      </c>
      <c r="B275" s="49"/>
      <c r="C275" s="50"/>
      <c r="D275" s="51" t="n">
        <f aca="false">TB_audited!B258</f>
        <v>0</v>
      </c>
      <c r="E275" s="52" t="n">
        <f aca="false">TB_audited!C258</f>
        <v>0</v>
      </c>
      <c r="F275" s="53" t="n">
        <f aca="false">TB_audited!D258</f>
        <v>0</v>
      </c>
      <c r="G275" s="54" t="n">
        <f aca="false">IF($D$8="Interim",TB_audited!G258,TB_audited!E258)</f>
        <v>0</v>
      </c>
      <c r="H275" s="55" t="str">
        <f aca="false">IFERROR(VLOOKUP($A275,RA_result!$B$3:$N$62,11,0),"")</f>
        <v/>
      </c>
      <c r="I275" s="55" t="str">
        <f aca="false">IFERROR(VLOOKUP($A275,RA_result!$B$3:$N$62,12,0),"")</f>
        <v/>
      </c>
      <c r="J275" s="55" t="str">
        <f aca="false">IFERROR(VLOOKUP($A275,RA_result!$B$3:$N$62,13,0),"")</f>
        <v/>
      </c>
      <c r="K275" s="56"/>
      <c r="L275" s="56"/>
      <c r="M275" s="57" t="n">
        <f aca="false">G275</f>
        <v>0</v>
      </c>
      <c r="N275" s="54" t="n">
        <f aca="false">G275-M275</f>
        <v>0</v>
      </c>
      <c r="O275" s="55" t="str">
        <f aca="false">IFERROR(VLOOKUP($A275,RA_result!$B$3:$N$62,7,0),"")</f>
        <v/>
      </c>
      <c r="P275" s="52" t="str">
        <f aca="false">IFERROR(VLOOKUP($A275,RA_result!$B$3:$N$62,9,0),"")</f>
        <v/>
      </c>
      <c r="Q275" s="52" t="str">
        <f aca="false">IFERROR(VLOOKUP($A275,RA_result!$B$3:$N$62,10,0),"")</f>
        <v/>
      </c>
      <c r="R275" s="58" t="s">
        <v>55</v>
      </c>
      <c r="S275" s="59" t="str">
        <f aca="false">IFERROR(VLOOKUP($A275,RA_result!$B$3:$N$62,4,0),"")</f>
        <v/>
      </c>
      <c r="T275" s="60" t="s">
        <v>56</v>
      </c>
      <c r="U275" s="59" t="str">
        <f aca="false">IFERROR(IF(VLOOKUP($A275,RA_result!$B$3:$N$62,6,0)="",S275*T275,VLOOKUP($A275,RA_result!$B$3:$N$62,6,0)),"")</f>
        <v/>
      </c>
      <c r="V275" s="61" t="s">
        <v>56</v>
      </c>
      <c r="W275" s="62" t="n">
        <f aca="false">IFERROR((S275*30%)/V275,0)</f>
        <v>0</v>
      </c>
      <c r="X275" s="63" t="n">
        <f aca="false">IFERROR(N275/W275,0)</f>
        <v>0</v>
      </c>
      <c r="Y275" s="68"/>
      <c r="Z275" s="57"/>
      <c r="AA275" s="69" t="str">
        <f aca="false">IF(OR(U275="",Y275="",Z275=""),"",IF(AND(U275&gt;Y275,-U275&lt;Z275),"Ok","Not Ok"))</f>
        <v/>
      </c>
      <c r="AB275" s="70"/>
    </row>
    <row r="276" customFormat="false" ht="12.8" hidden="false" customHeight="false" outlineLevel="0" collapsed="false">
      <c r="A276" s="48" t="n">
        <f aca="false">TB_audited!A259</f>
        <v>0</v>
      </c>
      <c r="B276" s="49"/>
      <c r="C276" s="50"/>
      <c r="D276" s="51" t="n">
        <f aca="false">TB_audited!B259</f>
        <v>0</v>
      </c>
      <c r="E276" s="52" t="n">
        <f aca="false">TB_audited!C259</f>
        <v>0</v>
      </c>
      <c r="F276" s="53" t="n">
        <f aca="false">TB_audited!D259</f>
        <v>0</v>
      </c>
      <c r="G276" s="54" t="n">
        <f aca="false">IF($D$8="Interim",TB_audited!G259,TB_audited!E259)</f>
        <v>0</v>
      </c>
      <c r="H276" s="55" t="str">
        <f aca="false">IFERROR(VLOOKUP($A276,RA_result!$B$3:$N$62,11,0),"")</f>
        <v/>
      </c>
      <c r="I276" s="55" t="str">
        <f aca="false">IFERROR(VLOOKUP($A276,RA_result!$B$3:$N$62,12,0),"")</f>
        <v/>
      </c>
      <c r="J276" s="55" t="str">
        <f aca="false">IFERROR(VLOOKUP($A276,RA_result!$B$3:$N$62,13,0),"")</f>
        <v/>
      </c>
      <c r="K276" s="56"/>
      <c r="L276" s="56"/>
      <c r="M276" s="57" t="n">
        <f aca="false">G276</f>
        <v>0</v>
      </c>
      <c r="N276" s="54" t="n">
        <f aca="false">G276-M276</f>
        <v>0</v>
      </c>
      <c r="O276" s="55" t="str">
        <f aca="false">IFERROR(VLOOKUP($A276,RA_result!$B$3:$N$62,7,0),"")</f>
        <v/>
      </c>
      <c r="P276" s="52" t="str">
        <f aca="false">IFERROR(VLOOKUP($A276,RA_result!$B$3:$N$62,9,0),"")</f>
        <v/>
      </c>
      <c r="Q276" s="52" t="str">
        <f aca="false">IFERROR(VLOOKUP($A276,RA_result!$B$3:$N$62,10,0),"")</f>
        <v/>
      </c>
      <c r="R276" s="58" t="s">
        <v>55</v>
      </c>
      <c r="S276" s="59" t="str">
        <f aca="false">IFERROR(VLOOKUP($A276,RA_result!$B$3:$N$62,4,0),"")</f>
        <v/>
      </c>
      <c r="T276" s="60" t="s">
        <v>56</v>
      </c>
      <c r="U276" s="59" t="str">
        <f aca="false">IFERROR(IF(VLOOKUP($A276,RA_result!$B$3:$N$62,6,0)="",S276*T276,VLOOKUP($A276,RA_result!$B$3:$N$62,6,0)),"")</f>
        <v/>
      </c>
      <c r="V276" s="61" t="s">
        <v>56</v>
      </c>
      <c r="W276" s="62" t="n">
        <f aca="false">IFERROR((S276*30%)/V276,0)</f>
        <v>0</v>
      </c>
      <c r="X276" s="63" t="n">
        <f aca="false">IFERROR(N276/W276,0)</f>
        <v>0</v>
      </c>
      <c r="Y276" s="68"/>
      <c r="Z276" s="57"/>
      <c r="AA276" s="69" t="str">
        <f aca="false">IF(OR(U276="",Y276="",Z276=""),"",IF(AND(U276&gt;Y276,-U276&lt;Z276),"Ok","Not Ok"))</f>
        <v/>
      </c>
      <c r="AB276" s="70"/>
    </row>
    <row r="277" customFormat="false" ht="12.8" hidden="false" customHeight="false" outlineLevel="0" collapsed="false">
      <c r="A277" s="48" t="n">
        <f aca="false">TB_audited!A260</f>
        <v>0</v>
      </c>
      <c r="B277" s="49"/>
      <c r="C277" s="50"/>
      <c r="D277" s="51" t="n">
        <f aca="false">TB_audited!B260</f>
        <v>0</v>
      </c>
      <c r="E277" s="52" t="n">
        <f aca="false">TB_audited!C260</f>
        <v>0</v>
      </c>
      <c r="F277" s="53" t="n">
        <f aca="false">TB_audited!D260</f>
        <v>0</v>
      </c>
      <c r="G277" s="54" t="n">
        <f aca="false">IF($D$8="Interim",TB_audited!G260,TB_audited!E260)</f>
        <v>0</v>
      </c>
      <c r="H277" s="55" t="str">
        <f aca="false">IFERROR(VLOOKUP($A277,RA_result!$B$3:$N$62,11,0),"")</f>
        <v/>
      </c>
      <c r="I277" s="55" t="str">
        <f aca="false">IFERROR(VLOOKUP($A277,RA_result!$B$3:$N$62,12,0),"")</f>
        <v/>
      </c>
      <c r="J277" s="55" t="str">
        <f aca="false">IFERROR(VLOOKUP($A277,RA_result!$B$3:$N$62,13,0),"")</f>
        <v/>
      </c>
      <c r="K277" s="56"/>
      <c r="L277" s="56"/>
      <c r="M277" s="57" t="n">
        <f aca="false">G277</f>
        <v>0</v>
      </c>
      <c r="N277" s="54" t="n">
        <f aca="false">G277-M277</f>
        <v>0</v>
      </c>
      <c r="O277" s="55" t="str">
        <f aca="false">IFERROR(VLOOKUP($A277,RA_result!$B$3:$N$62,7,0),"")</f>
        <v/>
      </c>
      <c r="P277" s="52" t="str">
        <f aca="false">IFERROR(VLOOKUP($A277,RA_result!$B$3:$N$62,9,0),"")</f>
        <v/>
      </c>
      <c r="Q277" s="52" t="str">
        <f aca="false">IFERROR(VLOOKUP($A277,RA_result!$B$3:$N$62,10,0),"")</f>
        <v/>
      </c>
      <c r="R277" s="58" t="s">
        <v>55</v>
      </c>
      <c r="S277" s="59" t="str">
        <f aca="false">IFERROR(VLOOKUP($A277,RA_result!$B$3:$N$62,4,0),"")</f>
        <v/>
      </c>
      <c r="T277" s="60" t="s">
        <v>56</v>
      </c>
      <c r="U277" s="59" t="str">
        <f aca="false">IFERROR(IF(VLOOKUP($A277,RA_result!$B$3:$N$62,6,0)="",S277*T277,VLOOKUP($A277,RA_result!$B$3:$N$62,6,0)),"")</f>
        <v/>
      </c>
      <c r="V277" s="61" t="s">
        <v>56</v>
      </c>
      <c r="W277" s="62" t="n">
        <f aca="false">IFERROR((S277*30%)/V277,0)</f>
        <v>0</v>
      </c>
      <c r="X277" s="63" t="n">
        <f aca="false">IFERROR(N277/W277,0)</f>
        <v>0</v>
      </c>
      <c r="Y277" s="68"/>
      <c r="Z277" s="57"/>
      <c r="AA277" s="69" t="str">
        <f aca="false">IF(OR(U277="",Y277="",Z277=""),"",IF(AND(U277&gt;Y277,-U277&lt;Z277),"Ok","Not Ok"))</f>
        <v/>
      </c>
      <c r="AB277" s="70"/>
    </row>
    <row r="278" customFormat="false" ht="12.8" hidden="false" customHeight="false" outlineLevel="0" collapsed="false">
      <c r="A278" s="48" t="n">
        <f aca="false">TB_audited!A261</f>
        <v>0</v>
      </c>
      <c r="B278" s="49"/>
      <c r="C278" s="50"/>
      <c r="D278" s="51" t="n">
        <f aca="false">TB_audited!B261</f>
        <v>0</v>
      </c>
      <c r="E278" s="52" t="n">
        <f aca="false">TB_audited!C261</f>
        <v>0</v>
      </c>
      <c r="F278" s="53" t="n">
        <f aca="false">TB_audited!D261</f>
        <v>0</v>
      </c>
      <c r="G278" s="54" t="n">
        <f aca="false">IF($D$8="Interim",TB_audited!G261,TB_audited!E261)</f>
        <v>0</v>
      </c>
      <c r="H278" s="55" t="str">
        <f aca="false">IFERROR(VLOOKUP($A278,RA_result!$B$3:$N$62,11,0),"")</f>
        <v/>
      </c>
      <c r="I278" s="55" t="str">
        <f aca="false">IFERROR(VLOOKUP($A278,RA_result!$B$3:$N$62,12,0),"")</f>
        <v/>
      </c>
      <c r="J278" s="55" t="str">
        <f aca="false">IFERROR(VLOOKUP($A278,RA_result!$B$3:$N$62,13,0),"")</f>
        <v/>
      </c>
      <c r="K278" s="56"/>
      <c r="L278" s="56"/>
      <c r="M278" s="57" t="n">
        <f aca="false">G278</f>
        <v>0</v>
      </c>
      <c r="N278" s="54" t="n">
        <f aca="false">G278-M278</f>
        <v>0</v>
      </c>
      <c r="O278" s="55" t="str">
        <f aca="false">IFERROR(VLOOKUP($A278,RA_result!$B$3:$N$62,7,0),"")</f>
        <v/>
      </c>
      <c r="P278" s="52" t="str">
        <f aca="false">IFERROR(VLOOKUP($A278,RA_result!$B$3:$N$62,9,0),"")</f>
        <v/>
      </c>
      <c r="Q278" s="52" t="str">
        <f aca="false">IFERROR(VLOOKUP($A278,RA_result!$B$3:$N$62,10,0),"")</f>
        <v/>
      </c>
      <c r="R278" s="58" t="s">
        <v>55</v>
      </c>
      <c r="S278" s="59" t="str">
        <f aca="false">IFERROR(VLOOKUP($A278,RA_result!$B$3:$N$62,4,0),"")</f>
        <v/>
      </c>
      <c r="T278" s="60" t="s">
        <v>56</v>
      </c>
      <c r="U278" s="59" t="str">
        <f aca="false">IFERROR(IF(VLOOKUP($A278,RA_result!$B$3:$N$62,6,0)="",S278*T278,VLOOKUP($A278,RA_result!$B$3:$N$62,6,0)),"")</f>
        <v/>
      </c>
      <c r="V278" s="61" t="s">
        <v>56</v>
      </c>
      <c r="W278" s="62" t="n">
        <f aca="false">IFERROR((S278*30%)/V278,0)</f>
        <v>0</v>
      </c>
      <c r="X278" s="63" t="n">
        <f aca="false">IFERROR(N278/W278,0)</f>
        <v>0</v>
      </c>
      <c r="Y278" s="68"/>
      <c r="Z278" s="57"/>
      <c r="AA278" s="69" t="str">
        <f aca="false">IF(OR(U278="",Y278="",Z278=""),"",IF(AND(U278&gt;Y278,-U278&lt;Z278),"Ok","Not Ok"))</f>
        <v/>
      </c>
      <c r="AB278" s="70"/>
    </row>
    <row r="279" customFormat="false" ht="12.8" hidden="false" customHeight="false" outlineLevel="0" collapsed="false">
      <c r="A279" s="48" t="n">
        <f aca="false">TB_audited!A262</f>
        <v>0</v>
      </c>
      <c r="B279" s="49"/>
      <c r="C279" s="50"/>
      <c r="D279" s="51" t="n">
        <f aca="false">TB_audited!B262</f>
        <v>0</v>
      </c>
      <c r="E279" s="52" t="n">
        <f aca="false">TB_audited!C262</f>
        <v>0</v>
      </c>
      <c r="F279" s="53" t="n">
        <f aca="false">TB_audited!D262</f>
        <v>0</v>
      </c>
      <c r="G279" s="54" t="n">
        <f aca="false">IF($D$8="Interim",TB_audited!G262,TB_audited!E262)</f>
        <v>0</v>
      </c>
      <c r="H279" s="55" t="str">
        <f aca="false">IFERROR(VLOOKUP($A279,RA_result!$B$3:$N$62,11,0),"")</f>
        <v/>
      </c>
      <c r="I279" s="55" t="str">
        <f aca="false">IFERROR(VLOOKUP($A279,RA_result!$B$3:$N$62,12,0),"")</f>
        <v/>
      </c>
      <c r="J279" s="55" t="str">
        <f aca="false">IFERROR(VLOOKUP($A279,RA_result!$B$3:$N$62,13,0),"")</f>
        <v/>
      </c>
      <c r="K279" s="56"/>
      <c r="L279" s="56"/>
      <c r="M279" s="57" t="n">
        <f aca="false">G279</f>
        <v>0</v>
      </c>
      <c r="N279" s="54" t="n">
        <f aca="false">G279-M279</f>
        <v>0</v>
      </c>
      <c r="O279" s="55" t="str">
        <f aca="false">IFERROR(VLOOKUP($A279,RA_result!$B$3:$N$62,7,0),"")</f>
        <v/>
      </c>
      <c r="P279" s="52" t="str">
        <f aca="false">IFERROR(VLOOKUP($A279,RA_result!$B$3:$N$62,9,0),"")</f>
        <v/>
      </c>
      <c r="Q279" s="52" t="str">
        <f aca="false">IFERROR(VLOOKUP($A279,RA_result!$B$3:$N$62,10,0),"")</f>
        <v/>
      </c>
      <c r="R279" s="58" t="s">
        <v>55</v>
      </c>
      <c r="S279" s="59" t="str">
        <f aca="false">IFERROR(VLOOKUP($A279,RA_result!$B$3:$N$62,4,0),"")</f>
        <v/>
      </c>
      <c r="T279" s="60" t="s">
        <v>56</v>
      </c>
      <c r="U279" s="59" t="str">
        <f aca="false">IFERROR(IF(VLOOKUP($A279,RA_result!$B$3:$N$62,6,0)="",S279*T279,VLOOKUP($A279,RA_result!$B$3:$N$62,6,0)),"")</f>
        <v/>
      </c>
      <c r="V279" s="61" t="s">
        <v>56</v>
      </c>
      <c r="W279" s="62" t="n">
        <f aca="false">IFERROR((S279*30%)/V279,0)</f>
        <v>0</v>
      </c>
      <c r="X279" s="63" t="n">
        <f aca="false">IFERROR(N279/W279,0)</f>
        <v>0</v>
      </c>
      <c r="Y279" s="68"/>
      <c r="Z279" s="57"/>
      <c r="AA279" s="69" t="str">
        <f aca="false">IF(OR(U279="",Y279="",Z279=""),"",IF(AND(U279&gt;Y279,-U279&lt;Z279),"Ok","Not Ok"))</f>
        <v/>
      </c>
      <c r="AB279" s="70"/>
    </row>
    <row r="280" customFormat="false" ht="12.8" hidden="false" customHeight="false" outlineLevel="0" collapsed="false">
      <c r="A280" s="48" t="n">
        <f aca="false">TB_audited!A263</f>
        <v>0</v>
      </c>
      <c r="B280" s="49"/>
      <c r="C280" s="50"/>
      <c r="D280" s="51" t="n">
        <f aca="false">TB_audited!B263</f>
        <v>0</v>
      </c>
      <c r="E280" s="52" t="n">
        <f aca="false">TB_audited!C263</f>
        <v>0</v>
      </c>
      <c r="F280" s="53" t="n">
        <f aca="false">TB_audited!D263</f>
        <v>0</v>
      </c>
      <c r="G280" s="54" t="n">
        <f aca="false">IF($D$8="Interim",TB_audited!G263,TB_audited!E263)</f>
        <v>0</v>
      </c>
      <c r="H280" s="55" t="str">
        <f aca="false">IFERROR(VLOOKUP($A280,RA_result!$B$3:$N$62,11,0),"")</f>
        <v/>
      </c>
      <c r="I280" s="55" t="str">
        <f aca="false">IFERROR(VLOOKUP($A280,RA_result!$B$3:$N$62,12,0),"")</f>
        <v/>
      </c>
      <c r="J280" s="55" t="str">
        <f aca="false">IFERROR(VLOOKUP($A280,RA_result!$B$3:$N$62,13,0),"")</f>
        <v/>
      </c>
      <c r="K280" s="56"/>
      <c r="L280" s="56"/>
      <c r="M280" s="57" t="n">
        <f aca="false">G280</f>
        <v>0</v>
      </c>
      <c r="N280" s="54" t="n">
        <f aca="false">G280-M280</f>
        <v>0</v>
      </c>
      <c r="O280" s="55" t="str">
        <f aca="false">IFERROR(VLOOKUP($A280,RA_result!$B$3:$N$62,7,0),"")</f>
        <v/>
      </c>
      <c r="P280" s="52" t="str">
        <f aca="false">IFERROR(VLOOKUP($A280,RA_result!$B$3:$N$62,9,0),"")</f>
        <v/>
      </c>
      <c r="Q280" s="52" t="str">
        <f aca="false">IFERROR(VLOOKUP($A280,RA_result!$B$3:$N$62,10,0),"")</f>
        <v/>
      </c>
      <c r="R280" s="58" t="s">
        <v>55</v>
      </c>
      <c r="S280" s="59" t="str">
        <f aca="false">IFERROR(VLOOKUP($A280,RA_result!$B$3:$N$62,4,0),"")</f>
        <v/>
      </c>
      <c r="T280" s="60" t="s">
        <v>56</v>
      </c>
      <c r="U280" s="59" t="str">
        <f aca="false">IFERROR(IF(VLOOKUP($A280,RA_result!$B$3:$N$62,6,0)="",S280*T280,VLOOKUP($A280,RA_result!$B$3:$N$62,6,0)),"")</f>
        <v/>
      </c>
      <c r="V280" s="61" t="s">
        <v>56</v>
      </c>
      <c r="W280" s="62" t="n">
        <f aca="false">IFERROR((S280*30%)/V280,0)</f>
        <v>0</v>
      </c>
      <c r="X280" s="63" t="n">
        <f aca="false">IFERROR(N280/W280,0)</f>
        <v>0</v>
      </c>
      <c r="Y280" s="68"/>
      <c r="Z280" s="57"/>
      <c r="AA280" s="69" t="str">
        <f aca="false">IF(OR(U280="",Y280="",Z280=""),"",IF(AND(U280&gt;Y280,-U280&lt;Z280),"Ok","Not Ok"))</f>
        <v/>
      </c>
      <c r="AB280" s="70"/>
    </row>
    <row r="281" customFormat="false" ht="12.8" hidden="false" customHeight="false" outlineLevel="0" collapsed="false">
      <c r="A281" s="48" t="n">
        <f aca="false">TB_audited!A264</f>
        <v>0</v>
      </c>
      <c r="B281" s="49"/>
      <c r="C281" s="50"/>
      <c r="D281" s="51" t="n">
        <f aca="false">TB_audited!B264</f>
        <v>0</v>
      </c>
      <c r="E281" s="52" t="n">
        <f aca="false">TB_audited!C264</f>
        <v>0</v>
      </c>
      <c r="F281" s="53" t="n">
        <f aca="false">TB_audited!D264</f>
        <v>0</v>
      </c>
      <c r="G281" s="54" t="n">
        <f aca="false">IF($D$8="Interim",TB_audited!G264,TB_audited!E264)</f>
        <v>0</v>
      </c>
      <c r="H281" s="55" t="str">
        <f aca="false">IFERROR(VLOOKUP($A281,RA_result!$B$3:$N$62,11,0),"")</f>
        <v/>
      </c>
      <c r="I281" s="55" t="str">
        <f aca="false">IFERROR(VLOOKUP($A281,RA_result!$B$3:$N$62,12,0),"")</f>
        <v/>
      </c>
      <c r="J281" s="55" t="str">
        <f aca="false">IFERROR(VLOOKUP($A281,RA_result!$B$3:$N$62,13,0),"")</f>
        <v/>
      </c>
      <c r="K281" s="56"/>
      <c r="L281" s="56"/>
      <c r="M281" s="57" t="n">
        <f aca="false">G281</f>
        <v>0</v>
      </c>
      <c r="N281" s="54" t="n">
        <f aca="false">G281-M281</f>
        <v>0</v>
      </c>
      <c r="O281" s="55" t="str">
        <f aca="false">IFERROR(VLOOKUP($A281,RA_result!$B$3:$N$62,7,0),"")</f>
        <v/>
      </c>
      <c r="P281" s="52" t="str">
        <f aca="false">IFERROR(VLOOKUP($A281,RA_result!$B$3:$N$62,9,0),"")</f>
        <v/>
      </c>
      <c r="Q281" s="52" t="str">
        <f aca="false">IFERROR(VLOOKUP($A281,RA_result!$B$3:$N$62,10,0),"")</f>
        <v/>
      </c>
      <c r="R281" s="58" t="s">
        <v>55</v>
      </c>
      <c r="S281" s="59" t="str">
        <f aca="false">IFERROR(VLOOKUP($A281,RA_result!$B$3:$N$62,4,0),"")</f>
        <v/>
      </c>
      <c r="T281" s="60" t="s">
        <v>56</v>
      </c>
      <c r="U281" s="59" t="str">
        <f aca="false">IFERROR(IF(VLOOKUP($A281,RA_result!$B$3:$N$62,6,0)="",S281*T281,VLOOKUP($A281,RA_result!$B$3:$N$62,6,0)),"")</f>
        <v/>
      </c>
      <c r="V281" s="61" t="s">
        <v>56</v>
      </c>
      <c r="W281" s="62" t="n">
        <f aca="false">IFERROR((S281*30%)/V281,0)</f>
        <v>0</v>
      </c>
      <c r="X281" s="63" t="n">
        <f aca="false">IFERROR(N281/W281,0)</f>
        <v>0</v>
      </c>
      <c r="Y281" s="68"/>
      <c r="Z281" s="57"/>
      <c r="AA281" s="69" t="str">
        <f aca="false">IF(OR(U281="",Y281="",Z281=""),"",IF(AND(U281&gt;Y281,-U281&lt;Z281),"Ok","Not Ok"))</f>
        <v/>
      </c>
      <c r="AB281" s="70"/>
    </row>
    <row r="282" customFormat="false" ht="12.8" hidden="false" customHeight="false" outlineLevel="0" collapsed="false">
      <c r="A282" s="48" t="n">
        <f aca="false">TB_audited!A265</f>
        <v>0</v>
      </c>
      <c r="B282" s="49"/>
      <c r="C282" s="50"/>
      <c r="D282" s="51" t="n">
        <f aca="false">TB_audited!B265</f>
        <v>0</v>
      </c>
      <c r="E282" s="52" t="n">
        <f aca="false">TB_audited!C265</f>
        <v>0</v>
      </c>
      <c r="F282" s="53" t="n">
        <f aca="false">TB_audited!D265</f>
        <v>0</v>
      </c>
      <c r="G282" s="54" t="n">
        <f aca="false">IF($D$8="Interim",TB_audited!G265,TB_audited!E265)</f>
        <v>0</v>
      </c>
      <c r="H282" s="55" t="str">
        <f aca="false">IFERROR(VLOOKUP($A282,RA_result!$B$3:$N$62,11,0),"")</f>
        <v/>
      </c>
      <c r="I282" s="55" t="str">
        <f aca="false">IFERROR(VLOOKUP($A282,RA_result!$B$3:$N$62,12,0),"")</f>
        <v/>
      </c>
      <c r="J282" s="55" t="str">
        <f aca="false">IFERROR(VLOOKUP($A282,RA_result!$B$3:$N$62,13,0),"")</f>
        <v/>
      </c>
      <c r="K282" s="56"/>
      <c r="L282" s="56"/>
      <c r="M282" s="57" t="n">
        <f aca="false">G282</f>
        <v>0</v>
      </c>
      <c r="N282" s="54" t="n">
        <f aca="false">G282-M282</f>
        <v>0</v>
      </c>
      <c r="O282" s="55" t="str">
        <f aca="false">IFERROR(VLOOKUP($A282,RA_result!$B$3:$N$62,7,0),"")</f>
        <v/>
      </c>
      <c r="P282" s="52" t="str">
        <f aca="false">IFERROR(VLOOKUP($A282,RA_result!$B$3:$N$62,9,0),"")</f>
        <v/>
      </c>
      <c r="Q282" s="52" t="str">
        <f aca="false">IFERROR(VLOOKUP($A282,RA_result!$B$3:$N$62,10,0),"")</f>
        <v/>
      </c>
      <c r="R282" s="58" t="s">
        <v>55</v>
      </c>
      <c r="S282" s="59" t="str">
        <f aca="false">IFERROR(VLOOKUP($A282,RA_result!$B$3:$N$62,4,0),"")</f>
        <v/>
      </c>
      <c r="T282" s="60" t="s">
        <v>56</v>
      </c>
      <c r="U282" s="59" t="str">
        <f aca="false">IFERROR(IF(VLOOKUP($A282,RA_result!$B$3:$N$62,6,0)="",S282*T282,VLOOKUP($A282,RA_result!$B$3:$N$62,6,0)),"")</f>
        <v/>
      </c>
      <c r="V282" s="61" t="s">
        <v>56</v>
      </c>
      <c r="W282" s="62" t="n">
        <f aca="false">IFERROR((S282*30%)/V282,0)</f>
        <v>0</v>
      </c>
      <c r="X282" s="63" t="n">
        <f aca="false">IFERROR(N282/W282,0)</f>
        <v>0</v>
      </c>
      <c r="Y282" s="68"/>
      <c r="Z282" s="57"/>
      <c r="AA282" s="69" t="str">
        <f aca="false">IF(OR(U282="",Y282="",Z282=""),"",IF(AND(U282&gt;Y282,-U282&lt;Z282),"Ok","Not Ok"))</f>
        <v/>
      </c>
      <c r="AB282" s="70"/>
    </row>
    <row r="283" customFormat="false" ht="12.8" hidden="false" customHeight="false" outlineLevel="0" collapsed="false">
      <c r="A283" s="48" t="n">
        <f aca="false">TB_audited!A266</f>
        <v>0</v>
      </c>
      <c r="B283" s="49"/>
      <c r="C283" s="50"/>
      <c r="D283" s="51" t="n">
        <f aca="false">TB_audited!B266</f>
        <v>0</v>
      </c>
      <c r="E283" s="52" t="n">
        <f aca="false">TB_audited!C266</f>
        <v>0</v>
      </c>
      <c r="F283" s="53" t="n">
        <f aca="false">TB_audited!D266</f>
        <v>0</v>
      </c>
      <c r="G283" s="54" t="n">
        <f aca="false">IF($D$8="Interim",TB_audited!G266,TB_audited!E266)</f>
        <v>0</v>
      </c>
      <c r="H283" s="55" t="str">
        <f aca="false">IFERROR(VLOOKUP($A283,RA_result!$B$3:$N$62,11,0),"")</f>
        <v/>
      </c>
      <c r="I283" s="55" t="str">
        <f aca="false">IFERROR(VLOOKUP($A283,RA_result!$B$3:$N$62,12,0),"")</f>
        <v/>
      </c>
      <c r="J283" s="55" t="str">
        <f aca="false">IFERROR(VLOOKUP($A283,RA_result!$B$3:$N$62,13,0),"")</f>
        <v/>
      </c>
      <c r="K283" s="56"/>
      <c r="L283" s="56"/>
      <c r="M283" s="57" t="n">
        <f aca="false">G283</f>
        <v>0</v>
      </c>
      <c r="N283" s="54" t="n">
        <f aca="false">G283-M283</f>
        <v>0</v>
      </c>
      <c r="O283" s="55" t="str">
        <f aca="false">IFERROR(VLOOKUP($A283,RA_result!$B$3:$N$62,7,0),"")</f>
        <v/>
      </c>
      <c r="P283" s="52" t="str">
        <f aca="false">IFERROR(VLOOKUP($A283,RA_result!$B$3:$N$62,9,0),"")</f>
        <v/>
      </c>
      <c r="Q283" s="52" t="str">
        <f aca="false">IFERROR(VLOOKUP($A283,RA_result!$B$3:$N$62,10,0),"")</f>
        <v/>
      </c>
      <c r="R283" s="58" t="s">
        <v>55</v>
      </c>
      <c r="S283" s="59" t="str">
        <f aca="false">IFERROR(VLOOKUP($A283,RA_result!$B$3:$N$62,4,0),"")</f>
        <v/>
      </c>
      <c r="T283" s="60" t="s">
        <v>56</v>
      </c>
      <c r="U283" s="59" t="str">
        <f aca="false">IFERROR(IF(VLOOKUP($A283,RA_result!$B$3:$N$62,6,0)="",S283*T283,VLOOKUP($A283,RA_result!$B$3:$N$62,6,0)),"")</f>
        <v/>
      </c>
      <c r="V283" s="61" t="s">
        <v>56</v>
      </c>
      <c r="W283" s="62" t="n">
        <f aca="false">IFERROR((S283*30%)/V283,0)</f>
        <v>0</v>
      </c>
      <c r="X283" s="63" t="n">
        <f aca="false">IFERROR(N283/W283,0)</f>
        <v>0</v>
      </c>
      <c r="Y283" s="68"/>
      <c r="Z283" s="57"/>
      <c r="AA283" s="69" t="str">
        <f aca="false">IF(OR(U283="",Y283="",Z283=""),"",IF(AND(U283&gt;Y283,-U283&lt;Z283),"Ok","Not Ok"))</f>
        <v/>
      </c>
      <c r="AB283" s="70"/>
    </row>
    <row r="284" customFormat="false" ht="12.8" hidden="false" customHeight="false" outlineLevel="0" collapsed="false">
      <c r="A284" s="48" t="n">
        <f aca="false">TB_audited!A267</f>
        <v>0</v>
      </c>
      <c r="B284" s="49"/>
      <c r="C284" s="50"/>
      <c r="D284" s="51" t="n">
        <f aca="false">TB_audited!B267</f>
        <v>0</v>
      </c>
      <c r="E284" s="52" t="n">
        <f aca="false">TB_audited!C267</f>
        <v>0</v>
      </c>
      <c r="F284" s="53" t="n">
        <f aca="false">TB_audited!D267</f>
        <v>0</v>
      </c>
      <c r="G284" s="54" t="n">
        <f aca="false">IF($D$8="Interim",TB_audited!G267,TB_audited!E267)</f>
        <v>0</v>
      </c>
      <c r="H284" s="55" t="str">
        <f aca="false">IFERROR(VLOOKUP($A284,RA_result!$B$3:$N$62,11,0),"")</f>
        <v/>
      </c>
      <c r="I284" s="55" t="str">
        <f aca="false">IFERROR(VLOOKUP($A284,RA_result!$B$3:$N$62,12,0),"")</f>
        <v/>
      </c>
      <c r="J284" s="55" t="str">
        <f aca="false">IFERROR(VLOOKUP($A284,RA_result!$B$3:$N$62,13,0),"")</f>
        <v/>
      </c>
      <c r="K284" s="56"/>
      <c r="L284" s="56"/>
      <c r="M284" s="57" t="n">
        <f aca="false">G284</f>
        <v>0</v>
      </c>
      <c r="N284" s="54" t="n">
        <f aca="false">G284-M284</f>
        <v>0</v>
      </c>
      <c r="O284" s="55" t="str">
        <f aca="false">IFERROR(VLOOKUP($A284,RA_result!$B$3:$N$62,7,0),"")</f>
        <v/>
      </c>
      <c r="P284" s="52" t="str">
        <f aca="false">IFERROR(VLOOKUP($A284,RA_result!$B$3:$N$62,9,0),"")</f>
        <v/>
      </c>
      <c r="Q284" s="52" t="str">
        <f aca="false">IFERROR(VLOOKUP($A284,RA_result!$B$3:$N$62,10,0),"")</f>
        <v/>
      </c>
      <c r="R284" s="58" t="s">
        <v>55</v>
      </c>
      <c r="S284" s="59" t="str">
        <f aca="false">IFERROR(VLOOKUP($A284,RA_result!$B$3:$N$62,4,0),"")</f>
        <v/>
      </c>
      <c r="T284" s="60" t="s">
        <v>56</v>
      </c>
      <c r="U284" s="59" t="str">
        <f aca="false">IFERROR(IF(VLOOKUP($A284,RA_result!$B$3:$N$62,6,0)="",S284*T284,VLOOKUP($A284,RA_result!$B$3:$N$62,6,0)),"")</f>
        <v/>
      </c>
      <c r="V284" s="61" t="s">
        <v>56</v>
      </c>
      <c r="W284" s="62" t="n">
        <f aca="false">IFERROR((S284*30%)/V284,0)</f>
        <v>0</v>
      </c>
      <c r="X284" s="63" t="n">
        <f aca="false">IFERROR(N284/W284,0)</f>
        <v>0</v>
      </c>
      <c r="Y284" s="68"/>
      <c r="Z284" s="57"/>
      <c r="AA284" s="69" t="str">
        <f aca="false">IF(OR(U284="",Y284="",Z284=""),"",IF(AND(U284&gt;Y284,-U284&lt;Z284),"Ok","Not Ok"))</f>
        <v/>
      </c>
      <c r="AB284" s="70"/>
    </row>
    <row r="285" customFormat="false" ht="12.8" hidden="false" customHeight="false" outlineLevel="0" collapsed="false">
      <c r="A285" s="48" t="n">
        <f aca="false">TB_audited!A268</f>
        <v>0</v>
      </c>
      <c r="B285" s="49"/>
      <c r="C285" s="50"/>
      <c r="D285" s="51" t="n">
        <f aca="false">TB_audited!B268</f>
        <v>0</v>
      </c>
      <c r="E285" s="52" t="n">
        <f aca="false">TB_audited!C268</f>
        <v>0</v>
      </c>
      <c r="F285" s="53" t="n">
        <f aca="false">TB_audited!D268</f>
        <v>0</v>
      </c>
      <c r="G285" s="54" t="n">
        <f aca="false">IF($D$8="Interim",TB_audited!G268,TB_audited!E268)</f>
        <v>0</v>
      </c>
      <c r="H285" s="55" t="str">
        <f aca="false">IFERROR(VLOOKUP($A285,RA_result!$B$3:$N$62,11,0),"")</f>
        <v/>
      </c>
      <c r="I285" s="55" t="str">
        <f aca="false">IFERROR(VLOOKUP($A285,RA_result!$B$3:$N$62,12,0),"")</f>
        <v/>
      </c>
      <c r="J285" s="55" t="str">
        <f aca="false">IFERROR(VLOOKUP($A285,RA_result!$B$3:$N$62,13,0),"")</f>
        <v/>
      </c>
      <c r="K285" s="56"/>
      <c r="L285" s="56"/>
      <c r="M285" s="57" t="n">
        <f aca="false">G285</f>
        <v>0</v>
      </c>
      <c r="N285" s="54" t="n">
        <f aca="false">G285-M285</f>
        <v>0</v>
      </c>
      <c r="O285" s="55" t="str">
        <f aca="false">IFERROR(VLOOKUP($A285,RA_result!$B$3:$N$62,7,0),"")</f>
        <v/>
      </c>
      <c r="P285" s="52" t="str">
        <f aca="false">IFERROR(VLOOKUP($A285,RA_result!$B$3:$N$62,9,0),"")</f>
        <v/>
      </c>
      <c r="Q285" s="52" t="str">
        <f aca="false">IFERROR(VLOOKUP($A285,RA_result!$B$3:$N$62,10,0),"")</f>
        <v/>
      </c>
      <c r="R285" s="58" t="s">
        <v>55</v>
      </c>
      <c r="S285" s="59" t="str">
        <f aca="false">IFERROR(VLOOKUP($A285,RA_result!$B$3:$N$62,4,0),"")</f>
        <v/>
      </c>
      <c r="T285" s="60" t="s">
        <v>56</v>
      </c>
      <c r="U285" s="59" t="str">
        <f aca="false">IFERROR(IF(VLOOKUP($A285,RA_result!$B$3:$N$62,6,0)="",S285*T285,VLOOKUP($A285,RA_result!$B$3:$N$62,6,0)),"")</f>
        <v/>
      </c>
      <c r="V285" s="61" t="s">
        <v>56</v>
      </c>
      <c r="W285" s="62" t="n">
        <f aca="false">IFERROR((S285*30%)/V285,0)</f>
        <v>0</v>
      </c>
      <c r="X285" s="63" t="n">
        <f aca="false">IFERROR(N285/W285,0)</f>
        <v>0</v>
      </c>
      <c r="Y285" s="68"/>
      <c r="Z285" s="57"/>
      <c r="AA285" s="69" t="str">
        <f aca="false">IF(OR(U285="",Y285="",Z285=""),"",IF(AND(U285&gt;Y285,-U285&lt;Z285),"Ok","Not Ok"))</f>
        <v/>
      </c>
      <c r="AB285" s="70"/>
    </row>
    <row r="286" customFormat="false" ht="12.8" hidden="false" customHeight="false" outlineLevel="0" collapsed="false">
      <c r="A286" s="48" t="n">
        <f aca="false">TB_audited!A269</f>
        <v>0</v>
      </c>
      <c r="B286" s="49"/>
      <c r="C286" s="50"/>
      <c r="D286" s="51" t="n">
        <f aca="false">TB_audited!B269</f>
        <v>0</v>
      </c>
      <c r="E286" s="52" t="n">
        <f aca="false">TB_audited!C269</f>
        <v>0</v>
      </c>
      <c r="F286" s="53" t="n">
        <f aca="false">TB_audited!D269</f>
        <v>0</v>
      </c>
      <c r="G286" s="54" t="n">
        <f aca="false">IF($D$8="Interim",TB_audited!G269,TB_audited!E269)</f>
        <v>0</v>
      </c>
      <c r="H286" s="55" t="str">
        <f aca="false">IFERROR(VLOOKUP($A286,RA_result!$B$3:$N$62,11,0),"")</f>
        <v/>
      </c>
      <c r="I286" s="55" t="str">
        <f aca="false">IFERROR(VLOOKUP($A286,RA_result!$B$3:$N$62,12,0),"")</f>
        <v/>
      </c>
      <c r="J286" s="55" t="str">
        <f aca="false">IFERROR(VLOOKUP($A286,RA_result!$B$3:$N$62,13,0),"")</f>
        <v/>
      </c>
      <c r="K286" s="56"/>
      <c r="L286" s="56"/>
      <c r="M286" s="57" t="n">
        <f aca="false">G286</f>
        <v>0</v>
      </c>
      <c r="N286" s="54" t="n">
        <f aca="false">G286-M286</f>
        <v>0</v>
      </c>
      <c r="O286" s="55" t="str">
        <f aca="false">IFERROR(VLOOKUP($A286,RA_result!$B$3:$N$62,7,0),"")</f>
        <v/>
      </c>
      <c r="P286" s="52" t="str">
        <f aca="false">IFERROR(VLOOKUP($A286,RA_result!$B$3:$N$62,9,0),"")</f>
        <v/>
      </c>
      <c r="Q286" s="52" t="str">
        <f aca="false">IFERROR(VLOOKUP($A286,RA_result!$B$3:$N$62,10,0),"")</f>
        <v/>
      </c>
      <c r="R286" s="58" t="s">
        <v>55</v>
      </c>
      <c r="S286" s="59" t="str">
        <f aca="false">IFERROR(VLOOKUP($A286,RA_result!$B$3:$N$62,4,0),"")</f>
        <v/>
      </c>
      <c r="T286" s="60" t="s">
        <v>56</v>
      </c>
      <c r="U286" s="59" t="str">
        <f aca="false">IFERROR(IF(VLOOKUP($A286,RA_result!$B$3:$N$62,6,0)="",S286*T286,VLOOKUP($A286,RA_result!$B$3:$N$62,6,0)),"")</f>
        <v/>
      </c>
      <c r="V286" s="61" t="s">
        <v>56</v>
      </c>
      <c r="W286" s="62" t="n">
        <f aca="false">IFERROR((S286*30%)/V286,0)</f>
        <v>0</v>
      </c>
      <c r="X286" s="63" t="n">
        <f aca="false">IFERROR(N286/W286,0)</f>
        <v>0</v>
      </c>
      <c r="Y286" s="68"/>
      <c r="Z286" s="57"/>
      <c r="AA286" s="69" t="str">
        <f aca="false">IF(OR(U286="",Y286="",Z286=""),"",IF(AND(U286&gt;Y286,-U286&lt;Z286),"Ok","Not Ok"))</f>
        <v/>
      </c>
      <c r="AB286" s="70"/>
    </row>
    <row r="287" customFormat="false" ht="12.8" hidden="false" customHeight="false" outlineLevel="0" collapsed="false">
      <c r="A287" s="48" t="n">
        <f aca="false">TB_audited!A270</f>
        <v>0</v>
      </c>
      <c r="B287" s="49"/>
      <c r="C287" s="50"/>
      <c r="D287" s="51" t="n">
        <f aca="false">TB_audited!B270</f>
        <v>0</v>
      </c>
      <c r="E287" s="52" t="n">
        <f aca="false">TB_audited!C270</f>
        <v>0</v>
      </c>
      <c r="F287" s="53" t="n">
        <f aca="false">TB_audited!D270</f>
        <v>0</v>
      </c>
      <c r="G287" s="54" t="n">
        <f aca="false">IF($D$8="Interim",TB_audited!G270,TB_audited!E270)</f>
        <v>0</v>
      </c>
      <c r="H287" s="55" t="str">
        <f aca="false">IFERROR(VLOOKUP($A287,RA_result!$B$3:$N$62,11,0),"")</f>
        <v/>
      </c>
      <c r="I287" s="55" t="str">
        <f aca="false">IFERROR(VLOOKUP($A287,RA_result!$B$3:$N$62,12,0),"")</f>
        <v/>
      </c>
      <c r="J287" s="55" t="str">
        <f aca="false">IFERROR(VLOOKUP($A287,RA_result!$B$3:$N$62,13,0),"")</f>
        <v/>
      </c>
      <c r="K287" s="56"/>
      <c r="L287" s="56"/>
      <c r="M287" s="57" t="n">
        <f aca="false">G287</f>
        <v>0</v>
      </c>
      <c r="N287" s="54" t="n">
        <f aca="false">G287-M287</f>
        <v>0</v>
      </c>
      <c r="O287" s="55" t="str">
        <f aca="false">IFERROR(VLOOKUP($A287,RA_result!$B$3:$N$62,7,0),"")</f>
        <v/>
      </c>
      <c r="P287" s="52" t="str">
        <f aca="false">IFERROR(VLOOKUP($A287,RA_result!$B$3:$N$62,9,0),"")</f>
        <v/>
      </c>
      <c r="Q287" s="52" t="str">
        <f aca="false">IFERROR(VLOOKUP($A287,RA_result!$B$3:$N$62,10,0),"")</f>
        <v/>
      </c>
      <c r="R287" s="58" t="s">
        <v>55</v>
      </c>
      <c r="S287" s="59" t="str">
        <f aca="false">IFERROR(VLOOKUP($A287,RA_result!$B$3:$N$62,4,0),"")</f>
        <v/>
      </c>
      <c r="T287" s="60" t="s">
        <v>56</v>
      </c>
      <c r="U287" s="59" t="str">
        <f aca="false">IFERROR(IF(VLOOKUP($A287,RA_result!$B$3:$N$62,6,0)="",S287*T287,VLOOKUP($A287,RA_result!$B$3:$N$62,6,0)),"")</f>
        <v/>
      </c>
      <c r="V287" s="61" t="s">
        <v>56</v>
      </c>
      <c r="W287" s="62" t="n">
        <f aca="false">IFERROR((S287*30%)/V287,0)</f>
        <v>0</v>
      </c>
      <c r="X287" s="63" t="n">
        <f aca="false">IFERROR(N287/W287,0)</f>
        <v>0</v>
      </c>
      <c r="Y287" s="68"/>
      <c r="Z287" s="57"/>
      <c r="AA287" s="69" t="str">
        <f aca="false">IF(OR(U287="",Y287="",Z287=""),"",IF(AND(U287&gt;Y287,-U287&lt;Z287),"Ok","Not Ok"))</f>
        <v/>
      </c>
      <c r="AB287" s="70"/>
    </row>
    <row r="288" customFormat="false" ht="12.8" hidden="false" customHeight="false" outlineLevel="0" collapsed="false">
      <c r="A288" s="48" t="n">
        <f aca="false">TB_audited!A271</f>
        <v>0</v>
      </c>
      <c r="B288" s="49"/>
      <c r="C288" s="50"/>
      <c r="D288" s="51" t="n">
        <f aca="false">TB_audited!B271</f>
        <v>0</v>
      </c>
      <c r="E288" s="52" t="n">
        <f aca="false">TB_audited!C271</f>
        <v>0</v>
      </c>
      <c r="F288" s="53" t="n">
        <f aca="false">TB_audited!D271</f>
        <v>0</v>
      </c>
      <c r="G288" s="54" t="n">
        <f aca="false">IF($D$8="Interim",TB_audited!G271,TB_audited!E271)</f>
        <v>0</v>
      </c>
      <c r="H288" s="55" t="str">
        <f aca="false">IFERROR(VLOOKUP($A288,RA_result!$B$3:$N$62,11,0),"")</f>
        <v/>
      </c>
      <c r="I288" s="55" t="str">
        <f aca="false">IFERROR(VLOOKUP($A288,RA_result!$B$3:$N$62,12,0),"")</f>
        <v/>
      </c>
      <c r="J288" s="55" t="str">
        <f aca="false">IFERROR(VLOOKUP($A288,RA_result!$B$3:$N$62,13,0),"")</f>
        <v/>
      </c>
      <c r="K288" s="56"/>
      <c r="L288" s="56"/>
      <c r="M288" s="57" t="n">
        <f aca="false">G288</f>
        <v>0</v>
      </c>
      <c r="N288" s="54" t="n">
        <f aca="false">G288-M288</f>
        <v>0</v>
      </c>
      <c r="O288" s="55" t="str">
        <f aca="false">IFERROR(VLOOKUP($A288,RA_result!$B$3:$N$62,7,0),"")</f>
        <v/>
      </c>
      <c r="P288" s="52" t="str">
        <f aca="false">IFERROR(VLOOKUP($A288,RA_result!$B$3:$N$62,9,0),"")</f>
        <v/>
      </c>
      <c r="Q288" s="52" t="str">
        <f aca="false">IFERROR(VLOOKUP($A288,RA_result!$B$3:$N$62,10,0),"")</f>
        <v/>
      </c>
      <c r="R288" s="58" t="s">
        <v>55</v>
      </c>
      <c r="S288" s="59" t="str">
        <f aca="false">IFERROR(VLOOKUP($A288,RA_result!$B$3:$N$62,4,0),"")</f>
        <v/>
      </c>
      <c r="T288" s="60" t="s">
        <v>56</v>
      </c>
      <c r="U288" s="59" t="str">
        <f aca="false">IFERROR(IF(VLOOKUP($A288,RA_result!$B$3:$N$62,6,0)="",S288*T288,VLOOKUP($A288,RA_result!$B$3:$N$62,6,0)),"")</f>
        <v/>
      </c>
      <c r="V288" s="61" t="s">
        <v>56</v>
      </c>
      <c r="W288" s="62" t="n">
        <f aca="false">IFERROR((S288*30%)/V288,0)</f>
        <v>0</v>
      </c>
      <c r="X288" s="63" t="n">
        <f aca="false">IFERROR(N288/W288,0)</f>
        <v>0</v>
      </c>
      <c r="Y288" s="68"/>
      <c r="Z288" s="57"/>
      <c r="AA288" s="69" t="str">
        <f aca="false">IF(OR(U288="",Y288="",Z288=""),"",IF(AND(U288&gt;Y288,-U288&lt;Z288),"Ok","Not Ok"))</f>
        <v/>
      </c>
      <c r="AB288" s="70"/>
    </row>
    <row r="289" customFormat="false" ht="12.8" hidden="false" customHeight="false" outlineLevel="0" collapsed="false">
      <c r="A289" s="48" t="n">
        <f aca="false">TB_audited!A272</f>
        <v>0</v>
      </c>
      <c r="B289" s="49"/>
      <c r="C289" s="50"/>
      <c r="D289" s="51" t="n">
        <f aca="false">TB_audited!B272</f>
        <v>0</v>
      </c>
      <c r="E289" s="52" t="n">
        <f aca="false">TB_audited!C272</f>
        <v>0</v>
      </c>
      <c r="F289" s="53" t="n">
        <f aca="false">TB_audited!D272</f>
        <v>0</v>
      </c>
      <c r="G289" s="54" t="n">
        <f aca="false">IF($D$8="Interim",TB_audited!G272,TB_audited!E272)</f>
        <v>0</v>
      </c>
      <c r="H289" s="55" t="str">
        <f aca="false">IFERROR(VLOOKUP($A289,RA_result!$B$3:$N$62,11,0),"")</f>
        <v/>
      </c>
      <c r="I289" s="55" t="str">
        <f aca="false">IFERROR(VLOOKUP($A289,RA_result!$B$3:$N$62,12,0),"")</f>
        <v/>
      </c>
      <c r="J289" s="55" t="str">
        <f aca="false">IFERROR(VLOOKUP($A289,RA_result!$B$3:$N$62,13,0),"")</f>
        <v/>
      </c>
      <c r="K289" s="56"/>
      <c r="L289" s="56"/>
      <c r="M289" s="57" t="n">
        <f aca="false">G289</f>
        <v>0</v>
      </c>
      <c r="N289" s="54" t="n">
        <f aca="false">G289-M289</f>
        <v>0</v>
      </c>
      <c r="O289" s="55" t="str">
        <f aca="false">IFERROR(VLOOKUP($A289,RA_result!$B$3:$N$62,7,0),"")</f>
        <v/>
      </c>
      <c r="P289" s="52" t="str">
        <f aca="false">IFERROR(VLOOKUP($A289,RA_result!$B$3:$N$62,9,0),"")</f>
        <v/>
      </c>
      <c r="Q289" s="52" t="str">
        <f aca="false">IFERROR(VLOOKUP($A289,RA_result!$B$3:$N$62,10,0),"")</f>
        <v/>
      </c>
      <c r="R289" s="58" t="s">
        <v>55</v>
      </c>
      <c r="S289" s="59" t="str">
        <f aca="false">IFERROR(VLOOKUP($A289,RA_result!$B$3:$N$62,4,0),"")</f>
        <v/>
      </c>
      <c r="T289" s="60" t="s">
        <v>56</v>
      </c>
      <c r="U289" s="59" t="str">
        <f aca="false">IFERROR(IF(VLOOKUP($A289,RA_result!$B$3:$N$62,6,0)="",S289*T289,VLOOKUP($A289,RA_result!$B$3:$N$62,6,0)),"")</f>
        <v/>
      </c>
      <c r="V289" s="61" t="s">
        <v>56</v>
      </c>
      <c r="W289" s="62" t="n">
        <f aca="false">IFERROR((S289*30%)/V289,0)</f>
        <v>0</v>
      </c>
      <c r="X289" s="63" t="n">
        <f aca="false">IFERROR(N289/W289,0)</f>
        <v>0</v>
      </c>
      <c r="Y289" s="68"/>
      <c r="Z289" s="57"/>
      <c r="AA289" s="69" t="str">
        <f aca="false">IF(OR(U289="",Y289="",Z289=""),"",IF(AND(U289&gt;Y289,-U289&lt;Z289),"Ok","Not Ok"))</f>
        <v/>
      </c>
      <c r="AB289" s="70"/>
    </row>
    <row r="290" customFormat="false" ht="12.8" hidden="false" customHeight="false" outlineLevel="0" collapsed="false">
      <c r="A290" s="48" t="n">
        <f aca="false">TB_audited!A273</f>
        <v>0</v>
      </c>
      <c r="B290" s="49"/>
      <c r="C290" s="50"/>
      <c r="D290" s="51" t="n">
        <f aca="false">TB_audited!B273</f>
        <v>0</v>
      </c>
      <c r="E290" s="52" t="n">
        <f aca="false">TB_audited!C273</f>
        <v>0</v>
      </c>
      <c r="F290" s="53" t="n">
        <f aca="false">TB_audited!D273</f>
        <v>0</v>
      </c>
      <c r="G290" s="54" t="n">
        <f aca="false">IF($D$8="Interim",TB_audited!G273,TB_audited!E273)</f>
        <v>0</v>
      </c>
      <c r="H290" s="55" t="str">
        <f aca="false">IFERROR(VLOOKUP($A290,RA_result!$B$3:$N$62,11,0),"")</f>
        <v/>
      </c>
      <c r="I290" s="55" t="str">
        <f aca="false">IFERROR(VLOOKUP($A290,RA_result!$B$3:$N$62,12,0),"")</f>
        <v/>
      </c>
      <c r="J290" s="55" t="str">
        <f aca="false">IFERROR(VLOOKUP($A290,RA_result!$B$3:$N$62,13,0),"")</f>
        <v/>
      </c>
      <c r="K290" s="56"/>
      <c r="L290" s="56"/>
      <c r="M290" s="57" t="n">
        <f aca="false">G290</f>
        <v>0</v>
      </c>
      <c r="N290" s="54" t="n">
        <f aca="false">G290-M290</f>
        <v>0</v>
      </c>
      <c r="O290" s="55" t="str">
        <f aca="false">IFERROR(VLOOKUP($A290,RA_result!$B$3:$N$62,7,0),"")</f>
        <v/>
      </c>
      <c r="P290" s="52" t="str">
        <f aca="false">IFERROR(VLOOKUP($A290,RA_result!$B$3:$N$62,9,0),"")</f>
        <v/>
      </c>
      <c r="Q290" s="52" t="str">
        <f aca="false">IFERROR(VLOOKUP($A290,RA_result!$B$3:$N$62,10,0),"")</f>
        <v/>
      </c>
      <c r="R290" s="58" t="s">
        <v>55</v>
      </c>
      <c r="S290" s="59" t="str">
        <f aca="false">IFERROR(VLOOKUP($A290,RA_result!$B$3:$N$62,4,0),"")</f>
        <v/>
      </c>
      <c r="T290" s="60" t="s">
        <v>56</v>
      </c>
      <c r="U290" s="59" t="str">
        <f aca="false">IFERROR(IF(VLOOKUP($A290,RA_result!$B$3:$N$62,6,0)="",S290*T290,VLOOKUP($A290,RA_result!$B$3:$N$62,6,0)),"")</f>
        <v/>
      </c>
      <c r="V290" s="61" t="s">
        <v>56</v>
      </c>
      <c r="W290" s="62" t="n">
        <f aca="false">IFERROR((S290*30%)/V290,0)</f>
        <v>0</v>
      </c>
      <c r="X290" s="63" t="n">
        <f aca="false">IFERROR(N290/W290,0)</f>
        <v>0</v>
      </c>
      <c r="Y290" s="68"/>
      <c r="Z290" s="57"/>
      <c r="AA290" s="69" t="str">
        <f aca="false">IF(OR(U290="",Y290="",Z290=""),"",IF(AND(U290&gt;Y290,-U290&lt;Z290),"Ok","Not Ok"))</f>
        <v/>
      </c>
      <c r="AB290" s="70"/>
    </row>
    <row r="291" customFormat="false" ht="12.8" hidden="false" customHeight="false" outlineLevel="0" collapsed="false">
      <c r="A291" s="48" t="n">
        <f aca="false">TB_audited!A274</f>
        <v>0</v>
      </c>
      <c r="B291" s="49"/>
      <c r="C291" s="50"/>
      <c r="D291" s="51" t="n">
        <f aca="false">TB_audited!B274</f>
        <v>0</v>
      </c>
      <c r="E291" s="52" t="n">
        <f aca="false">TB_audited!C274</f>
        <v>0</v>
      </c>
      <c r="F291" s="53" t="n">
        <f aca="false">TB_audited!D274</f>
        <v>0</v>
      </c>
      <c r="G291" s="54" t="n">
        <f aca="false">IF($D$8="Interim",TB_audited!G274,TB_audited!E274)</f>
        <v>0</v>
      </c>
      <c r="H291" s="55" t="str">
        <f aca="false">IFERROR(VLOOKUP($A291,RA_result!$B$3:$N$62,11,0),"")</f>
        <v/>
      </c>
      <c r="I291" s="55" t="str">
        <f aca="false">IFERROR(VLOOKUP($A291,RA_result!$B$3:$N$62,12,0),"")</f>
        <v/>
      </c>
      <c r="J291" s="55" t="str">
        <f aca="false">IFERROR(VLOOKUP($A291,RA_result!$B$3:$N$62,13,0),"")</f>
        <v/>
      </c>
      <c r="K291" s="56"/>
      <c r="L291" s="56"/>
      <c r="M291" s="57" t="n">
        <f aca="false">G291</f>
        <v>0</v>
      </c>
      <c r="N291" s="54" t="n">
        <f aca="false">G291-M291</f>
        <v>0</v>
      </c>
      <c r="O291" s="55" t="str">
        <f aca="false">IFERROR(VLOOKUP($A291,RA_result!$B$3:$N$62,7,0),"")</f>
        <v/>
      </c>
      <c r="P291" s="52" t="str">
        <f aca="false">IFERROR(VLOOKUP($A291,RA_result!$B$3:$N$62,9,0),"")</f>
        <v/>
      </c>
      <c r="Q291" s="52" t="str">
        <f aca="false">IFERROR(VLOOKUP($A291,RA_result!$B$3:$N$62,10,0),"")</f>
        <v/>
      </c>
      <c r="R291" s="58" t="s">
        <v>55</v>
      </c>
      <c r="S291" s="59" t="str">
        <f aca="false">IFERROR(VLOOKUP($A291,RA_result!$B$3:$N$62,4,0),"")</f>
        <v/>
      </c>
      <c r="T291" s="60" t="s">
        <v>56</v>
      </c>
      <c r="U291" s="59" t="str">
        <f aca="false">IFERROR(IF(VLOOKUP($A291,RA_result!$B$3:$N$62,6,0)="",S291*T291,VLOOKUP($A291,RA_result!$B$3:$N$62,6,0)),"")</f>
        <v/>
      </c>
      <c r="V291" s="61" t="s">
        <v>56</v>
      </c>
      <c r="W291" s="62" t="n">
        <f aca="false">IFERROR((S291*30%)/V291,0)</f>
        <v>0</v>
      </c>
      <c r="X291" s="63" t="n">
        <f aca="false">IFERROR(N291/W291,0)</f>
        <v>0</v>
      </c>
      <c r="Y291" s="68"/>
      <c r="Z291" s="57"/>
      <c r="AA291" s="69" t="str">
        <f aca="false">IF(OR(U291="",Y291="",Z291=""),"",IF(AND(U291&gt;Y291,-U291&lt;Z291),"Ok","Not Ok"))</f>
        <v/>
      </c>
      <c r="AB291" s="70"/>
    </row>
    <row r="292" customFormat="false" ht="12.8" hidden="false" customHeight="false" outlineLevel="0" collapsed="false">
      <c r="A292" s="48" t="n">
        <f aca="false">TB_audited!A275</f>
        <v>0</v>
      </c>
      <c r="B292" s="49"/>
      <c r="C292" s="50"/>
      <c r="D292" s="51" t="n">
        <f aca="false">TB_audited!B275</f>
        <v>0</v>
      </c>
      <c r="E292" s="52" t="n">
        <f aca="false">TB_audited!C275</f>
        <v>0</v>
      </c>
      <c r="F292" s="53" t="n">
        <f aca="false">TB_audited!D275</f>
        <v>0</v>
      </c>
      <c r="G292" s="54" t="n">
        <f aca="false">IF($D$8="Interim",TB_audited!G275,TB_audited!E275)</f>
        <v>0</v>
      </c>
      <c r="H292" s="55" t="str">
        <f aca="false">IFERROR(VLOOKUP($A292,RA_result!$B$3:$N$62,11,0),"")</f>
        <v/>
      </c>
      <c r="I292" s="55" t="str">
        <f aca="false">IFERROR(VLOOKUP($A292,RA_result!$B$3:$N$62,12,0),"")</f>
        <v/>
      </c>
      <c r="J292" s="55" t="str">
        <f aca="false">IFERROR(VLOOKUP($A292,RA_result!$B$3:$N$62,13,0),"")</f>
        <v/>
      </c>
      <c r="K292" s="56"/>
      <c r="L292" s="56"/>
      <c r="M292" s="57" t="n">
        <f aca="false">G292</f>
        <v>0</v>
      </c>
      <c r="N292" s="54" t="n">
        <f aca="false">G292-M292</f>
        <v>0</v>
      </c>
      <c r="O292" s="55" t="str">
        <f aca="false">IFERROR(VLOOKUP($A292,RA_result!$B$3:$N$62,7,0),"")</f>
        <v/>
      </c>
      <c r="P292" s="52" t="str">
        <f aca="false">IFERROR(VLOOKUP($A292,RA_result!$B$3:$N$62,9,0),"")</f>
        <v/>
      </c>
      <c r="Q292" s="52" t="str">
        <f aca="false">IFERROR(VLOOKUP($A292,RA_result!$B$3:$N$62,10,0),"")</f>
        <v/>
      </c>
      <c r="R292" s="58" t="s">
        <v>55</v>
      </c>
      <c r="S292" s="59" t="str">
        <f aca="false">IFERROR(VLOOKUP($A292,RA_result!$B$3:$N$62,4,0),"")</f>
        <v/>
      </c>
      <c r="T292" s="60" t="s">
        <v>56</v>
      </c>
      <c r="U292" s="59" t="str">
        <f aca="false">IFERROR(IF(VLOOKUP($A292,RA_result!$B$3:$N$62,6,0)="",S292*T292,VLOOKUP($A292,RA_result!$B$3:$N$62,6,0)),"")</f>
        <v/>
      </c>
      <c r="V292" s="61" t="s">
        <v>56</v>
      </c>
      <c r="W292" s="62" t="n">
        <f aca="false">IFERROR((S292*30%)/V292,0)</f>
        <v>0</v>
      </c>
      <c r="X292" s="63" t="n">
        <f aca="false">IFERROR(N292/W292,0)</f>
        <v>0</v>
      </c>
      <c r="Y292" s="68"/>
      <c r="Z292" s="57"/>
      <c r="AA292" s="69" t="str">
        <f aca="false">IF(OR(U292="",Y292="",Z292=""),"",IF(AND(U292&gt;Y292,-U292&lt;Z292),"Ok","Not Ok"))</f>
        <v/>
      </c>
      <c r="AB292" s="70"/>
    </row>
    <row r="293" customFormat="false" ht="12.8" hidden="false" customHeight="false" outlineLevel="0" collapsed="false">
      <c r="A293" s="48" t="n">
        <f aca="false">TB_audited!A276</f>
        <v>0</v>
      </c>
      <c r="B293" s="49"/>
      <c r="C293" s="50"/>
      <c r="D293" s="51" t="n">
        <f aca="false">TB_audited!B276</f>
        <v>0</v>
      </c>
      <c r="E293" s="52" t="n">
        <f aca="false">TB_audited!C276</f>
        <v>0</v>
      </c>
      <c r="F293" s="53" t="n">
        <f aca="false">TB_audited!D276</f>
        <v>0</v>
      </c>
      <c r="G293" s="54" t="n">
        <f aca="false">IF($D$8="Interim",TB_audited!G276,TB_audited!E276)</f>
        <v>0</v>
      </c>
      <c r="H293" s="55" t="str">
        <f aca="false">IFERROR(VLOOKUP($A293,RA_result!$B$3:$N$62,11,0),"")</f>
        <v/>
      </c>
      <c r="I293" s="55" t="str">
        <f aca="false">IFERROR(VLOOKUP($A293,RA_result!$B$3:$N$62,12,0),"")</f>
        <v/>
      </c>
      <c r="J293" s="55" t="str">
        <f aca="false">IFERROR(VLOOKUP($A293,RA_result!$B$3:$N$62,13,0),"")</f>
        <v/>
      </c>
      <c r="K293" s="56"/>
      <c r="L293" s="56"/>
      <c r="M293" s="57" t="n">
        <f aca="false">G293</f>
        <v>0</v>
      </c>
      <c r="N293" s="54" t="n">
        <f aca="false">G293-M293</f>
        <v>0</v>
      </c>
      <c r="O293" s="55" t="str">
        <f aca="false">IFERROR(VLOOKUP($A293,RA_result!$B$3:$N$62,7,0),"")</f>
        <v/>
      </c>
      <c r="P293" s="52" t="str">
        <f aca="false">IFERROR(VLOOKUP($A293,RA_result!$B$3:$N$62,9,0),"")</f>
        <v/>
      </c>
      <c r="Q293" s="52" t="str">
        <f aca="false">IFERROR(VLOOKUP($A293,RA_result!$B$3:$N$62,10,0),"")</f>
        <v/>
      </c>
      <c r="R293" s="58" t="s">
        <v>55</v>
      </c>
      <c r="S293" s="59" t="str">
        <f aca="false">IFERROR(VLOOKUP($A293,RA_result!$B$3:$N$62,4,0),"")</f>
        <v/>
      </c>
      <c r="T293" s="60" t="s">
        <v>56</v>
      </c>
      <c r="U293" s="59" t="str">
        <f aca="false">IFERROR(IF(VLOOKUP($A293,RA_result!$B$3:$N$62,6,0)="",S293*T293,VLOOKUP($A293,RA_result!$B$3:$N$62,6,0)),"")</f>
        <v/>
      </c>
      <c r="V293" s="61" t="s">
        <v>56</v>
      </c>
      <c r="W293" s="62" t="n">
        <f aca="false">IFERROR((S293*30%)/V293,0)</f>
        <v>0</v>
      </c>
      <c r="X293" s="63" t="n">
        <f aca="false">IFERROR(N293/W293,0)</f>
        <v>0</v>
      </c>
      <c r="Y293" s="68"/>
      <c r="Z293" s="57"/>
      <c r="AA293" s="69" t="str">
        <f aca="false">IF(OR(U293="",Y293="",Z293=""),"",IF(AND(U293&gt;Y293,-U293&lt;Z293),"Ok","Not Ok"))</f>
        <v/>
      </c>
      <c r="AB293" s="70"/>
    </row>
    <row r="294" customFormat="false" ht="12.8" hidden="false" customHeight="false" outlineLevel="0" collapsed="false">
      <c r="A294" s="48" t="n">
        <f aca="false">TB_audited!A277</f>
        <v>0</v>
      </c>
      <c r="B294" s="49"/>
      <c r="C294" s="50"/>
      <c r="D294" s="51" t="n">
        <f aca="false">TB_audited!B277</f>
        <v>0</v>
      </c>
      <c r="E294" s="52" t="n">
        <f aca="false">TB_audited!C277</f>
        <v>0</v>
      </c>
      <c r="F294" s="53" t="n">
        <f aca="false">TB_audited!D277</f>
        <v>0</v>
      </c>
      <c r="G294" s="54" t="n">
        <f aca="false">IF($D$8="Interim",TB_audited!G277,TB_audited!E277)</f>
        <v>0</v>
      </c>
      <c r="H294" s="55" t="str">
        <f aca="false">IFERROR(VLOOKUP($A294,RA_result!$B$3:$N$62,11,0),"")</f>
        <v/>
      </c>
      <c r="I294" s="55" t="str">
        <f aca="false">IFERROR(VLOOKUP($A294,RA_result!$B$3:$N$62,12,0),"")</f>
        <v/>
      </c>
      <c r="J294" s="55" t="str">
        <f aca="false">IFERROR(VLOOKUP($A294,RA_result!$B$3:$N$62,13,0),"")</f>
        <v/>
      </c>
      <c r="K294" s="56"/>
      <c r="L294" s="56"/>
      <c r="M294" s="57" t="n">
        <f aca="false">G294</f>
        <v>0</v>
      </c>
      <c r="N294" s="54" t="n">
        <f aca="false">G294-M294</f>
        <v>0</v>
      </c>
      <c r="O294" s="55" t="str">
        <f aca="false">IFERROR(VLOOKUP($A294,RA_result!$B$3:$N$62,7,0),"")</f>
        <v/>
      </c>
      <c r="P294" s="52" t="str">
        <f aca="false">IFERROR(VLOOKUP($A294,RA_result!$B$3:$N$62,9,0),"")</f>
        <v/>
      </c>
      <c r="Q294" s="52" t="str">
        <f aca="false">IFERROR(VLOOKUP($A294,RA_result!$B$3:$N$62,10,0),"")</f>
        <v/>
      </c>
      <c r="R294" s="58" t="s">
        <v>55</v>
      </c>
      <c r="S294" s="59" t="str">
        <f aca="false">IFERROR(VLOOKUP($A294,RA_result!$B$3:$N$62,4,0),"")</f>
        <v/>
      </c>
      <c r="T294" s="60" t="s">
        <v>56</v>
      </c>
      <c r="U294" s="59" t="str">
        <f aca="false">IFERROR(IF(VLOOKUP($A294,RA_result!$B$3:$N$62,6,0)="",S294*T294,VLOOKUP($A294,RA_result!$B$3:$N$62,6,0)),"")</f>
        <v/>
      </c>
      <c r="V294" s="61" t="s">
        <v>56</v>
      </c>
      <c r="W294" s="62" t="n">
        <f aca="false">IFERROR((S294*30%)/V294,0)</f>
        <v>0</v>
      </c>
      <c r="X294" s="63" t="n">
        <f aca="false">IFERROR(N294/W294,0)</f>
        <v>0</v>
      </c>
      <c r="Y294" s="68"/>
      <c r="Z294" s="57"/>
      <c r="AA294" s="69" t="str">
        <f aca="false">IF(OR(U294="",Y294="",Z294=""),"",IF(AND(U294&gt;Y294,-U294&lt;Z294),"Ok","Not Ok"))</f>
        <v/>
      </c>
      <c r="AB294" s="70"/>
    </row>
    <row r="295" customFormat="false" ht="12.8" hidden="false" customHeight="false" outlineLevel="0" collapsed="false">
      <c r="A295" s="48" t="n">
        <f aca="false">TB_audited!A278</f>
        <v>0</v>
      </c>
      <c r="B295" s="49"/>
      <c r="C295" s="50"/>
      <c r="D295" s="51" t="n">
        <f aca="false">TB_audited!B278</f>
        <v>0</v>
      </c>
      <c r="E295" s="52" t="n">
        <f aca="false">TB_audited!C278</f>
        <v>0</v>
      </c>
      <c r="F295" s="53" t="n">
        <f aca="false">TB_audited!D278</f>
        <v>0</v>
      </c>
      <c r="G295" s="54" t="n">
        <f aca="false">IF($D$8="Interim",TB_audited!G278,TB_audited!E278)</f>
        <v>0</v>
      </c>
      <c r="H295" s="55" t="str">
        <f aca="false">IFERROR(VLOOKUP($A295,RA_result!$B$3:$N$62,11,0),"")</f>
        <v/>
      </c>
      <c r="I295" s="55" t="str">
        <f aca="false">IFERROR(VLOOKUP($A295,RA_result!$B$3:$N$62,12,0),"")</f>
        <v/>
      </c>
      <c r="J295" s="55" t="str">
        <f aca="false">IFERROR(VLOOKUP($A295,RA_result!$B$3:$N$62,13,0),"")</f>
        <v/>
      </c>
      <c r="K295" s="56"/>
      <c r="L295" s="56"/>
      <c r="M295" s="57" t="n">
        <f aca="false">G295</f>
        <v>0</v>
      </c>
      <c r="N295" s="54" t="n">
        <f aca="false">G295-M295</f>
        <v>0</v>
      </c>
      <c r="O295" s="55" t="str">
        <f aca="false">IFERROR(VLOOKUP($A295,RA_result!$B$3:$N$62,7,0),"")</f>
        <v/>
      </c>
      <c r="P295" s="52" t="str">
        <f aca="false">IFERROR(VLOOKUP($A295,RA_result!$B$3:$N$62,9,0),"")</f>
        <v/>
      </c>
      <c r="Q295" s="52" t="str">
        <f aca="false">IFERROR(VLOOKUP($A295,RA_result!$B$3:$N$62,10,0),"")</f>
        <v/>
      </c>
      <c r="R295" s="58" t="s">
        <v>55</v>
      </c>
      <c r="S295" s="59" t="str">
        <f aca="false">IFERROR(VLOOKUP($A295,RA_result!$B$3:$N$62,4,0),"")</f>
        <v/>
      </c>
      <c r="T295" s="60" t="s">
        <v>56</v>
      </c>
      <c r="U295" s="59" t="str">
        <f aca="false">IFERROR(IF(VLOOKUP($A295,RA_result!$B$3:$N$62,6,0)="",S295*T295,VLOOKUP($A295,RA_result!$B$3:$N$62,6,0)),"")</f>
        <v/>
      </c>
      <c r="V295" s="61" t="s">
        <v>56</v>
      </c>
      <c r="W295" s="62" t="n">
        <f aca="false">IFERROR((S295*30%)/V295,0)</f>
        <v>0</v>
      </c>
      <c r="X295" s="63" t="n">
        <f aca="false">IFERROR(N295/W295,0)</f>
        <v>0</v>
      </c>
      <c r="Y295" s="68"/>
      <c r="Z295" s="57"/>
      <c r="AA295" s="69" t="str">
        <f aca="false">IF(OR(U295="",Y295="",Z295=""),"",IF(AND(U295&gt;Y295,-U295&lt;Z295),"Ok","Not Ok"))</f>
        <v/>
      </c>
      <c r="AB295" s="70"/>
    </row>
    <row r="296" customFormat="false" ht="12.8" hidden="false" customHeight="false" outlineLevel="0" collapsed="false">
      <c r="A296" s="48" t="n">
        <f aca="false">TB_audited!A279</f>
        <v>0</v>
      </c>
      <c r="B296" s="49"/>
      <c r="C296" s="50"/>
      <c r="D296" s="51" t="n">
        <f aca="false">TB_audited!B279</f>
        <v>0</v>
      </c>
      <c r="E296" s="52" t="n">
        <f aca="false">TB_audited!C279</f>
        <v>0</v>
      </c>
      <c r="F296" s="53" t="n">
        <f aca="false">TB_audited!D279</f>
        <v>0</v>
      </c>
      <c r="G296" s="54" t="n">
        <f aca="false">IF($D$8="Interim",TB_audited!G279,TB_audited!E279)</f>
        <v>0</v>
      </c>
      <c r="H296" s="55" t="str">
        <f aca="false">IFERROR(VLOOKUP($A296,RA_result!$B$3:$N$62,11,0),"")</f>
        <v/>
      </c>
      <c r="I296" s="55" t="str">
        <f aca="false">IFERROR(VLOOKUP($A296,RA_result!$B$3:$N$62,12,0),"")</f>
        <v/>
      </c>
      <c r="J296" s="55" t="str">
        <f aca="false">IFERROR(VLOOKUP($A296,RA_result!$B$3:$N$62,13,0),"")</f>
        <v/>
      </c>
      <c r="K296" s="56"/>
      <c r="L296" s="56"/>
      <c r="M296" s="57" t="n">
        <f aca="false">G296</f>
        <v>0</v>
      </c>
      <c r="N296" s="54" t="n">
        <f aca="false">G296-M296</f>
        <v>0</v>
      </c>
      <c r="O296" s="55" t="str">
        <f aca="false">IFERROR(VLOOKUP($A296,RA_result!$B$3:$N$62,7,0),"")</f>
        <v/>
      </c>
      <c r="P296" s="52" t="str">
        <f aca="false">IFERROR(VLOOKUP($A296,RA_result!$B$3:$N$62,9,0),"")</f>
        <v/>
      </c>
      <c r="Q296" s="52" t="str">
        <f aca="false">IFERROR(VLOOKUP($A296,RA_result!$B$3:$N$62,10,0),"")</f>
        <v/>
      </c>
      <c r="R296" s="58" t="s">
        <v>55</v>
      </c>
      <c r="S296" s="59" t="str">
        <f aca="false">IFERROR(VLOOKUP($A296,RA_result!$B$3:$N$62,4,0),"")</f>
        <v/>
      </c>
      <c r="T296" s="60" t="s">
        <v>56</v>
      </c>
      <c r="U296" s="59" t="str">
        <f aca="false">IFERROR(IF(VLOOKUP($A296,RA_result!$B$3:$N$62,6,0)="",S296*T296,VLOOKUP($A296,RA_result!$B$3:$N$62,6,0)),"")</f>
        <v/>
      </c>
      <c r="V296" s="61" t="s">
        <v>56</v>
      </c>
      <c r="W296" s="62" t="n">
        <f aca="false">IFERROR((S296*30%)/V296,0)</f>
        <v>0</v>
      </c>
      <c r="X296" s="63" t="n">
        <f aca="false">IFERROR(N296/W296,0)</f>
        <v>0</v>
      </c>
      <c r="Y296" s="68"/>
      <c r="Z296" s="57"/>
      <c r="AA296" s="69" t="str">
        <f aca="false">IF(OR(U296="",Y296="",Z296=""),"",IF(AND(U296&gt;Y296,-U296&lt;Z296),"Ok","Not Ok"))</f>
        <v/>
      </c>
      <c r="AB296" s="70"/>
    </row>
    <row r="297" customFormat="false" ht="12.8" hidden="false" customHeight="false" outlineLevel="0" collapsed="false">
      <c r="A297" s="48" t="n">
        <f aca="false">TB_audited!A280</f>
        <v>0</v>
      </c>
      <c r="B297" s="49"/>
      <c r="C297" s="50"/>
      <c r="D297" s="51" t="n">
        <f aca="false">TB_audited!B280</f>
        <v>0</v>
      </c>
      <c r="E297" s="52" t="n">
        <f aca="false">TB_audited!C280</f>
        <v>0</v>
      </c>
      <c r="F297" s="53" t="n">
        <f aca="false">TB_audited!D280</f>
        <v>0</v>
      </c>
      <c r="G297" s="54" t="n">
        <f aca="false">IF($D$8="Interim",TB_audited!G280,TB_audited!E280)</f>
        <v>0</v>
      </c>
      <c r="H297" s="55" t="str">
        <f aca="false">IFERROR(VLOOKUP($A297,RA_result!$B$3:$N$62,11,0),"")</f>
        <v/>
      </c>
      <c r="I297" s="55" t="str">
        <f aca="false">IFERROR(VLOOKUP($A297,RA_result!$B$3:$N$62,12,0),"")</f>
        <v/>
      </c>
      <c r="J297" s="55" t="str">
        <f aca="false">IFERROR(VLOOKUP($A297,RA_result!$B$3:$N$62,13,0),"")</f>
        <v/>
      </c>
      <c r="K297" s="56"/>
      <c r="L297" s="56"/>
      <c r="M297" s="57" t="n">
        <f aca="false">G297</f>
        <v>0</v>
      </c>
      <c r="N297" s="54" t="n">
        <f aca="false">G297-M297</f>
        <v>0</v>
      </c>
      <c r="O297" s="55" t="str">
        <f aca="false">IFERROR(VLOOKUP($A297,RA_result!$B$3:$N$62,7,0),"")</f>
        <v/>
      </c>
      <c r="P297" s="52" t="str">
        <f aca="false">IFERROR(VLOOKUP($A297,RA_result!$B$3:$N$62,9,0),"")</f>
        <v/>
      </c>
      <c r="Q297" s="52" t="str">
        <f aca="false">IFERROR(VLOOKUP($A297,RA_result!$B$3:$N$62,10,0),"")</f>
        <v/>
      </c>
      <c r="R297" s="58" t="s">
        <v>55</v>
      </c>
      <c r="S297" s="59" t="str">
        <f aca="false">IFERROR(VLOOKUP($A297,RA_result!$B$3:$N$62,4,0),"")</f>
        <v/>
      </c>
      <c r="T297" s="60" t="s">
        <v>56</v>
      </c>
      <c r="U297" s="59" t="str">
        <f aca="false">IFERROR(IF(VLOOKUP($A297,RA_result!$B$3:$N$62,6,0)="",S297*T297,VLOOKUP($A297,RA_result!$B$3:$N$62,6,0)),"")</f>
        <v/>
      </c>
      <c r="V297" s="61" t="s">
        <v>56</v>
      </c>
      <c r="W297" s="62" t="n">
        <f aca="false">IFERROR((S297*30%)/V297,0)</f>
        <v>0</v>
      </c>
      <c r="X297" s="63" t="n">
        <f aca="false">IFERROR(N297/W297,0)</f>
        <v>0</v>
      </c>
      <c r="Y297" s="68"/>
      <c r="Z297" s="57"/>
      <c r="AA297" s="69" t="str">
        <f aca="false">IF(OR(U297="",Y297="",Z297=""),"",IF(AND(U297&gt;Y297,-U297&lt;Z297),"Ok","Not Ok"))</f>
        <v/>
      </c>
      <c r="AB297" s="70"/>
    </row>
    <row r="298" customFormat="false" ht="12.8" hidden="false" customHeight="false" outlineLevel="0" collapsed="false">
      <c r="A298" s="48" t="n">
        <f aca="false">TB_audited!A281</f>
        <v>0</v>
      </c>
      <c r="B298" s="49"/>
      <c r="C298" s="50"/>
      <c r="D298" s="51" t="n">
        <f aca="false">TB_audited!B281</f>
        <v>0</v>
      </c>
      <c r="E298" s="52" t="n">
        <f aca="false">TB_audited!C281</f>
        <v>0</v>
      </c>
      <c r="F298" s="53" t="n">
        <f aca="false">TB_audited!D281</f>
        <v>0</v>
      </c>
      <c r="G298" s="54" t="n">
        <f aca="false">IF($D$8="Interim",TB_audited!G281,TB_audited!E281)</f>
        <v>0</v>
      </c>
      <c r="H298" s="55" t="str">
        <f aca="false">IFERROR(VLOOKUP($A298,RA_result!$B$3:$N$62,11,0),"")</f>
        <v/>
      </c>
      <c r="I298" s="55" t="str">
        <f aca="false">IFERROR(VLOOKUP($A298,RA_result!$B$3:$N$62,12,0),"")</f>
        <v/>
      </c>
      <c r="J298" s="55" t="str">
        <f aca="false">IFERROR(VLOOKUP($A298,RA_result!$B$3:$N$62,13,0),"")</f>
        <v/>
      </c>
      <c r="K298" s="56"/>
      <c r="L298" s="56"/>
      <c r="M298" s="57" t="n">
        <f aca="false">G298</f>
        <v>0</v>
      </c>
      <c r="N298" s="54" t="n">
        <f aca="false">G298-M298</f>
        <v>0</v>
      </c>
      <c r="O298" s="55" t="str">
        <f aca="false">IFERROR(VLOOKUP($A298,RA_result!$B$3:$N$62,7,0),"")</f>
        <v/>
      </c>
      <c r="P298" s="52" t="str">
        <f aca="false">IFERROR(VLOOKUP($A298,RA_result!$B$3:$N$62,9,0),"")</f>
        <v/>
      </c>
      <c r="Q298" s="52" t="str">
        <f aca="false">IFERROR(VLOOKUP($A298,RA_result!$B$3:$N$62,10,0),"")</f>
        <v/>
      </c>
      <c r="R298" s="58" t="s">
        <v>55</v>
      </c>
      <c r="S298" s="59" t="str">
        <f aca="false">IFERROR(VLOOKUP($A298,RA_result!$B$3:$N$62,4,0),"")</f>
        <v/>
      </c>
      <c r="T298" s="60" t="s">
        <v>56</v>
      </c>
      <c r="U298" s="59" t="str">
        <f aca="false">IFERROR(IF(VLOOKUP($A298,RA_result!$B$3:$N$62,6,0)="",S298*T298,VLOOKUP($A298,RA_result!$B$3:$N$62,6,0)),"")</f>
        <v/>
      </c>
      <c r="V298" s="61" t="s">
        <v>56</v>
      </c>
      <c r="W298" s="62" t="n">
        <f aca="false">IFERROR((S298*30%)/V298,0)</f>
        <v>0</v>
      </c>
      <c r="X298" s="63" t="n">
        <f aca="false">IFERROR(N298/W298,0)</f>
        <v>0</v>
      </c>
      <c r="Y298" s="68"/>
      <c r="Z298" s="57"/>
      <c r="AA298" s="69" t="str">
        <f aca="false">IF(OR(U298="",Y298="",Z298=""),"",IF(AND(U298&gt;Y298,-U298&lt;Z298),"Ok","Not Ok"))</f>
        <v/>
      </c>
      <c r="AB298" s="70"/>
    </row>
    <row r="299" customFormat="false" ht="12.8" hidden="false" customHeight="false" outlineLevel="0" collapsed="false">
      <c r="A299" s="48" t="n">
        <f aca="false">TB_audited!A282</f>
        <v>0</v>
      </c>
      <c r="B299" s="49"/>
      <c r="C299" s="50"/>
      <c r="D299" s="51" t="n">
        <f aca="false">TB_audited!B282</f>
        <v>0</v>
      </c>
      <c r="E299" s="52" t="n">
        <f aca="false">TB_audited!C282</f>
        <v>0</v>
      </c>
      <c r="F299" s="53" t="n">
        <f aca="false">TB_audited!D282</f>
        <v>0</v>
      </c>
      <c r="G299" s="54" t="n">
        <f aca="false">IF($D$8="Interim",TB_audited!G282,TB_audited!E282)</f>
        <v>0</v>
      </c>
      <c r="H299" s="55" t="str">
        <f aca="false">IFERROR(VLOOKUP($A299,RA_result!$B$3:$N$62,11,0),"")</f>
        <v/>
      </c>
      <c r="I299" s="55" t="str">
        <f aca="false">IFERROR(VLOOKUP($A299,RA_result!$B$3:$N$62,12,0),"")</f>
        <v/>
      </c>
      <c r="J299" s="55" t="str">
        <f aca="false">IFERROR(VLOOKUP($A299,RA_result!$B$3:$N$62,13,0),"")</f>
        <v/>
      </c>
      <c r="K299" s="56"/>
      <c r="L299" s="56"/>
      <c r="M299" s="57" t="n">
        <f aca="false">G299</f>
        <v>0</v>
      </c>
      <c r="N299" s="54" t="n">
        <f aca="false">G299-M299</f>
        <v>0</v>
      </c>
      <c r="O299" s="55" t="str">
        <f aca="false">IFERROR(VLOOKUP($A299,RA_result!$B$3:$N$62,7,0),"")</f>
        <v/>
      </c>
      <c r="P299" s="52" t="str">
        <f aca="false">IFERROR(VLOOKUP($A299,RA_result!$B$3:$N$62,9,0),"")</f>
        <v/>
      </c>
      <c r="Q299" s="52" t="str">
        <f aca="false">IFERROR(VLOOKUP($A299,RA_result!$B$3:$N$62,10,0),"")</f>
        <v/>
      </c>
      <c r="R299" s="58" t="s">
        <v>55</v>
      </c>
      <c r="S299" s="59" t="str">
        <f aca="false">IFERROR(VLOOKUP($A299,RA_result!$B$3:$N$62,4,0),"")</f>
        <v/>
      </c>
      <c r="T299" s="60" t="s">
        <v>56</v>
      </c>
      <c r="U299" s="59" t="str">
        <f aca="false">IFERROR(IF(VLOOKUP($A299,RA_result!$B$3:$N$62,6,0)="",S299*T299,VLOOKUP($A299,RA_result!$B$3:$N$62,6,0)),"")</f>
        <v/>
      </c>
      <c r="V299" s="61" t="s">
        <v>56</v>
      </c>
      <c r="W299" s="62" t="n">
        <f aca="false">IFERROR((S299*30%)/V299,0)</f>
        <v>0</v>
      </c>
      <c r="X299" s="63" t="n">
        <f aca="false">IFERROR(N299/W299,0)</f>
        <v>0</v>
      </c>
      <c r="Y299" s="68"/>
      <c r="Z299" s="57"/>
      <c r="AA299" s="69" t="str">
        <f aca="false">IF(OR(U299="",Y299="",Z299=""),"",IF(AND(U299&gt;Y299,-U299&lt;Z299),"Ok","Not Ok"))</f>
        <v/>
      </c>
      <c r="AB299" s="70"/>
    </row>
    <row r="300" customFormat="false" ht="12.8" hidden="false" customHeight="false" outlineLevel="0" collapsed="false">
      <c r="A300" s="48" t="n">
        <f aca="false">TB_audited!A283</f>
        <v>0</v>
      </c>
      <c r="B300" s="49"/>
      <c r="C300" s="50"/>
      <c r="D300" s="51" t="n">
        <f aca="false">TB_audited!B283</f>
        <v>0</v>
      </c>
      <c r="E300" s="52" t="n">
        <f aca="false">TB_audited!C283</f>
        <v>0</v>
      </c>
      <c r="F300" s="53" t="n">
        <f aca="false">TB_audited!D283</f>
        <v>0</v>
      </c>
      <c r="G300" s="54" t="n">
        <f aca="false">IF($D$8="Interim",TB_audited!G283,TB_audited!E283)</f>
        <v>0</v>
      </c>
      <c r="H300" s="55" t="str">
        <f aca="false">IFERROR(VLOOKUP($A300,RA_result!$B$3:$N$62,11,0),"")</f>
        <v/>
      </c>
      <c r="I300" s="55" t="str">
        <f aca="false">IFERROR(VLOOKUP($A300,RA_result!$B$3:$N$62,12,0),"")</f>
        <v/>
      </c>
      <c r="J300" s="55" t="str">
        <f aca="false">IFERROR(VLOOKUP($A300,RA_result!$B$3:$N$62,13,0),"")</f>
        <v/>
      </c>
      <c r="K300" s="56"/>
      <c r="L300" s="56"/>
      <c r="M300" s="57" t="n">
        <f aca="false">G300</f>
        <v>0</v>
      </c>
      <c r="N300" s="54" t="n">
        <f aca="false">G300-M300</f>
        <v>0</v>
      </c>
      <c r="O300" s="55" t="str">
        <f aca="false">IFERROR(VLOOKUP($A300,RA_result!$B$3:$N$62,7,0),"")</f>
        <v/>
      </c>
      <c r="P300" s="52" t="str">
        <f aca="false">IFERROR(VLOOKUP($A300,RA_result!$B$3:$N$62,9,0),"")</f>
        <v/>
      </c>
      <c r="Q300" s="52" t="str">
        <f aca="false">IFERROR(VLOOKUP($A300,RA_result!$B$3:$N$62,10,0),"")</f>
        <v/>
      </c>
      <c r="R300" s="58" t="s">
        <v>55</v>
      </c>
      <c r="S300" s="59" t="str">
        <f aca="false">IFERROR(VLOOKUP($A300,RA_result!$B$3:$N$62,4,0),"")</f>
        <v/>
      </c>
      <c r="T300" s="60" t="s">
        <v>56</v>
      </c>
      <c r="U300" s="59" t="str">
        <f aca="false">IFERROR(IF(VLOOKUP($A300,RA_result!$B$3:$N$62,6,0)="",S300*T300,VLOOKUP($A300,RA_result!$B$3:$N$62,6,0)),"")</f>
        <v/>
      </c>
      <c r="V300" s="61" t="s">
        <v>56</v>
      </c>
      <c r="W300" s="62" t="n">
        <f aca="false">IFERROR((S300*30%)/V300,0)</f>
        <v>0</v>
      </c>
      <c r="X300" s="63" t="n">
        <f aca="false">IFERROR(N300/W300,0)</f>
        <v>0</v>
      </c>
      <c r="Y300" s="68"/>
      <c r="Z300" s="57"/>
      <c r="AA300" s="69" t="str">
        <f aca="false">IF(OR(U300="",Y300="",Z300=""),"",IF(AND(U300&gt;Y300,-U300&lt;Z300),"Ok","Not Ok"))</f>
        <v/>
      </c>
      <c r="AB300" s="70"/>
    </row>
    <row r="301" customFormat="false" ht="12.8" hidden="false" customHeight="false" outlineLevel="0" collapsed="false">
      <c r="A301" s="48" t="n">
        <f aca="false">TB_audited!A284</f>
        <v>0</v>
      </c>
      <c r="B301" s="49"/>
      <c r="C301" s="50"/>
      <c r="D301" s="51" t="n">
        <f aca="false">TB_audited!B284</f>
        <v>0</v>
      </c>
      <c r="E301" s="52" t="n">
        <f aca="false">TB_audited!C284</f>
        <v>0</v>
      </c>
      <c r="F301" s="53" t="n">
        <f aca="false">TB_audited!D284</f>
        <v>0</v>
      </c>
      <c r="G301" s="54" t="n">
        <f aca="false">IF($D$8="Interim",TB_audited!G284,TB_audited!E284)</f>
        <v>0</v>
      </c>
      <c r="H301" s="55" t="str">
        <f aca="false">IFERROR(VLOOKUP($A301,RA_result!$B$3:$N$62,11,0),"")</f>
        <v/>
      </c>
      <c r="I301" s="55" t="str">
        <f aca="false">IFERROR(VLOOKUP($A301,RA_result!$B$3:$N$62,12,0),"")</f>
        <v/>
      </c>
      <c r="J301" s="55" t="str">
        <f aca="false">IFERROR(VLOOKUP($A301,RA_result!$B$3:$N$62,13,0),"")</f>
        <v/>
      </c>
      <c r="K301" s="56"/>
      <c r="L301" s="56"/>
      <c r="M301" s="57" t="n">
        <f aca="false">G301</f>
        <v>0</v>
      </c>
      <c r="N301" s="54" t="n">
        <f aca="false">G301-M301</f>
        <v>0</v>
      </c>
      <c r="O301" s="55" t="str">
        <f aca="false">IFERROR(VLOOKUP($A301,RA_result!$B$3:$N$62,7,0),"")</f>
        <v/>
      </c>
      <c r="P301" s="52" t="str">
        <f aca="false">IFERROR(VLOOKUP($A301,RA_result!$B$3:$N$62,9,0),"")</f>
        <v/>
      </c>
      <c r="Q301" s="52" t="str">
        <f aca="false">IFERROR(VLOOKUP($A301,RA_result!$B$3:$N$62,10,0),"")</f>
        <v/>
      </c>
      <c r="R301" s="58" t="s">
        <v>55</v>
      </c>
      <c r="S301" s="59" t="str">
        <f aca="false">IFERROR(VLOOKUP($A301,RA_result!$B$3:$N$62,4,0),"")</f>
        <v/>
      </c>
      <c r="T301" s="60" t="s">
        <v>56</v>
      </c>
      <c r="U301" s="59" t="str">
        <f aca="false">IFERROR(IF(VLOOKUP($A301,RA_result!$B$3:$N$62,6,0)="",S301*T301,VLOOKUP($A301,RA_result!$B$3:$N$62,6,0)),"")</f>
        <v/>
      </c>
      <c r="V301" s="61" t="s">
        <v>56</v>
      </c>
      <c r="W301" s="62" t="n">
        <f aca="false">IFERROR((S301*30%)/V301,0)</f>
        <v>0</v>
      </c>
      <c r="X301" s="63" t="n">
        <f aca="false">IFERROR(N301/W301,0)</f>
        <v>0</v>
      </c>
      <c r="Y301" s="68"/>
      <c r="Z301" s="57"/>
      <c r="AA301" s="69" t="str">
        <f aca="false">IF(OR(U301="",Y301="",Z301=""),"",IF(AND(U301&gt;Y301,-U301&lt;Z301),"Ok","Not Ok"))</f>
        <v/>
      </c>
      <c r="AB301" s="70"/>
    </row>
    <row r="302" customFormat="false" ht="12.8" hidden="false" customHeight="false" outlineLevel="0" collapsed="false">
      <c r="A302" s="48" t="n">
        <f aca="false">TB_audited!A285</f>
        <v>0</v>
      </c>
      <c r="B302" s="49"/>
      <c r="C302" s="50"/>
      <c r="D302" s="51" t="n">
        <f aca="false">TB_audited!B285</f>
        <v>0</v>
      </c>
      <c r="E302" s="52" t="n">
        <f aca="false">TB_audited!C285</f>
        <v>0</v>
      </c>
      <c r="F302" s="53" t="n">
        <f aca="false">TB_audited!D285</f>
        <v>0</v>
      </c>
      <c r="G302" s="54" t="n">
        <f aca="false">IF($D$8="Interim",TB_audited!G285,TB_audited!E285)</f>
        <v>0</v>
      </c>
      <c r="H302" s="55" t="str">
        <f aca="false">IFERROR(VLOOKUP($A302,RA_result!$B$3:$N$62,11,0),"")</f>
        <v/>
      </c>
      <c r="I302" s="55" t="str">
        <f aca="false">IFERROR(VLOOKUP($A302,RA_result!$B$3:$N$62,12,0),"")</f>
        <v/>
      </c>
      <c r="J302" s="55" t="str">
        <f aca="false">IFERROR(VLOOKUP($A302,RA_result!$B$3:$N$62,13,0),"")</f>
        <v/>
      </c>
      <c r="K302" s="56"/>
      <c r="L302" s="56"/>
      <c r="M302" s="57" t="n">
        <f aca="false">G302</f>
        <v>0</v>
      </c>
      <c r="N302" s="54" t="n">
        <f aca="false">G302-M302</f>
        <v>0</v>
      </c>
      <c r="O302" s="55" t="str">
        <f aca="false">IFERROR(VLOOKUP($A302,RA_result!$B$3:$N$62,7,0),"")</f>
        <v/>
      </c>
      <c r="P302" s="52" t="str">
        <f aca="false">IFERROR(VLOOKUP($A302,RA_result!$B$3:$N$62,9,0),"")</f>
        <v/>
      </c>
      <c r="Q302" s="52" t="str">
        <f aca="false">IFERROR(VLOOKUP($A302,RA_result!$B$3:$N$62,10,0),"")</f>
        <v/>
      </c>
      <c r="R302" s="58" t="s">
        <v>55</v>
      </c>
      <c r="S302" s="59" t="str">
        <f aca="false">IFERROR(VLOOKUP($A302,RA_result!$B$3:$N$62,4,0),"")</f>
        <v/>
      </c>
      <c r="T302" s="60" t="s">
        <v>56</v>
      </c>
      <c r="U302" s="59" t="str">
        <f aca="false">IFERROR(IF(VLOOKUP($A302,RA_result!$B$3:$N$62,6,0)="",S302*T302,VLOOKUP($A302,RA_result!$B$3:$N$62,6,0)),"")</f>
        <v/>
      </c>
      <c r="V302" s="61" t="s">
        <v>56</v>
      </c>
      <c r="W302" s="62" t="n">
        <f aca="false">IFERROR((S302*30%)/V302,0)</f>
        <v>0</v>
      </c>
      <c r="X302" s="63" t="n">
        <f aca="false">IFERROR(N302/W302,0)</f>
        <v>0</v>
      </c>
      <c r="Y302" s="68"/>
      <c r="Z302" s="57"/>
      <c r="AA302" s="69" t="str">
        <f aca="false">IF(OR(U302="",Y302="",Z302=""),"",IF(AND(U302&gt;Y302,-U302&lt;Z302),"Ok","Not Ok"))</f>
        <v/>
      </c>
      <c r="AB302" s="70"/>
    </row>
    <row r="303" customFormat="false" ht="12.8" hidden="false" customHeight="false" outlineLevel="0" collapsed="false">
      <c r="A303" s="48" t="n">
        <f aca="false">TB_audited!A286</f>
        <v>0</v>
      </c>
      <c r="B303" s="49"/>
      <c r="C303" s="50"/>
      <c r="D303" s="51" t="n">
        <f aca="false">TB_audited!B286</f>
        <v>0</v>
      </c>
      <c r="E303" s="52" t="n">
        <f aca="false">TB_audited!C286</f>
        <v>0</v>
      </c>
      <c r="F303" s="53" t="n">
        <f aca="false">TB_audited!D286</f>
        <v>0</v>
      </c>
      <c r="G303" s="54" t="n">
        <f aca="false">IF($D$8="Interim",TB_audited!G286,TB_audited!E286)</f>
        <v>0</v>
      </c>
      <c r="H303" s="55" t="str">
        <f aca="false">IFERROR(VLOOKUP($A303,RA_result!$B$3:$N$62,11,0),"")</f>
        <v/>
      </c>
      <c r="I303" s="55" t="str">
        <f aca="false">IFERROR(VLOOKUP($A303,RA_result!$B$3:$N$62,12,0),"")</f>
        <v/>
      </c>
      <c r="J303" s="55" t="str">
        <f aca="false">IFERROR(VLOOKUP($A303,RA_result!$B$3:$N$62,13,0),"")</f>
        <v/>
      </c>
      <c r="K303" s="56"/>
      <c r="L303" s="56"/>
      <c r="M303" s="57" t="n">
        <f aca="false">G303</f>
        <v>0</v>
      </c>
      <c r="N303" s="54" t="n">
        <f aca="false">G303-M303</f>
        <v>0</v>
      </c>
      <c r="O303" s="55" t="str">
        <f aca="false">IFERROR(VLOOKUP($A303,RA_result!$B$3:$N$62,7,0),"")</f>
        <v/>
      </c>
      <c r="P303" s="52" t="str">
        <f aca="false">IFERROR(VLOOKUP($A303,RA_result!$B$3:$N$62,9,0),"")</f>
        <v/>
      </c>
      <c r="Q303" s="52" t="str">
        <f aca="false">IFERROR(VLOOKUP($A303,RA_result!$B$3:$N$62,10,0),"")</f>
        <v/>
      </c>
      <c r="R303" s="58" t="s">
        <v>55</v>
      </c>
      <c r="S303" s="59" t="str">
        <f aca="false">IFERROR(VLOOKUP($A303,RA_result!$B$3:$N$62,4,0),"")</f>
        <v/>
      </c>
      <c r="T303" s="60" t="s">
        <v>56</v>
      </c>
      <c r="U303" s="59" t="str">
        <f aca="false">IFERROR(IF(VLOOKUP($A303,RA_result!$B$3:$N$62,6,0)="",S303*T303,VLOOKUP($A303,RA_result!$B$3:$N$62,6,0)),"")</f>
        <v/>
      </c>
      <c r="V303" s="61" t="s">
        <v>56</v>
      </c>
      <c r="W303" s="62" t="n">
        <f aca="false">IFERROR((S303*30%)/V303,0)</f>
        <v>0</v>
      </c>
      <c r="X303" s="63" t="n">
        <f aca="false">IFERROR(N303/W303,0)</f>
        <v>0</v>
      </c>
      <c r="Y303" s="68"/>
      <c r="Z303" s="57"/>
      <c r="AA303" s="69" t="str">
        <f aca="false">IF(OR(U303="",Y303="",Z303=""),"",IF(AND(U303&gt;Y303,-U303&lt;Z303),"Ok","Not Ok"))</f>
        <v/>
      </c>
      <c r="AB303" s="70"/>
    </row>
    <row r="304" customFormat="false" ht="12.8" hidden="false" customHeight="false" outlineLevel="0" collapsed="false">
      <c r="A304" s="48" t="n">
        <f aca="false">TB_audited!A287</f>
        <v>0</v>
      </c>
      <c r="B304" s="49"/>
      <c r="C304" s="50"/>
      <c r="D304" s="51" t="n">
        <f aca="false">TB_audited!B287</f>
        <v>0</v>
      </c>
      <c r="E304" s="52" t="n">
        <f aca="false">TB_audited!C287</f>
        <v>0</v>
      </c>
      <c r="F304" s="53" t="n">
        <f aca="false">TB_audited!D287</f>
        <v>0</v>
      </c>
      <c r="G304" s="54" t="n">
        <f aca="false">IF($D$8="Interim",TB_audited!G287,TB_audited!E287)</f>
        <v>0</v>
      </c>
      <c r="H304" s="55" t="str">
        <f aca="false">IFERROR(VLOOKUP($A304,RA_result!$B$3:$N$62,11,0),"")</f>
        <v/>
      </c>
      <c r="I304" s="55" t="str">
        <f aca="false">IFERROR(VLOOKUP($A304,RA_result!$B$3:$N$62,12,0),"")</f>
        <v/>
      </c>
      <c r="J304" s="55" t="str">
        <f aca="false">IFERROR(VLOOKUP($A304,RA_result!$B$3:$N$62,13,0),"")</f>
        <v/>
      </c>
      <c r="K304" s="56"/>
      <c r="L304" s="56"/>
      <c r="M304" s="57" t="n">
        <f aca="false">G304</f>
        <v>0</v>
      </c>
      <c r="N304" s="54" t="n">
        <f aca="false">G304-M304</f>
        <v>0</v>
      </c>
      <c r="O304" s="55" t="str">
        <f aca="false">IFERROR(VLOOKUP($A304,RA_result!$B$3:$N$62,7,0),"")</f>
        <v/>
      </c>
      <c r="P304" s="52" t="str">
        <f aca="false">IFERROR(VLOOKUP($A304,RA_result!$B$3:$N$62,9,0),"")</f>
        <v/>
      </c>
      <c r="Q304" s="52" t="str">
        <f aca="false">IFERROR(VLOOKUP($A304,RA_result!$B$3:$N$62,10,0),"")</f>
        <v/>
      </c>
      <c r="R304" s="58" t="s">
        <v>55</v>
      </c>
      <c r="S304" s="59" t="str">
        <f aca="false">IFERROR(VLOOKUP($A304,RA_result!$B$3:$N$62,4,0),"")</f>
        <v/>
      </c>
      <c r="T304" s="60" t="s">
        <v>56</v>
      </c>
      <c r="U304" s="59" t="str">
        <f aca="false">IFERROR(IF(VLOOKUP($A304,RA_result!$B$3:$N$62,6,0)="",S304*T304,VLOOKUP($A304,RA_result!$B$3:$N$62,6,0)),"")</f>
        <v/>
      </c>
      <c r="V304" s="61" t="s">
        <v>56</v>
      </c>
      <c r="W304" s="62" t="n">
        <f aca="false">IFERROR((S304*30%)/V304,0)</f>
        <v>0</v>
      </c>
      <c r="X304" s="63" t="n">
        <f aca="false">IFERROR(N304/W304,0)</f>
        <v>0</v>
      </c>
      <c r="Y304" s="68"/>
      <c r="Z304" s="57"/>
      <c r="AA304" s="69" t="str">
        <f aca="false">IF(OR(U304="",Y304="",Z304=""),"",IF(AND(U304&gt;Y304,-U304&lt;Z304),"Ok","Not Ok"))</f>
        <v/>
      </c>
      <c r="AB304" s="70"/>
    </row>
    <row r="305" customFormat="false" ht="12.8" hidden="false" customHeight="false" outlineLevel="0" collapsed="false">
      <c r="A305" s="48" t="n">
        <f aca="false">TB_audited!A288</f>
        <v>0</v>
      </c>
      <c r="B305" s="49"/>
      <c r="C305" s="50"/>
      <c r="D305" s="51" t="n">
        <f aca="false">TB_audited!B288</f>
        <v>0</v>
      </c>
      <c r="E305" s="52" t="n">
        <f aca="false">TB_audited!C288</f>
        <v>0</v>
      </c>
      <c r="F305" s="53" t="n">
        <f aca="false">TB_audited!D288</f>
        <v>0</v>
      </c>
      <c r="G305" s="54" t="n">
        <f aca="false">IF($D$8="Interim",TB_audited!G288,TB_audited!E288)</f>
        <v>0</v>
      </c>
      <c r="H305" s="55" t="str">
        <f aca="false">IFERROR(VLOOKUP($A305,RA_result!$B$3:$N$62,11,0),"")</f>
        <v/>
      </c>
      <c r="I305" s="55" t="str">
        <f aca="false">IFERROR(VLOOKUP($A305,RA_result!$B$3:$N$62,12,0),"")</f>
        <v/>
      </c>
      <c r="J305" s="55" t="str">
        <f aca="false">IFERROR(VLOOKUP($A305,RA_result!$B$3:$N$62,13,0),"")</f>
        <v/>
      </c>
      <c r="K305" s="56"/>
      <c r="L305" s="56"/>
      <c r="M305" s="57" t="n">
        <f aca="false">G305</f>
        <v>0</v>
      </c>
      <c r="N305" s="54" t="n">
        <f aca="false">G305-M305</f>
        <v>0</v>
      </c>
      <c r="O305" s="55" t="str">
        <f aca="false">IFERROR(VLOOKUP($A305,RA_result!$B$3:$N$62,7,0),"")</f>
        <v/>
      </c>
      <c r="P305" s="52" t="str">
        <f aca="false">IFERROR(VLOOKUP($A305,RA_result!$B$3:$N$62,9,0),"")</f>
        <v/>
      </c>
      <c r="Q305" s="52" t="str">
        <f aca="false">IFERROR(VLOOKUP($A305,RA_result!$B$3:$N$62,10,0),"")</f>
        <v/>
      </c>
      <c r="R305" s="58" t="s">
        <v>55</v>
      </c>
      <c r="S305" s="59" t="str">
        <f aca="false">IFERROR(VLOOKUP($A305,RA_result!$B$3:$N$62,4,0),"")</f>
        <v/>
      </c>
      <c r="T305" s="60" t="s">
        <v>56</v>
      </c>
      <c r="U305" s="59" t="str">
        <f aca="false">IFERROR(IF(VLOOKUP($A305,RA_result!$B$3:$N$62,6,0)="",S305*T305,VLOOKUP($A305,RA_result!$B$3:$N$62,6,0)),"")</f>
        <v/>
      </c>
      <c r="V305" s="61" t="s">
        <v>56</v>
      </c>
      <c r="W305" s="62" t="n">
        <f aca="false">IFERROR((S305*30%)/V305,0)</f>
        <v>0</v>
      </c>
      <c r="X305" s="63" t="n">
        <f aca="false">IFERROR(N305/W305,0)</f>
        <v>0</v>
      </c>
      <c r="Y305" s="68"/>
      <c r="Z305" s="57"/>
      <c r="AA305" s="69" t="str">
        <f aca="false">IF(OR(U305="",Y305="",Z305=""),"",IF(AND(U305&gt;Y305,-U305&lt;Z305),"Ok","Not Ok"))</f>
        <v/>
      </c>
      <c r="AB305" s="70"/>
    </row>
    <row r="306" customFormat="false" ht="12.8" hidden="false" customHeight="false" outlineLevel="0" collapsed="false">
      <c r="A306" s="48" t="n">
        <f aca="false">TB_audited!A289</f>
        <v>0</v>
      </c>
      <c r="B306" s="49"/>
      <c r="C306" s="50"/>
      <c r="D306" s="51" t="n">
        <f aca="false">TB_audited!B289</f>
        <v>0</v>
      </c>
      <c r="E306" s="52" t="n">
        <f aca="false">TB_audited!C289</f>
        <v>0</v>
      </c>
      <c r="F306" s="53" t="n">
        <f aca="false">TB_audited!D289</f>
        <v>0</v>
      </c>
      <c r="G306" s="54" t="n">
        <f aca="false">IF($D$8="Interim",TB_audited!G289,TB_audited!E289)</f>
        <v>0</v>
      </c>
      <c r="H306" s="55" t="str">
        <f aca="false">IFERROR(VLOOKUP($A306,RA_result!$B$3:$N$62,11,0),"")</f>
        <v/>
      </c>
      <c r="I306" s="55" t="str">
        <f aca="false">IFERROR(VLOOKUP($A306,RA_result!$B$3:$N$62,12,0),"")</f>
        <v/>
      </c>
      <c r="J306" s="55" t="str">
        <f aca="false">IFERROR(VLOOKUP($A306,RA_result!$B$3:$N$62,13,0),"")</f>
        <v/>
      </c>
      <c r="K306" s="56"/>
      <c r="L306" s="56"/>
      <c r="M306" s="57" t="n">
        <f aca="false">G306</f>
        <v>0</v>
      </c>
      <c r="N306" s="54" t="n">
        <f aca="false">G306-M306</f>
        <v>0</v>
      </c>
      <c r="O306" s="55" t="str">
        <f aca="false">IFERROR(VLOOKUP($A306,RA_result!$B$3:$N$62,7,0),"")</f>
        <v/>
      </c>
      <c r="P306" s="52" t="str">
        <f aca="false">IFERROR(VLOOKUP($A306,RA_result!$B$3:$N$62,9,0),"")</f>
        <v/>
      </c>
      <c r="Q306" s="52" t="str">
        <f aca="false">IFERROR(VLOOKUP($A306,RA_result!$B$3:$N$62,10,0),"")</f>
        <v/>
      </c>
      <c r="R306" s="58" t="s">
        <v>55</v>
      </c>
      <c r="S306" s="59" t="str">
        <f aca="false">IFERROR(VLOOKUP($A306,RA_result!$B$3:$N$62,4,0),"")</f>
        <v/>
      </c>
      <c r="T306" s="60" t="s">
        <v>56</v>
      </c>
      <c r="U306" s="59" t="str">
        <f aca="false">IFERROR(IF(VLOOKUP($A306,RA_result!$B$3:$N$62,6,0)="",S306*T306,VLOOKUP($A306,RA_result!$B$3:$N$62,6,0)),"")</f>
        <v/>
      </c>
      <c r="V306" s="61" t="s">
        <v>56</v>
      </c>
      <c r="W306" s="62" t="n">
        <f aca="false">IFERROR((S306*30%)/V306,0)</f>
        <v>0</v>
      </c>
      <c r="X306" s="63" t="n">
        <f aca="false">IFERROR(N306/W306,0)</f>
        <v>0</v>
      </c>
      <c r="Y306" s="68"/>
      <c r="Z306" s="57"/>
      <c r="AA306" s="69" t="str">
        <f aca="false">IF(OR(U306="",Y306="",Z306=""),"",IF(AND(U306&gt;Y306,-U306&lt;Z306),"Ok","Not Ok"))</f>
        <v/>
      </c>
      <c r="AB306" s="70"/>
    </row>
    <row r="307" customFormat="false" ht="12.8" hidden="false" customHeight="false" outlineLevel="0" collapsed="false">
      <c r="A307" s="48" t="n">
        <f aca="false">TB_audited!A290</f>
        <v>0</v>
      </c>
      <c r="B307" s="49"/>
      <c r="C307" s="50"/>
      <c r="D307" s="51" t="n">
        <f aca="false">TB_audited!B290</f>
        <v>0</v>
      </c>
      <c r="E307" s="52" t="n">
        <f aca="false">TB_audited!C290</f>
        <v>0</v>
      </c>
      <c r="F307" s="53" t="n">
        <f aca="false">TB_audited!D290</f>
        <v>0</v>
      </c>
      <c r="G307" s="54" t="n">
        <f aca="false">IF($D$8="Interim",TB_audited!G290,TB_audited!E290)</f>
        <v>0</v>
      </c>
      <c r="H307" s="55" t="str">
        <f aca="false">IFERROR(VLOOKUP($A307,RA_result!$B$3:$N$62,11,0),"")</f>
        <v/>
      </c>
      <c r="I307" s="55" t="str">
        <f aca="false">IFERROR(VLOOKUP($A307,RA_result!$B$3:$N$62,12,0),"")</f>
        <v/>
      </c>
      <c r="J307" s="55" t="str">
        <f aca="false">IFERROR(VLOOKUP($A307,RA_result!$B$3:$N$62,13,0),"")</f>
        <v/>
      </c>
      <c r="K307" s="56"/>
      <c r="L307" s="56"/>
      <c r="M307" s="57" t="n">
        <f aca="false">G307</f>
        <v>0</v>
      </c>
      <c r="N307" s="54" t="n">
        <f aca="false">G307-M307</f>
        <v>0</v>
      </c>
      <c r="O307" s="55" t="str">
        <f aca="false">IFERROR(VLOOKUP($A307,RA_result!$B$3:$N$62,7,0),"")</f>
        <v/>
      </c>
      <c r="P307" s="52" t="str">
        <f aca="false">IFERROR(VLOOKUP($A307,RA_result!$B$3:$N$62,9,0),"")</f>
        <v/>
      </c>
      <c r="Q307" s="52" t="str">
        <f aca="false">IFERROR(VLOOKUP($A307,RA_result!$B$3:$N$62,10,0),"")</f>
        <v/>
      </c>
      <c r="R307" s="58" t="s">
        <v>55</v>
      </c>
      <c r="S307" s="59" t="str">
        <f aca="false">IFERROR(VLOOKUP($A307,RA_result!$B$3:$N$62,4,0),"")</f>
        <v/>
      </c>
      <c r="T307" s="60" t="s">
        <v>56</v>
      </c>
      <c r="U307" s="59" t="str">
        <f aca="false">IFERROR(IF(VLOOKUP($A307,RA_result!$B$3:$N$62,6,0)="",S307*T307,VLOOKUP($A307,RA_result!$B$3:$N$62,6,0)),"")</f>
        <v/>
      </c>
      <c r="V307" s="61" t="s">
        <v>56</v>
      </c>
      <c r="W307" s="62" t="n">
        <f aca="false">IFERROR((S307*30%)/V307,0)</f>
        <v>0</v>
      </c>
      <c r="X307" s="63" t="n">
        <f aca="false">IFERROR(N307/W307,0)</f>
        <v>0</v>
      </c>
      <c r="Y307" s="68"/>
      <c r="Z307" s="57"/>
      <c r="AA307" s="69" t="str">
        <f aca="false">IF(OR(U307="",Y307="",Z307=""),"",IF(AND(U307&gt;Y307,-U307&lt;Z307),"Ok","Not Ok"))</f>
        <v/>
      </c>
      <c r="AB307" s="70"/>
    </row>
    <row r="308" customFormat="false" ht="12.8" hidden="false" customHeight="false" outlineLevel="0" collapsed="false">
      <c r="A308" s="48" t="n">
        <f aca="false">TB_audited!A291</f>
        <v>0</v>
      </c>
      <c r="B308" s="49"/>
      <c r="C308" s="50"/>
      <c r="D308" s="51" t="n">
        <f aca="false">TB_audited!B291</f>
        <v>0</v>
      </c>
      <c r="E308" s="52" t="n">
        <f aca="false">TB_audited!C291</f>
        <v>0</v>
      </c>
      <c r="F308" s="53" t="n">
        <f aca="false">TB_audited!D291</f>
        <v>0</v>
      </c>
      <c r="G308" s="54" t="n">
        <f aca="false">IF($D$8="Interim",TB_audited!G291,TB_audited!E291)</f>
        <v>0</v>
      </c>
      <c r="H308" s="55" t="str">
        <f aca="false">IFERROR(VLOOKUP($A308,RA_result!$B$3:$N$62,11,0),"")</f>
        <v/>
      </c>
      <c r="I308" s="55" t="str">
        <f aca="false">IFERROR(VLOOKUP($A308,RA_result!$B$3:$N$62,12,0),"")</f>
        <v/>
      </c>
      <c r="J308" s="55" t="str">
        <f aca="false">IFERROR(VLOOKUP($A308,RA_result!$B$3:$N$62,13,0),"")</f>
        <v/>
      </c>
      <c r="K308" s="56"/>
      <c r="L308" s="56"/>
      <c r="M308" s="57" t="n">
        <f aca="false">G308</f>
        <v>0</v>
      </c>
      <c r="N308" s="54" t="n">
        <f aca="false">G308-M308</f>
        <v>0</v>
      </c>
      <c r="O308" s="55" t="str">
        <f aca="false">IFERROR(VLOOKUP($A308,RA_result!$B$3:$N$62,7,0),"")</f>
        <v/>
      </c>
      <c r="P308" s="52" t="str">
        <f aca="false">IFERROR(VLOOKUP($A308,RA_result!$B$3:$N$62,9,0),"")</f>
        <v/>
      </c>
      <c r="Q308" s="52" t="str">
        <f aca="false">IFERROR(VLOOKUP($A308,RA_result!$B$3:$N$62,10,0),"")</f>
        <v/>
      </c>
      <c r="R308" s="58" t="s">
        <v>55</v>
      </c>
      <c r="S308" s="59" t="str">
        <f aca="false">IFERROR(VLOOKUP($A308,RA_result!$B$3:$N$62,4,0),"")</f>
        <v/>
      </c>
      <c r="T308" s="60" t="s">
        <v>56</v>
      </c>
      <c r="U308" s="59" t="str">
        <f aca="false">IFERROR(IF(VLOOKUP($A308,RA_result!$B$3:$N$62,6,0)="",S308*T308,VLOOKUP($A308,RA_result!$B$3:$N$62,6,0)),"")</f>
        <v/>
      </c>
      <c r="V308" s="61" t="s">
        <v>56</v>
      </c>
      <c r="W308" s="62" t="n">
        <f aca="false">IFERROR((S308*30%)/V308,0)</f>
        <v>0</v>
      </c>
      <c r="X308" s="63" t="n">
        <f aca="false">IFERROR(N308/W308,0)</f>
        <v>0</v>
      </c>
      <c r="Y308" s="68"/>
      <c r="Z308" s="57"/>
      <c r="AA308" s="69" t="str">
        <f aca="false">IF(OR(U308="",Y308="",Z308=""),"",IF(AND(U308&gt;Y308,-U308&lt;Z308),"Ok","Not Ok"))</f>
        <v/>
      </c>
      <c r="AB308" s="70"/>
    </row>
    <row r="309" customFormat="false" ht="12.8" hidden="false" customHeight="false" outlineLevel="0" collapsed="false">
      <c r="A309" s="48" t="n">
        <f aca="false">TB_audited!A292</f>
        <v>0</v>
      </c>
      <c r="B309" s="49"/>
      <c r="C309" s="50"/>
      <c r="D309" s="51" t="n">
        <f aca="false">TB_audited!B292</f>
        <v>0</v>
      </c>
      <c r="E309" s="52" t="n">
        <f aca="false">TB_audited!C292</f>
        <v>0</v>
      </c>
      <c r="F309" s="53" t="n">
        <f aca="false">TB_audited!D292</f>
        <v>0</v>
      </c>
      <c r="G309" s="54" t="n">
        <f aca="false">IF($D$8="Interim",TB_audited!G292,TB_audited!E292)</f>
        <v>0</v>
      </c>
      <c r="H309" s="55" t="str">
        <f aca="false">IFERROR(VLOOKUP($A309,RA_result!$B$3:$N$62,11,0),"")</f>
        <v/>
      </c>
      <c r="I309" s="55" t="str">
        <f aca="false">IFERROR(VLOOKUP($A309,RA_result!$B$3:$N$62,12,0),"")</f>
        <v/>
      </c>
      <c r="J309" s="55" t="str">
        <f aca="false">IFERROR(VLOOKUP($A309,RA_result!$B$3:$N$62,13,0),"")</f>
        <v/>
      </c>
      <c r="K309" s="56"/>
      <c r="L309" s="56"/>
      <c r="M309" s="57" t="n">
        <f aca="false">G309</f>
        <v>0</v>
      </c>
      <c r="N309" s="54" t="n">
        <f aca="false">G309-M309</f>
        <v>0</v>
      </c>
      <c r="O309" s="55" t="str">
        <f aca="false">IFERROR(VLOOKUP($A309,RA_result!$B$3:$N$62,7,0),"")</f>
        <v/>
      </c>
      <c r="P309" s="52" t="str">
        <f aca="false">IFERROR(VLOOKUP($A309,RA_result!$B$3:$N$62,9,0),"")</f>
        <v/>
      </c>
      <c r="Q309" s="52" t="str">
        <f aca="false">IFERROR(VLOOKUP($A309,RA_result!$B$3:$N$62,10,0),"")</f>
        <v/>
      </c>
      <c r="R309" s="58" t="s">
        <v>55</v>
      </c>
      <c r="S309" s="59" t="str">
        <f aca="false">IFERROR(VLOOKUP($A309,RA_result!$B$3:$N$62,4,0),"")</f>
        <v/>
      </c>
      <c r="T309" s="60" t="s">
        <v>56</v>
      </c>
      <c r="U309" s="59" t="str">
        <f aca="false">IFERROR(IF(VLOOKUP($A309,RA_result!$B$3:$N$62,6,0)="",S309*T309,VLOOKUP($A309,RA_result!$B$3:$N$62,6,0)),"")</f>
        <v/>
      </c>
      <c r="V309" s="61" t="s">
        <v>56</v>
      </c>
      <c r="W309" s="62" t="n">
        <f aca="false">IFERROR((S309*30%)/V309,0)</f>
        <v>0</v>
      </c>
      <c r="X309" s="63" t="n">
        <f aca="false">IFERROR(N309/W309,0)</f>
        <v>0</v>
      </c>
      <c r="Y309" s="68"/>
      <c r="Z309" s="57"/>
      <c r="AA309" s="69" t="str">
        <f aca="false">IF(OR(U309="",Y309="",Z309=""),"",IF(AND(U309&gt;Y309,-U309&lt;Z309),"Ok","Not Ok"))</f>
        <v/>
      </c>
      <c r="AB309" s="70"/>
    </row>
    <row r="310" customFormat="false" ht="12.8" hidden="false" customHeight="false" outlineLevel="0" collapsed="false">
      <c r="A310" s="48" t="n">
        <f aca="false">TB_audited!A293</f>
        <v>0</v>
      </c>
      <c r="B310" s="49"/>
      <c r="C310" s="50"/>
      <c r="D310" s="51" t="n">
        <f aca="false">TB_audited!B293</f>
        <v>0</v>
      </c>
      <c r="E310" s="52" t="n">
        <f aca="false">TB_audited!C293</f>
        <v>0</v>
      </c>
      <c r="F310" s="53" t="n">
        <f aca="false">TB_audited!D293</f>
        <v>0</v>
      </c>
      <c r="G310" s="54" t="n">
        <f aca="false">IF($D$8="Interim",TB_audited!G293,TB_audited!E293)</f>
        <v>0</v>
      </c>
      <c r="H310" s="55" t="str">
        <f aca="false">IFERROR(VLOOKUP($A310,RA_result!$B$3:$N$62,11,0),"")</f>
        <v/>
      </c>
      <c r="I310" s="55" t="str">
        <f aca="false">IFERROR(VLOOKUP($A310,RA_result!$B$3:$N$62,12,0),"")</f>
        <v/>
      </c>
      <c r="J310" s="55" t="str">
        <f aca="false">IFERROR(VLOOKUP($A310,RA_result!$B$3:$N$62,13,0),"")</f>
        <v/>
      </c>
      <c r="K310" s="56"/>
      <c r="L310" s="56"/>
      <c r="M310" s="57" t="n">
        <f aca="false">G310</f>
        <v>0</v>
      </c>
      <c r="N310" s="54" t="n">
        <f aca="false">G310-M310</f>
        <v>0</v>
      </c>
      <c r="O310" s="55" t="str">
        <f aca="false">IFERROR(VLOOKUP($A310,RA_result!$B$3:$N$62,7,0),"")</f>
        <v/>
      </c>
      <c r="P310" s="52" t="str">
        <f aca="false">IFERROR(VLOOKUP($A310,RA_result!$B$3:$N$62,9,0),"")</f>
        <v/>
      </c>
      <c r="Q310" s="52" t="str">
        <f aca="false">IFERROR(VLOOKUP($A310,RA_result!$B$3:$N$62,10,0),"")</f>
        <v/>
      </c>
      <c r="R310" s="58" t="s">
        <v>55</v>
      </c>
      <c r="S310" s="59" t="str">
        <f aca="false">IFERROR(VLOOKUP($A310,RA_result!$B$3:$N$62,4,0),"")</f>
        <v/>
      </c>
      <c r="T310" s="60" t="s">
        <v>56</v>
      </c>
      <c r="U310" s="59" t="str">
        <f aca="false">IFERROR(IF(VLOOKUP($A310,RA_result!$B$3:$N$62,6,0)="",S310*T310,VLOOKUP($A310,RA_result!$B$3:$N$62,6,0)),"")</f>
        <v/>
      </c>
      <c r="V310" s="61" t="s">
        <v>56</v>
      </c>
      <c r="W310" s="62" t="n">
        <f aca="false">IFERROR((S310*30%)/V310,0)</f>
        <v>0</v>
      </c>
      <c r="X310" s="63" t="n">
        <f aca="false">IFERROR(N310/W310,0)</f>
        <v>0</v>
      </c>
      <c r="Y310" s="68"/>
      <c r="Z310" s="57"/>
      <c r="AA310" s="69" t="str">
        <f aca="false">IF(OR(U310="",Y310="",Z310=""),"",IF(AND(U310&gt;Y310,-U310&lt;Z310),"Ok","Not Ok"))</f>
        <v/>
      </c>
      <c r="AB310" s="70"/>
    </row>
    <row r="311" customFormat="false" ht="12.8" hidden="false" customHeight="false" outlineLevel="0" collapsed="false">
      <c r="A311" s="48" t="n">
        <f aca="false">TB_audited!A294</f>
        <v>0</v>
      </c>
      <c r="B311" s="49"/>
      <c r="C311" s="50"/>
      <c r="D311" s="51" t="n">
        <f aca="false">TB_audited!B294</f>
        <v>0</v>
      </c>
      <c r="E311" s="52" t="n">
        <f aca="false">TB_audited!C294</f>
        <v>0</v>
      </c>
      <c r="F311" s="53" t="n">
        <f aca="false">TB_audited!D294</f>
        <v>0</v>
      </c>
      <c r="G311" s="54" t="n">
        <f aca="false">IF($D$8="Interim",TB_audited!G294,TB_audited!E294)</f>
        <v>0</v>
      </c>
      <c r="H311" s="55" t="str">
        <f aca="false">IFERROR(VLOOKUP($A311,RA_result!$B$3:$N$62,11,0),"")</f>
        <v/>
      </c>
      <c r="I311" s="55" t="str">
        <f aca="false">IFERROR(VLOOKUP($A311,RA_result!$B$3:$N$62,12,0),"")</f>
        <v/>
      </c>
      <c r="J311" s="55" t="str">
        <f aca="false">IFERROR(VLOOKUP($A311,RA_result!$B$3:$N$62,13,0),"")</f>
        <v/>
      </c>
      <c r="K311" s="56"/>
      <c r="L311" s="56"/>
      <c r="M311" s="57" t="n">
        <f aca="false">G311</f>
        <v>0</v>
      </c>
      <c r="N311" s="54" t="n">
        <f aca="false">G311-M311</f>
        <v>0</v>
      </c>
      <c r="O311" s="55" t="str">
        <f aca="false">IFERROR(VLOOKUP($A311,RA_result!$B$3:$N$62,7,0),"")</f>
        <v/>
      </c>
      <c r="P311" s="52" t="str">
        <f aca="false">IFERROR(VLOOKUP($A311,RA_result!$B$3:$N$62,9,0),"")</f>
        <v/>
      </c>
      <c r="Q311" s="52" t="str">
        <f aca="false">IFERROR(VLOOKUP($A311,RA_result!$B$3:$N$62,10,0),"")</f>
        <v/>
      </c>
      <c r="R311" s="58" t="s">
        <v>55</v>
      </c>
      <c r="S311" s="59" t="str">
        <f aca="false">IFERROR(VLOOKUP($A311,RA_result!$B$3:$N$62,4,0),"")</f>
        <v/>
      </c>
      <c r="T311" s="60" t="s">
        <v>56</v>
      </c>
      <c r="U311" s="59" t="str">
        <f aca="false">IFERROR(IF(VLOOKUP($A311,RA_result!$B$3:$N$62,6,0)="",S311*T311,VLOOKUP($A311,RA_result!$B$3:$N$62,6,0)),"")</f>
        <v/>
      </c>
      <c r="V311" s="61" t="s">
        <v>56</v>
      </c>
      <c r="W311" s="62" t="n">
        <f aca="false">IFERROR((S311*30%)/V311,0)</f>
        <v>0</v>
      </c>
      <c r="X311" s="63" t="n">
        <f aca="false">IFERROR(N311/W311,0)</f>
        <v>0</v>
      </c>
      <c r="Y311" s="68"/>
      <c r="Z311" s="57"/>
      <c r="AA311" s="69" t="str">
        <f aca="false">IF(OR(U311="",Y311="",Z311=""),"",IF(AND(U311&gt;Y311,-U311&lt;Z311),"Ok","Not Ok"))</f>
        <v/>
      </c>
      <c r="AB311" s="70"/>
    </row>
    <row r="312" customFormat="false" ht="12.8" hidden="false" customHeight="false" outlineLevel="0" collapsed="false">
      <c r="A312" s="48" t="n">
        <f aca="false">TB_audited!A295</f>
        <v>0</v>
      </c>
      <c r="B312" s="49"/>
      <c r="C312" s="50"/>
      <c r="D312" s="51" t="n">
        <f aca="false">TB_audited!B295</f>
        <v>0</v>
      </c>
      <c r="E312" s="52" t="n">
        <f aca="false">TB_audited!C295</f>
        <v>0</v>
      </c>
      <c r="F312" s="53" t="n">
        <f aca="false">TB_audited!D295</f>
        <v>0</v>
      </c>
      <c r="G312" s="54" t="n">
        <f aca="false">IF($D$8="Interim",TB_audited!G295,TB_audited!E295)</f>
        <v>0</v>
      </c>
      <c r="H312" s="55" t="str">
        <f aca="false">IFERROR(VLOOKUP($A312,RA_result!$B$3:$N$62,11,0),"")</f>
        <v/>
      </c>
      <c r="I312" s="55" t="str">
        <f aca="false">IFERROR(VLOOKUP($A312,RA_result!$B$3:$N$62,12,0),"")</f>
        <v/>
      </c>
      <c r="J312" s="55" t="str">
        <f aca="false">IFERROR(VLOOKUP($A312,RA_result!$B$3:$N$62,13,0),"")</f>
        <v/>
      </c>
      <c r="K312" s="56"/>
      <c r="L312" s="56"/>
      <c r="M312" s="57" t="n">
        <f aca="false">G312</f>
        <v>0</v>
      </c>
      <c r="N312" s="54" t="n">
        <f aca="false">G312-M312</f>
        <v>0</v>
      </c>
      <c r="O312" s="55" t="str">
        <f aca="false">IFERROR(VLOOKUP($A312,RA_result!$B$3:$N$62,7,0),"")</f>
        <v/>
      </c>
      <c r="P312" s="52" t="str">
        <f aca="false">IFERROR(VLOOKUP($A312,RA_result!$B$3:$N$62,9,0),"")</f>
        <v/>
      </c>
      <c r="Q312" s="52" t="str">
        <f aca="false">IFERROR(VLOOKUP($A312,RA_result!$B$3:$N$62,10,0),"")</f>
        <v/>
      </c>
      <c r="R312" s="58" t="s">
        <v>55</v>
      </c>
      <c r="S312" s="59" t="str">
        <f aca="false">IFERROR(VLOOKUP($A312,RA_result!$B$3:$N$62,4,0),"")</f>
        <v/>
      </c>
      <c r="T312" s="60" t="s">
        <v>56</v>
      </c>
      <c r="U312" s="59" t="str">
        <f aca="false">IFERROR(IF(VLOOKUP($A312,RA_result!$B$3:$N$62,6,0)="",S312*T312,VLOOKUP($A312,RA_result!$B$3:$N$62,6,0)),"")</f>
        <v/>
      </c>
      <c r="V312" s="61" t="s">
        <v>56</v>
      </c>
      <c r="W312" s="62" t="n">
        <f aca="false">IFERROR((S312*30%)/V312,0)</f>
        <v>0</v>
      </c>
      <c r="X312" s="63" t="n">
        <f aca="false">IFERROR(N312/W312,0)</f>
        <v>0</v>
      </c>
      <c r="Y312" s="68"/>
      <c r="Z312" s="57"/>
      <c r="AA312" s="69" t="str">
        <f aca="false">IF(OR(U312="",Y312="",Z312=""),"",IF(AND(U312&gt;Y312,-U312&lt;Z312),"Ok","Not Ok"))</f>
        <v/>
      </c>
      <c r="AB312" s="70"/>
    </row>
    <row r="313" customFormat="false" ht="12.8" hidden="false" customHeight="false" outlineLevel="0" collapsed="false">
      <c r="A313" s="48" t="n">
        <f aca="false">TB_audited!A296</f>
        <v>0</v>
      </c>
      <c r="B313" s="49"/>
      <c r="C313" s="50"/>
      <c r="D313" s="51" t="n">
        <f aca="false">TB_audited!B296</f>
        <v>0</v>
      </c>
      <c r="E313" s="52" t="n">
        <f aca="false">TB_audited!C296</f>
        <v>0</v>
      </c>
      <c r="F313" s="53" t="n">
        <f aca="false">TB_audited!D296</f>
        <v>0</v>
      </c>
      <c r="G313" s="54" t="n">
        <f aca="false">IF($D$8="Interim",TB_audited!G296,TB_audited!E296)</f>
        <v>0</v>
      </c>
      <c r="H313" s="55" t="str">
        <f aca="false">IFERROR(VLOOKUP($A313,RA_result!$B$3:$N$62,11,0),"")</f>
        <v/>
      </c>
      <c r="I313" s="55" t="str">
        <f aca="false">IFERROR(VLOOKUP($A313,RA_result!$B$3:$N$62,12,0),"")</f>
        <v/>
      </c>
      <c r="J313" s="55" t="str">
        <f aca="false">IFERROR(VLOOKUP($A313,RA_result!$B$3:$N$62,13,0),"")</f>
        <v/>
      </c>
      <c r="K313" s="56"/>
      <c r="L313" s="56"/>
      <c r="M313" s="57" t="n">
        <f aca="false">G313</f>
        <v>0</v>
      </c>
      <c r="N313" s="54" t="n">
        <f aca="false">G313-M313</f>
        <v>0</v>
      </c>
      <c r="O313" s="55" t="str">
        <f aca="false">IFERROR(VLOOKUP($A313,RA_result!$B$3:$N$62,7,0),"")</f>
        <v/>
      </c>
      <c r="P313" s="52" t="str">
        <f aca="false">IFERROR(VLOOKUP($A313,RA_result!$B$3:$N$62,9,0),"")</f>
        <v/>
      </c>
      <c r="Q313" s="52" t="str">
        <f aca="false">IFERROR(VLOOKUP($A313,RA_result!$B$3:$N$62,10,0),"")</f>
        <v/>
      </c>
      <c r="R313" s="58" t="s">
        <v>55</v>
      </c>
      <c r="S313" s="59" t="str">
        <f aca="false">IFERROR(VLOOKUP($A313,RA_result!$B$3:$N$62,4,0),"")</f>
        <v/>
      </c>
      <c r="T313" s="60" t="s">
        <v>56</v>
      </c>
      <c r="U313" s="59" t="str">
        <f aca="false">IFERROR(IF(VLOOKUP($A313,RA_result!$B$3:$N$62,6,0)="",S313*T313,VLOOKUP($A313,RA_result!$B$3:$N$62,6,0)),"")</f>
        <v/>
      </c>
      <c r="V313" s="61" t="s">
        <v>56</v>
      </c>
      <c r="W313" s="62" t="n">
        <f aca="false">IFERROR((S313*30%)/V313,0)</f>
        <v>0</v>
      </c>
      <c r="X313" s="63" t="n">
        <f aca="false">IFERROR(N313/W313,0)</f>
        <v>0</v>
      </c>
      <c r="Y313" s="68"/>
      <c r="Z313" s="57"/>
      <c r="AA313" s="69" t="str">
        <f aca="false">IF(OR(U313="",Y313="",Z313=""),"",IF(AND(U313&gt;Y313,-U313&lt;Z313),"Ok","Not Ok"))</f>
        <v/>
      </c>
      <c r="AB313" s="70"/>
    </row>
    <row r="314" customFormat="false" ht="12.8" hidden="false" customHeight="false" outlineLevel="0" collapsed="false">
      <c r="A314" s="48" t="n">
        <f aca="false">TB_audited!A297</f>
        <v>0</v>
      </c>
      <c r="B314" s="49"/>
      <c r="C314" s="50"/>
      <c r="D314" s="51" t="n">
        <f aca="false">TB_audited!B297</f>
        <v>0</v>
      </c>
      <c r="E314" s="52" t="n">
        <f aca="false">TB_audited!C297</f>
        <v>0</v>
      </c>
      <c r="F314" s="53" t="n">
        <f aca="false">TB_audited!D297</f>
        <v>0</v>
      </c>
      <c r="G314" s="54" t="n">
        <f aca="false">IF($D$8="Interim",TB_audited!G297,TB_audited!E297)</f>
        <v>0</v>
      </c>
      <c r="H314" s="55" t="str">
        <f aca="false">IFERROR(VLOOKUP($A314,RA_result!$B$3:$N$62,11,0),"")</f>
        <v/>
      </c>
      <c r="I314" s="55" t="str">
        <f aca="false">IFERROR(VLOOKUP($A314,RA_result!$B$3:$N$62,12,0),"")</f>
        <v/>
      </c>
      <c r="J314" s="55" t="str">
        <f aca="false">IFERROR(VLOOKUP($A314,RA_result!$B$3:$N$62,13,0),"")</f>
        <v/>
      </c>
      <c r="K314" s="56"/>
      <c r="L314" s="56"/>
      <c r="M314" s="57" t="n">
        <f aca="false">G314</f>
        <v>0</v>
      </c>
      <c r="N314" s="54" t="n">
        <f aca="false">G314-M314</f>
        <v>0</v>
      </c>
      <c r="O314" s="55" t="str">
        <f aca="false">IFERROR(VLOOKUP($A314,RA_result!$B$3:$N$62,7,0),"")</f>
        <v/>
      </c>
      <c r="P314" s="52" t="str">
        <f aca="false">IFERROR(VLOOKUP($A314,RA_result!$B$3:$N$62,9,0),"")</f>
        <v/>
      </c>
      <c r="Q314" s="52" t="str">
        <f aca="false">IFERROR(VLOOKUP($A314,RA_result!$B$3:$N$62,10,0),"")</f>
        <v/>
      </c>
      <c r="R314" s="58" t="s">
        <v>55</v>
      </c>
      <c r="S314" s="59" t="str">
        <f aca="false">IFERROR(VLOOKUP($A314,RA_result!$B$3:$N$62,4,0),"")</f>
        <v/>
      </c>
      <c r="T314" s="60" t="s">
        <v>56</v>
      </c>
      <c r="U314" s="59" t="str">
        <f aca="false">IFERROR(IF(VLOOKUP($A314,RA_result!$B$3:$N$62,6,0)="",S314*T314,VLOOKUP($A314,RA_result!$B$3:$N$62,6,0)),"")</f>
        <v/>
      </c>
      <c r="V314" s="61" t="s">
        <v>56</v>
      </c>
      <c r="W314" s="62" t="n">
        <f aca="false">IFERROR((S314*30%)/V314,0)</f>
        <v>0</v>
      </c>
      <c r="X314" s="63" t="n">
        <f aca="false">IFERROR(N314/W314,0)</f>
        <v>0</v>
      </c>
      <c r="Y314" s="68"/>
      <c r="Z314" s="57"/>
      <c r="AA314" s="69" t="str">
        <f aca="false">IF(OR(U314="",Y314="",Z314=""),"",IF(AND(U314&gt;Y314,-U314&lt;Z314),"Ok","Not Ok"))</f>
        <v/>
      </c>
      <c r="AB314" s="70"/>
    </row>
    <row r="315" customFormat="false" ht="12.8" hidden="false" customHeight="false" outlineLevel="0" collapsed="false">
      <c r="A315" s="48" t="n">
        <f aca="false">TB_audited!A298</f>
        <v>0</v>
      </c>
      <c r="B315" s="49"/>
      <c r="C315" s="50"/>
      <c r="D315" s="51" t="n">
        <f aca="false">TB_audited!B298</f>
        <v>0</v>
      </c>
      <c r="E315" s="52" t="n">
        <f aca="false">TB_audited!C298</f>
        <v>0</v>
      </c>
      <c r="F315" s="53" t="n">
        <f aca="false">TB_audited!D298</f>
        <v>0</v>
      </c>
      <c r="G315" s="54" t="n">
        <f aca="false">IF($D$8="Interim",TB_audited!G298,TB_audited!E298)</f>
        <v>0</v>
      </c>
      <c r="H315" s="55" t="str">
        <f aca="false">IFERROR(VLOOKUP($A315,RA_result!$B$3:$N$62,11,0),"")</f>
        <v/>
      </c>
      <c r="I315" s="55" t="str">
        <f aca="false">IFERROR(VLOOKUP($A315,RA_result!$B$3:$N$62,12,0),"")</f>
        <v/>
      </c>
      <c r="J315" s="55" t="str">
        <f aca="false">IFERROR(VLOOKUP($A315,RA_result!$B$3:$N$62,13,0),"")</f>
        <v/>
      </c>
      <c r="K315" s="56"/>
      <c r="L315" s="56"/>
      <c r="M315" s="57" t="n">
        <f aca="false">G315</f>
        <v>0</v>
      </c>
      <c r="N315" s="54" t="n">
        <f aca="false">G315-M315</f>
        <v>0</v>
      </c>
      <c r="O315" s="55" t="str">
        <f aca="false">IFERROR(VLOOKUP($A315,RA_result!$B$3:$N$62,7,0),"")</f>
        <v/>
      </c>
      <c r="P315" s="52" t="str">
        <f aca="false">IFERROR(VLOOKUP($A315,RA_result!$B$3:$N$62,9,0),"")</f>
        <v/>
      </c>
      <c r="Q315" s="52" t="str">
        <f aca="false">IFERROR(VLOOKUP($A315,RA_result!$B$3:$N$62,10,0),"")</f>
        <v/>
      </c>
      <c r="R315" s="58" t="s">
        <v>55</v>
      </c>
      <c r="S315" s="59" t="str">
        <f aca="false">IFERROR(VLOOKUP($A315,RA_result!$B$3:$N$62,4,0),"")</f>
        <v/>
      </c>
      <c r="T315" s="60" t="s">
        <v>56</v>
      </c>
      <c r="U315" s="59" t="str">
        <f aca="false">IFERROR(IF(VLOOKUP($A315,RA_result!$B$3:$N$62,6,0)="",S315*T315,VLOOKUP($A315,RA_result!$B$3:$N$62,6,0)),"")</f>
        <v/>
      </c>
      <c r="V315" s="61" t="s">
        <v>56</v>
      </c>
      <c r="W315" s="62" t="n">
        <f aca="false">IFERROR((S315*30%)/V315,0)</f>
        <v>0</v>
      </c>
      <c r="X315" s="63" t="n">
        <f aca="false">IFERROR(N315/W315,0)</f>
        <v>0</v>
      </c>
      <c r="Y315" s="68"/>
      <c r="Z315" s="57"/>
      <c r="AA315" s="69" t="str">
        <f aca="false">IF(OR(U315="",Y315="",Z315=""),"",IF(AND(U315&gt;Y315,-U315&lt;Z315),"Ok","Not Ok"))</f>
        <v/>
      </c>
      <c r="AB315" s="70"/>
    </row>
    <row r="316" customFormat="false" ht="12.8" hidden="false" customHeight="false" outlineLevel="0" collapsed="false">
      <c r="A316" s="48" t="n">
        <f aca="false">TB_audited!A299</f>
        <v>0</v>
      </c>
      <c r="B316" s="49"/>
      <c r="C316" s="50"/>
      <c r="D316" s="51" t="n">
        <f aca="false">TB_audited!B299</f>
        <v>0</v>
      </c>
      <c r="E316" s="52" t="n">
        <f aca="false">TB_audited!C299</f>
        <v>0</v>
      </c>
      <c r="F316" s="53" t="n">
        <f aca="false">TB_audited!D299</f>
        <v>0</v>
      </c>
      <c r="G316" s="54" t="n">
        <f aca="false">IF($D$8="Interim",TB_audited!G299,TB_audited!E299)</f>
        <v>0</v>
      </c>
      <c r="H316" s="55" t="str">
        <f aca="false">IFERROR(VLOOKUP($A316,RA_result!$B$3:$N$62,11,0),"")</f>
        <v/>
      </c>
      <c r="I316" s="55" t="str">
        <f aca="false">IFERROR(VLOOKUP($A316,RA_result!$B$3:$N$62,12,0),"")</f>
        <v/>
      </c>
      <c r="J316" s="55" t="str">
        <f aca="false">IFERROR(VLOOKUP($A316,RA_result!$B$3:$N$62,13,0),"")</f>
        <v/>
      </c>
      <c r="K316" s="56"/>
      <c r="L316" s="56"/>
      <c r="M316" s="57" t="n">
        <f aca="false">G316</f>
        <v>0</v>
      </c>
      <c r="N316" s="54" t="n">
        <f aca="false">G316-M316</f>
        <v>0</v>
      </c>
      <c r="O316" s="55" t="str">
        <f aca="false">IFERROR(VLOOKUP($A316,RA_result!$B$3:$N$62,7,0),"")</f>
        <v/>
      </c>
      <c r="P316" s="52" t="str">
        <f aca="false">IFERROR(VLOOKUP($A316,RA_result!$B$3:$N$62,9,0),"")</f>
        <v/>
      </c>
      <c r="Q316" s="52" t="str">
        <f aca="false">IFERROR(VLOOKUP($A316,RA_result!$B$3:$N$62,10,0),"")</f>
        <v/>
      </c>
      <c r="R316" s="58" t="s">
        <v>55</v>
      </c>
      <c r="S316" s="59" t="str">
        <f aca="false">IFERROR(VLOOKUP($A316,RA_result!$B$3:$N$62,4,0),"")</f>
        <v/>
      </c>
      <c r="T316" s="60" t="s">
        <v>56</v>
      </c>
      <c r="U316" s="59" t="str">
        <f aca="false">IFERROR(IF(VLOOKUP($A316,RA_result!$B$3:$N$62,6,0)="",S316*T316,VLOOKUP($A316,RA_result!$B$3:$N$62,6,0)),"")</f>
        <v/>
      </c>
      <c r="V316" s="61" t="s">
        <v>56</v>
      </c>
      <c r="W316" s="62" t="n">
        <f aca="false">IFERROR((S316*30%)/V316,0)</f>
        <v>0</v>
      </c>
      <c r="X316" s="63" t="n">
        <f aca="false">IFERROR(N316/W316,0)</f>
        <v>0</v>
      </c>
      <c r="Y316" s="68"/>
      <c r="Z316" s="57"/>
      <c r="AA316" s="69" t="str">
        <f aca="false">IF(OR(U316="",Y316="",Z316=""),"",IF(AND(U316&gt;Y316,-U316&lt;Z316),"Ok","Not Ok"))</f>
        <v/>
      </c>
      <c r="AB316" s="70"/>
    </row>
    <row r="317" customFormat="false" ht="12.8" hidden="false" customHeight="false" outlineLevel="0" collapsed="false">
      <c r="A317" s="48" t="n">
        <f aca="false">TB_audited!A300</f>
        <v>0</v>
      </c>
      <c r="B317" s="49"/>
      <c r="C317" s="50"/>
      <c r="D317" s="51" t="n">
        <f aca="false">TB_audited!B300</f>
        <v>0</v>
      </c>
      <c r="E317" s="52" t="n">
        <f aca="false">TB_audited!C300</f>
        <v>0</v>
      </c>
      <c r="F317" s="53" t="n">
        <f aca="false">TB_audited!D300</f>
        <v>0</v>
      </c>
      <c r="G317" s="54" t="n">
        <f aca="false">IF($D$8="Interim",TB_audited!G300,TB_audited!E300)</f>
        <v>0</v>
      </c>
      <c r="H317" s="55" t="str">
        <f aca="false">IFERROR(VLOOKUP($A317,RA_result!$B$3:$N$62,11,0),"")</f>
        <v/>
      </c>
      <c r="I317" s="55" t="str">
        <f aca="false">IFERROR(VLOOKUP($A317,RA_result!$B$3:$N$62,12,0),"")</f>
        <v/>
      </c>
      <c r="J317" s="55" t="str">
        <f aca="false">IFERROR(VLOOKUP($A317,RA_result!$B$3:$N$62,13,0),"")</f>
        <v/>
      </c>
      <c r="K317" s="56"/>
      <c r="L317" s="56"/>
      <c r="M317" s="57" t="n">
        <f aca="false">G317</f>
        <v>0</v>
      </c>
      <c r="N317" s="54" t="n">
        <f aca="false">G317-M317</f>
        <v>0</v>
      </c>
      <c r="O317" s="55" t="str">
        <f aca="false">IFERROR(VLOOKUP($A317,RA_result!$B$3:$N$62,7,0),"")</f>
        <v/>
      </c>
      <c r="P317" s="52" t="str">
        <f aca="false">IFERROR(VLOOKUP($A317,RA_result!$B$3:$N$62,9,0),"")</f>
        <v/>
      </c>
      <c r="Q317" s="52" t="str">
        <f aca="false">IFERROR(VLOOKUP($A317,RA_result!$B$3:$N$62,10,0),"")</f>
        <v/>
      </c>
      <c r="R317" s="58" t="s">
        <v>55</v>
      </c>
      <c r="S317" s="59" t="str">
        <f aca="false">IFERROR(VLOOKUP($A317,RA_result!$B$3:$N$62,4,0),"")</f>
        <v/>
      </c>
      <c r="T317" s="60" t="s">
        <v>56</v>
      </c>
      <c r="U317" s="59" t="str">
        <f aca="false">IFERROR(IF(VLOOKUP($A317,RA_result!$B$3:$N$62,6,0)="",S317*T317,VLOOKUP($A317,RA_result!$B$3:$N$62,6,0)),"")</f>
        <v/>
      </c>
      <c r="V317" s="61" t="s">
        <v>56</v>
      </c>
      <c r="W317" s="62" t="n">
        <f aca="false">IFERROR((S317*30%)/V317,0)</f>
        <v>0</v>
      </c>
      <c r="X317" s="63" t="n">
        <f aca="false">IFERROR(N317/W317,0)</f>
        <v>0</v>
      </c>
      <c r="Y317" s="68"/>
      <c r="Z317" s="57"/>
      <c r="AA317" s="69" t="str">
        <f aca="false">IF(OR(U317="",Y317="",Z317=""),"",IF(AND(U317&gt;Y317,-U317&lt;Z317),"Ok","Not Ok"))</f>
        <v/>
      </c>
      <c r="AB317" s="70"/>
    </row>
    <row r="318" customFormat="false" ht="12.8" hidden="false" customHeight="false" outlineLevel="0" collapsed="false">
      <c r="A318" s="48" t="n">
        <f aca="false">TB_audited!A301</f>
        <v>0</v>
      </c>
      <c r="B318" s="49"/>
      <c r="C318" s="50"/>
      <c r="D318" s="51" t="n">
        <f aca="false">TB_audited!B301</f>
        <v>0</v>
      </c>
      <c r="E318" s="52" t="n">
        <f aca="false">TB_audited!C301</f>
        <v>0</v>
      </c>
      <c r="F318" s="53" t="n">
        <f aca="false">TB_audited!D301</f>
        <v>0</v>
      </c>
      <c r="G318" s="54" t="n">
        <f aca="false">IF($D$8="Interim",TB_audited!G301,TB_audited!E301)</f>
        <v>0</v>
      </c>
      <c r="H318" s="55" t="str">
        <f aca="false">IFERROR(VLOOKUP($A318,RA_result!$B$3:$N$62,11,0),"")</f>
        <v/>
      </c>
      <c r="I318" s="55" t="str">
        <f aca="false">IFERROR(VLOOKUP($A318,RA_result!$B$3:$N$62,12,0),"")</f>
        <v/>
      </c>
      <c r="J318" s="55" t="str">
        <f aca="false">IFERROR(VLOOKUP($A318,RA_result!$B$3:$N$62,13,0),"")</f>
        <v/>
      </c>
      <c r="K318" s="56"/>
      <c r="L318" s="56"/>
      <c r="M318" s="57" t="n">
        <f aca="false">G318</f>
        <v>0</v>
      </c>
      <c r="N318" s="54" t="n">
        <f aca="false">G318-M318</f>
        <v>0</v>
      </c>
      <c r="O318" s="55" t="str">
        <f aca="false">IFERROR(VLOOKUP($A318,RA_result!$B$3:$N$62,7,0),"")</f>
        <v/>
      </c>
      <c r="P318" s="52" t="str">
        <f aca="false">IFERROR(VLOOKUP($A318,RA_result!$B$3:$N$62,9,0),"")</f>
        <v/>
      </c>
      <c r="Q318" s="52" t="str">
        <f aca="false">IFERROR(VLOOKUP($A318,RA_result!$B$3:$N$62,10,0),"")</f>
        <v/>
      </c>
      <c r="R318" s="58" t="s">
        <v>55</v>
      </c>
      <c r="S318" s="59" t="str">
        <f aca="false">IFERROR(VLOOKUP($A318,RA_result!$B$3:$N$62,4,0),"")</f>
        <v/>
      </c>
      <c r="T318" s="60" t="s">
        <v>56</v>
      </c>
      <c r="U318" s="59" t="str">
        <f aca="false">IFERROR(IF(VLOOKUP($A318,RA_result!$B$3:$N$62,6,0)="",S318*T318,VLOOKUP($A318,RA_result!$B$3:$N$62,6,0)),"")</f>
        <v/>
      </c>
      <c r="V318" s="61" t="s">
        <v>56</v>
      </c>
      <c r="W318" s="62" t="n">
        <f aca="false">IFERROR((S318*30%)/V318,0)</f>
        <v>0</v>
      </c>
      <c r="X318" s="63" t="n">
        <f aca="false">IFERROR(N318/W318,0)</f>
        <v>0</v>
      </c>
      <c r="Y318" s="68"/>
      <c r="Z318" s="57"/>
      <c r="AA318" s="69" t="str">
        <f aca="false">IF(OR(U318="",Y318="",Z318=""),"",IF(AND(U318&gt;Y318,-U318&lt;Z318),"Ok","Not Ok"))</f>
        <v/>
      </c>
      <c r="AB318" s="70"/>
    </row>
    <row r="319" customFormat="false" ht="12.8" hidden="false" customHeight="false" outlineLevel="0" collapsed="false">
      <c r="A319" s="48" t="n">
        <f aca="false">TB_audited!A302</f>
        <v>0</v>
      </c>
      <c r="B319" s="49"/>
      <c r="C319" s="50"/>
      <c r="D319" s="51" t="n">
        <f aca="false">TB_audited!B302</f>
        <v>0</v>
      </c>
      <c r="E319" s="52" t="n">
        <f aca="false">TB_audited!C302</f>
        <v>0</v>
      </c>
      <c r="F319" s="53" t="n">
        <f aca="false">TB_audited!D302</f>
        <v>0</v>
      </c>
      <c r="G319" s="54" t="n">
        <f aca="false">IF($D$8="Interim",TB_audited!G302,TB_audited!E302)</f>
        <v>0</v>
      </c>
      <c r="H319" s="55" t="str">
        <f aca="false">IFERROR(VLOOKUP($A319,RA_result!$B$3:$N$62,11,0),"")</f>
        <v/>
      </c>
      <c r="I319" s="55" t="str">
        <f aca="false">IFERROR(VLOOKUP($A319,RA_result!$B$3:$N$62,12,0),"")</f>
        <v/>
      </c>
      <c r="J319" s="55" t="str">
        <f aca="false">IFERROR(VLOOKUP($A319,RA_result!$B$3:$N$62,13,0),"")</f>
        <v/>
      </c>
      <c r="K319" s="56"/>
      <c r="L319" s="56"/>
      <c r="M319" s="57" t="n">
        <f aca="false">G319</f>
        <v>0</v>
      </c>
      <c r="N319" s="54" t="n">
        <f aca="false">G319-M319</f>
        <v>0</v>
      </c>
      <c r="O319" s="55" t="str">
        <f aca="false">IFERROR(VLOOKUP($A319,RA_result!$B$3:$N$62,7,0),"")</f>
        <v/>
      </c>
      <c r="P319" s="52" t="str">
        <f aca="false">IFERROR(VLOOKUP($A319,RA_result!$B$3:$N$62,9,0),"")</f>
        <v/>
      </c>
      <c r="Q319" s="52" t="str">
        <f aca="false">IFERROR(VLOOKUP($A319,RA_result!$B$3:$N$62,10,0),"")</f>
        <v/>
      </c>
      <c r="R319" s="58" t="s">
        <v>55</v>
      </c>
      <c r="S319" s="59" t="str">
        <f aca="false">IFERROR(VLOOKUP($A319,RA_result!$B$3:$N$62,4,0),"")</f>
        <v/>
      </c>
      <c r="T319" s="60" t="s">
        <v>56</v>
      </c>
      <c r="U319" s="59" t="str">
        <f aca="false">IFERROR(IF(VLOOKUP($A319,RA_result!$B$3:$N$62,6,0)="",S319*T319,VLOOKUP($A319,RA_result!$B$3:$N$62,6,0)),"")</f>
        <v/>
      </c>
      <c r="V319" s="61" t="s">
        <v>56</v>
      </c>
      <c r="W319" s="62" t="n">
        <f aca="false">IFERROR((S319*30%)/V319,0)</f>
        <v>0</v>
      </c>
      <c r="X319" s="63" t="n">
        <f aca="false">IFERROR(N319/W319,0)</f>
        <v>0</v>
      </c>
      <c r="Y319" s="68"/>
      <c r="Z319" s="57"/>
      <c r="AA319" s="69" t="str">
        <f aca="false">IF(OR(U319="",Y319="",Z319=""),"",IF(AND(U319&gt;Y319,-U319&lt;Z319),"Ok","Not Ok"))</f>
        <v/>
      </c>
      <c r="AB319" s="70"/>
    </row>
    <row r="320" customFormat="false" ht="12.8" hidden="false" customHeight="false" outlineLevel="0" collapsed="false">
      <c r="A320" s="48" t="n">
        <f aca="false">TB_audited!A303</f>
        <v>0</v>
      </c>
      <c r="B320" s="49"/>
      <c r="C320" s="50"/>
      <c r="D320" s="51" t="n">
        <f aca="false">TB_audited!B303</f>
        <v>0</v>
      </c>
      <c r="E320" s="52" t="n">
        <f aca="false">TB_audited!C303</f>
        <v>0</v>
      </c>
      <c r="F320" s="53" t="n">
        <f aca="false">TB_audited!D303</f>
        <v>0</v>
      </c>
      <c r="G320" s="54" t="n">
        <f aca="false">IF($D$8="Interim",TB_audited!G303,TB_audited!E303)</f>
        <v>0</v>
      </c>
      <c r="H320" s="55" t="str">
        <f aca="false">IFERROR(VLOOKUP($A320,RA_result!$B$3:$N$62,11,0),"")</f>
        <v/>
      </c>
      <c r="I320" s="55" t="str">
        <f aca="false">IFERROR(VLOOKUP($A320,RA_result!$B$3:$N$62,12,0),"")</f>
        <v/>
      </c>
      <c r="J320" s="55" t="str">
        <f aca="false">IFERROR(VLOOKUP($A320,RA_result!$B$3:$N$62,13,0),"")</f>
        <v/>
      </c>
      <c r="K320" s="56"/>
      <c r="L320" s="56"/>
      <c r="M320" s="57" t="n">
        <f aca="false">G320</f>
        <v>0</v>
      </c>
      <c r="N320" s="54" t="n">
        <f aca="false">G320-M320</f>
        <v>0</v>
      </c>
      <c r="O320" s="55" t="str">
        <f aca="false">IFERROR(VLOOKUP($A320,RA_result!$B$3:$N$62,7,0),"")</f>
        <v/>
      </c>
      <c r="P320" s="52" t="str">
        <f aca="false">IFERROR(VLOOKUP($A320,RA_result!$B$3:$N$62,9,0),"")</f>
        <v/>
      </c>
      <c r="Q320" s="52" t="str">
        <f aca="false">IFERROR(VLOOKUP($A320,RA_result!$B$3:$N$62,10,0),"")</f>
        <v/>
      </c>
      <c r="R320" s="58" t="s">
        <v>55</v>
      </c>
      <c r="S320" s="59" t="str">
        <f aca="false">IFERROR(VLOOKUP($A320,RA_result!$B$3:$N$62,4,0),"")</f>
        <v/>
      </c>
      <c r="T320" s="60" t="s">
        <v>56</v>
      </c>
      <c r="U320" s="59" t="str">
        <f aca="false">IFERROR(IF(VLOOKUP($A320,RA_result!$B$3:$N$62,6,0)="",S320*T320,VLOOKUP($A320,RA_result!$B$3:$N$62,6,0)),"")</f>
        <v/>
      </c>
      <c r="V320" s="61" t="s">
        <v>56</v>
      </c>
      <c r="W320" s="62" t="n">
        <f aca="false">IFERROR((S320*30%)/V320,0)</f>
        <v>0</v>
      </c>
      <c r="X320" s="63" t="n">
        <f aca="false">IFERROR(N320/W320,0)</f>
        <v>0</v>
      </c>
      <c r="Y320" s="68"/>
      <c r="Z320" s="57"/>
      <c r="AA320" s="69" t="str">
        <f aca="false">IF(OR(U320="",Y320="",Z320=""),"",IF(AND(U320&gt;Y320,-U320&lt;Z320),"Ok","Not Ok"))</f>
        <v/>
      </c>
      <c r="AB320" s="70"/>
    </row>
    <row r="321" customFormat="false" ht="12.8" hidden="false" customHeight="false" outlineLevel="0" collapsed="false">
      <c r="A321" s="48" t="n">
        <f aca="false">TB_audited!A304</f>
        <v>0</v>
      </c>
      <c r="B321" s="49"/>
      <c r="C321" s="50"/>
      <c r="D321" s="51" t="n">
        <f aca="false">TB_audited!B304</f>
        <v>0</v>
      </c>
      <c r="E321" s="52" t="n">
        <f aca="false">TB_audited!C304</f>
        <v>0</v>
      </c>
      <c r="F321" s="53" t="n">
        <f aca="false">TB_audited!D304</f>
        <v>0</v>
      </c>
      <c r="G321" s="54" t="n">
        <f aca="false">IF($D$8="Interim",TB_audited!G304,TB_audited!E304)</f>
        <v>0</v>
      </c>
      <c r="H321" s="55" t="str">
        <f aca="false">IFERROR(VLOOKUP($A321,RA_result!$B$3:$N$62,11,0),"")</f>
        <v/>
      </c>
      <c r="I321" s="55" t="str">
        <f aca="false">IFERROR(VLOOKUP($A321,RA_result!$B$3:$N$62,12,0),"")</f>
        <v/>
      </c>
      <c r="J321" s="55" t="str">
        <f aca="false">IFERROR(VLOOKUP($A321,RA_result!$B$3:$N$62,13,0),"")</f>
        <v/>
      </c>
      <c r="K321" s="56"/>
      <c r="L321" s="56"/>
      <c r="M321" s="57" t="n">
        <f aca="false">G321</f>
        <v>0</v>
      </c>
      <c r="N321" s="54" t="n">
        <f aca="false">G321-M321</f>
        <v>0</v>
      </c>
      <c r="O321" s="55" t="str">
        <f aca="false">IFERROR(VLOOKUP($A321,RA_result!$B$3:$N$62,7,0),"")</f>
        <v/>
      </c>
      <c r="P321" s="52" t="str">
        <f aca="false">IFERROR(VLOOKUP($A321,RA_result!$B$3:$N$62,9,0),"")</f>
        <v/>
      </c>
      <c r="Q321" s="52" t="str">
        <f aca="false">IFERROR(VLOOKUP($A321,RA_result!$B$3:$N$62,10,0),"")</f>
        <v/>
      </c>
      <c r="R321" s="58" t="s">
        <v>55</v>
      </c>
      <c r="S321" s="59" t="str">
        <f aca="false">IFERROR(VLOOKUP($A321,RA_result!$B$3:$N$62,4,0),"")</f>
        <v/>
      </c>
      <c r="T321" s="60" t="s">
        <v>56</v>
      </c>
      <c r="U321" s="59" t="str">
        <f aca="false">IFERROR(IF(VLOOKUP($A321,RA_result!$B$3:$N$62,6,0)="",S321*T321,VLOOKUP($A321,RA_result!$B$3:$N$62,6,0)),"")</f>
        <v/>
      </c>
      <c r="V321" s="61" t="s">
        <v>56</v>
      </c>
      <c r="W321" s="62" t="n">
        <f aca="false">IFERROR((S321*30%)/V321,0)</f>
        <v>0</v>
      </c>
      <c r="X321" s="63" t="n">
        <f aca="false">IFERROR(N321/W321,0)</f>
        <v>0</v>
      </c>
      <c r="Y321" s="68"/>
      <c r="Z321" s="57"/>
      <c r="AA321" s="69" t="str">
        <f aca="false">IF(OR(U321="",Y321="",Z321=""),"",IF(AND(U321&gt;Y321,-U321&lt;Z321),"Ok","Not Ok"))</f>
        <v/>
      </c>
      <c r="AB321" s="70"/>
    </row>
    <row r="322" customFormat="false" ht="12.8" hidden="false" customHeight="false" outlineLevel="0" collapsed="false">
      <c r="A322" s="48" t="n">
        <f aca="false">TB_audited!A305</f>
        <v>0</v>
      </c>
      <c r="B322" s="49"/>
      <c r="C322" s="50"/>
      <c r="D322" s="51" t="n">
        <f aca="false">TB_audited!B305</f>
        <v>0</v>
      </c>
      <c r="E322" s="52" t="n">
        <f aca="false">TB_audited!C305</f>
        <v>0</v>
      </c>
      <c r="F322" s="53" t="n">
        <f aca="false">TB_audited!D305</f>
        <v>0</v>
      </c>
      <c r="G322" s="54" t="n">
        <f aca="false">IF($D$8="Interim",TB_audited!G305,TB_audited!E305)</f>
        <v>0</v>
      </c>
      <c r="H322" s="55" t="str">
        <f aca="false">IFERROR(VLOOKUP($A322,RA_result!$B$3:$N$62,11,0),"")</f>
        <v/>
      </c>
      <c r="I322" s="55" t="str">
        <f aca="false">IFERROR(VLOOKUP($A322,RA_result!$B$3:$N$62,12,0),"")</f>
        <v/>
      </c>
      <c r="J322" s="55" t="str">
        <f aca="false">IFERROR(VLOOKUP($A322,RA_result!$B$3:$N$62,13,0),"")</f>
        <v/>
      </c>
      <c r="K322" s="56"/>
      <c r="L322" s="56"/>
      <c r="M322" s="57" t="n">
        <f aca="false">G322</f>
        <v>0</v>
      </c>
      <c r="N322" s="54" t="n">
        <f aca="false">G322-M322</f>
        <v>0</v>
      </c>
      <c r="O322" s="55" t="str">
        <f aca="false">IFERROR(VLOOKUP($A322,RA_result!$B$3:$N$62,7,0),"")</f>
        <v/>
      </c>
      <c r="P322" s="52" t="str">
        <f aca="false">IFERROR(VLOOKUP($A322,RA_result!$B$3:$N$62,9,0),"")</f>
        <v/>
      </c>
      <c r="Q322" s="52" t="str">
        <f aca="false">IFERROR(VLOOKUP($A322,RA_result!$B$3:$N$62,10,0),"")</f>
        <v/>
      </c>
      <c r="R322" s="58" t="s">
        <v>55</v>
      </c>
      <c r="S322" s="59" t="str">
        <f aca="false">IFERROR(VLOOKUP($A322,RA_result!$B$3:$N$62,4,0),"")</f>
        <v/>
      </c>
      <c r="T322" s="60" t="s">
        <v>56</v>
      </c>
      <c r="U322" s="59" t="str">
        <f aca="false">IFERROR(IF(VLOOKUP($A322,RA_result!$B$3:$N$62,6,0)="",S322*T322,VLOOKUP($A322,RA_result!$B$3:$N$62,6,0)),"")</f>
        <v/>
      </c>
      <c r="V322" s="61" t="s">
        <v>56</v>
      </c>
      <c r="W322" s="62" t="n">
        <f aca="false">IFERROR((S322*30%)/V322,0)</f>
        <v>0</v>
      </c>
      <c r="X322" s="63" t="n">
        <f aca="false">IFERROR(N322/W322,0)</f>
        <v>0</v>
      </c>
      <c r="Y322" s="68"/>
      <c r="Z322" s="57"/>
      <c r="AA322" s="69" t="str">
        <f aca="false">IF(OR(U322="",Y322="",Z322=""),"",IF(AND(U322&gt;Y322,-U322&lt;Z322),"Ok","Not Ok"))</f>
        <v/>
      </c>
      <c r="AB322" s="70"/>
    </row>
    <row r="323" customFormat="false" ht="12.8" hidden="false" customHeight="false" outlineLevel="0" collapsed="false">
      <c r="A323" s="48" t="n">
        <f aca="false">TB_audited!A306</f>
        <v>0</v>
      </c>
      <c r="B323" s="49"/>
      <c r="C323" s="50"/>
      <c r="D323" s="51" t="n">
        <f aca="false">TB_audited!B306</f>
        <v>0</v>
      </c>
      <c r="E323" s="52" t="n">
        <f aca="false">TB_audited!C306</f>
        <v>0</v>
      </c>
      <c r="F323" s="53" t="n">
        <f aca="false">TB_audited!D306</f>
        <v>0</v>
      </c>
      <c r="G323" s="54" t="n">
        <f aca="false">IF($D$8="Interim",TB_audited!G306,TB_audited!E306)</f>
        <v>0</v>
      </c>
      <c r="H323" s="55" t="str">
        <f aca="false">IFERROR(VLOOKUP($A323,RA_result!$B$3:$N$62,11,0),"")</f>
        <v/>
      </c>
      <c r="I323" s="55" t="str">
        <f aca="false">IFERROR(VLOOKUP($A323,RA_result!$B$3:$N$62,12,0),"")</f>
        <v/>
      </c>
      <c r="J323" s="55" t="str">
        <f aca="false">IFERROR(VLOOKUP($A323,RA_result!$B$3:$N$62,13,0),"")</f>
        <v/>
      </c>
      <c r="K323" s="56"/>
      <c r="L323" s="56"/>
      <c r="M323" s="57" t="n">
        <f aca="false">G323</f>
        <v>0</v>
      </c>
      <c r="N323" s="54" t="n">
        <f aca="false">G323-M323</f>
        <v>0</v>
      </c>
      <c r="O323" s="55" t="str">
        <f aca="false">IFERROR(VLOOKUP($A323,RA_result!$B$3:$N$62,7,0),"")</f>
        <v/>
      </c>
      <c r="P323" s="52" t="str">
        <f aca="false">IFERROR(VLOOKUP($A323,RA_result!$B$3:$N$62,9,0),"")</f>
        <v/>
      </c>
      <c r="Q323" s="52" t="str">
        <f aca="false">IFERROR(VLOOKUP($A323,RA_result!$B$3:$N$62,10,0),"")</f>
        <v/>
      </c>
      <c r="R323" s="58" t="s">
        <v>55</v>
      </c>
      <c r="S323" s="59" t="str">
        <f aca="false">IFERROR(VLOOKUP($A323,RA_result!$B$3:$N$62,4,0),"")</f>
        <v/>
      </c>
      <c r="T323" s="60" t="s">
        <v>56</v>
      </c>
      <c r="U323" s="59" t="str">
        <f aca="false">IFERROR(IF(VLOOKUP($A323,RA_result!$B$3:$N$62,6,0)="",S323*T323,VLOOKUP($A323,RA_result!$B$3:$N$62,6,0)),"")</f>
        <v/>
      </c>
      <c r="V323" s="61" t="s">
        <v>56</v>
      </c>
      <c r="W323" s="62" t="n">
        <f aca="false">IFERROR((S323*30%)/V323,0)</f>
        <v>0</v>
      </c>
      <c r="X323" s="63" t="n">
        <f aca="false">IFERROR(N323/W323,0)</f>
        <v>0</v>
      </c>
      <c r="Y323" s="68"/>
      <c r="Z323" s="57"/>
      <c r="AA323" s="69" t="str">
        <f aca="false">IF(OR(U323="",Y323="",Z323=""),"",IF(AND(U323&gt;Y323,-U323&lt;Z323),"Ok","Not Ok"))</f>
        <v/>
      </c>
      <c r="AB323" s="70"/>
    </row>
    <row r="324" customFormat="false" ht="12.8" hidden="false" customHeight="false" outlineLevel="0" collapsed="false">
      <c r="A324" s="48" t="n">
        <f aca="false">TB_audited!A307</f>
        <v>0</v>
      </c>
      <c r="B324" s="49"/>
      <c r="C324" s="50"/>
      <c r="D324" s="51" t="n">
        <f aca="false">TB_audited!B307</f>
        <v>0</v>
      </c>
      <c r="E324" s="52" t="n">
        <f aca="false">TB_audited!C307</f>
        <v>0</v>
      </c>
      <c r="F324" s="53" t="n">
        <f aca="false">TB_audited!D307</f>
        <v>0</v>
      </c>
      <c r="G324" s="54" t="n">
        <f aca="false">IF($D$8="Interim",TB_audited!G307,TB_audited!E307)</f>
        <v>0</v>
      </c>
      <c r="H324" s="55" t="str">
        <f aca="false">IFERROR(VLOOKUP($A324,RA_result!$B$3:$N$62,11,0),"")</f>
        <v/>
      </c>
      <c r="I324" s="55" t="str">
        <f aca="false">IFERROR(VLOOKUP($A324,RA_result!$B$3:$N$62,12,0),"")</f>
        <v/>
      </c>
      <c r="J324" s="55" t="str">
        <f aca="false">IFERROR(VLOOKUP($A324,RA_result!$B$3:$N$62,13,0),"")</f>
        <v/>
      </c>
      <c r="K324" s="56"/>
      <c r="L324" s="56"/>
      <c r="M324" s="57" t="n">
        <f aca="false">G324</f>
        <v>0</v>
      </c>
      <c r="N324" s="54" t="n">
        <f aca="false">G324-M324</f>
        <v>0</v>
      </c>
      <c r="O324" s="55" t="str">
        <f aca="false">IFERROR(VLOOKUP($A324,RA_result!$B$3:$N$62,7,0),"")</f>
        <v/>
      </c>
      <c r="P324" s="52" t="str">
        <f aca="false">IFERROR(VLOOKUP($A324,RA_result!$B$3:$N$62,9,0),"")</f>
        <v/>
      </c>
      <c r="Q324" s="52" t="str">
        <f aca="false">IFERROR(VLOOKUP($A324,RA_result!$B$3:$N$62,10,0),"")</f>
        <v/>
      </c>
      <c r="R324" s="58" t="s">
        <v>55</v>
      </c>
      <c r="S324" s="59" t="str">
        <f aca="false">IFERROR(VLOOKUP($A324,RA_result!$B$3:$N$62,4,0),"")</f>
        <v/>
      </c>
      <c r="T324" s="60" t="s">
        <v>56</v>
      </c>
      <c r="U324" s="59" t="str">
        <f aca="false">IFERROR(IF(VLOOKUP($A324,RA_result!$B$3:$N$62,6,0)="",S324*T324,VLOOKUP($A324,RA_result!$B$3:$N$62,6,0)),"")</f>
        <v/>
      </c>
      <c r="V324" s="61" t="s">
        <v>56</v>
      </c>
      <c r="W324" s="62" t="n">
        <f aca="false">IFERROR((S324*30%)/V324,0)</f>
        <v>0</v>
      </c>
      <c r="X324" s="63" t="n">
        <f aca="false">IFERROR(N324/W324,0)</f>
        <v>0</v>
      </c>
      <c r="Y324" s="68"/>
      <c r="Z324" s="57"/>
      <c r="AA324" s="69" t="str">
        <f aca="false">IF(OR(U324="",Y324="",Z324=""),"",IF(AND(U324&gt;Y324,-U324&lt;Z324),"Ok","Not Ok"))</f>
        <v/>
      </c>
      <c r="AB324" s="70"/>
    </row>
    <row r="325" customFormat="false" ht="12.8" hidden="false" customHeight="false" outlineLevel="0" collapsed="false">
      <c r="A325" s="48" t="n">
        <f aca="false">TB_audited!A308</f>
        <v>0</v>
      </c>
      <c r="B325" s="49"/>
      <c r="C325" s="50"/>
      <c r="D325" s="51" t="n">
        <f aca="false">TB_audited!B308</f>
        <v>0</v>
      </c>
      <c r="E325" s="52" t="n">
        <f aca="false">TB_audited!C308</f>
        <v>0</v>
      </c>
      <c r="F325" s="53" t="n">
        <f aca="false">TB_audited!D308</f>
        <v>0</v>
      </c>
      <c r="G325" s="54" t="n">
        <f aca="false">IF($D$8="Interim",TB_audited!G308,TB_audited!E308)</f>
        <v>0</v>
      </c>
      <c r="H325" s="55" t="str">
        <f aca="false">IFERROR(VLOOKUP($A325,RA_result!$B$3:$N$62,11,0),"")</f>
        <v/>
      </c>
      <c r="I325" s="55" t="str">
        <f aca="false">IFERROR(VLOOKUP($A325,RA_result!$B$3:$N$62,12,0),"")</f>
        <v/>
      </c>
      <c r="J325" s="55" t="str">
        <f aca="false">IFERROR(VLOOKUP($A325,RA_result!$B$3:$N$62,13,0),"")</f>
        <v/>
      </c>
      <c r="K325" s="56"/>
      <c r="L325" s="56"/>
      <c r="M325" s="57" t="n">
        <f aca="false">G325</f>
        <v>0</v>
      </c>
      <c r="N325" s="54" t="n">
        <f aca="false">G325-M325</f>
        <v>0</v>
      </c>
      <c r="O325" s="55" t="str">
        <f aca="false">IFERROR(VLOOKUP($A325,RA_result!$B$3:$N$62,7,0),"")</f>
        <v/>
      </c>
      <c r="P325" s="52" t="str">
        <f aca="false">IFERROR(VLOOKUP($A325,RA_result!$B$3:$N$62,9,0),"")</f>
        <v/>
      </c>
      <c r="Q325" s="52" t="str">
        <f aca="false">IFERROR(VLOOKUP($A325,RA_result!$B$3:$N$62,10,0),"")</f>
        <v/>
      </c>
      <c r="R325" s="58" t="s">
        <v>55</v>
      </c>
      <c r="S325" s="59" t="str">
        <f aca="false">IFERROR(VLOOKUP($A325,RA_result!$B$3:$N$62,4,0),"")</f>
        <v/>
      </c>
      <c r="T325" s="60" t="s">
        <v>56</v>
      </c>
      <c r="U325" s="59" t="str">
        <f aca="false">IFERROR(IF(VLOOKUP($A325,RA_result!$B$3:$N$62,6,0)="",S325*T325,VLOOKUP($A325,RA_result!$B$3:$N$62,6,0)),"")</f>
        <v/>
      </c>
      <c r="V325" s="61" t="s">
        <v>56</v>
      </c>
      <c r="W325" s="62" t="n">
        <f aca="false">IFERROR((S325*30%)/V325,0)</f>
        <v>0</v>
      </c>
      <c r="X325" s="63" t="n">
        <f aca="false">IFERROR(N325/W325,0)</f>
        <v>0</v>
      </c>
      <c r="Y325" s="68"/>
      <c r="Z325" s="57"/>
      <c r="AA325" s="69" t="str">
        <f aca="false">IF(OR(U325="",Y325="",Z325=""),"",IF(AND(U325&gt;Y325,-U325&lt;Z325),"Ok","Not Ok"))</f>
        <v/>
      </c>
      <c r="AB325" s="70"/>
    </row>
    <row r="326" customFormat="false" ht="12.8" hidden="false" customHeight="false" outlineLevel="0" collapsed="false">
      <c r="A326" s="48" t="n">
        <f aca="false">TB_audited!A309</f>
        <v>0</v>
      </c>
      <c r="B326" s="49"/>
      <c r="C326" s="50"/>
      <c r="D326" s="51" t="n">
        <f aca="false">TB_audited!B309</f>
        <v>0</v>
      </c>
      <c r="E326" s="52" t="n">
        <f aca="false">TB_audited!C309</f>
        <v>0</v>
      </c>
      <c r="F326" s="53" t="n">
        <f aca="false">TB_audited!D309</f>
        <v>0</v>
      </c>
      <c r="G326" s="54" t="n">
        <f aca="false">IF($D$8="Interim",TB_audited!G309,TB_audited!E309)</f>
        <v>0</v>
      </c>
      <c r="H326" s="55" t="str">
        <f aca="false">IFERROR(VLOOKUP($A326,RA_result!$B$3:$N$62,11,0),"")</f>
        <v/>
      </c>
      <c r="I326" s="55" t="str">
        <f aca="false">IFERROR(VLOOKUP($A326,RA_result!$B$3:$N$62,12,0),"")</f>
        <v/>
      </c>
      <c r="J326" s="55" t="str">
        <f aca="false">IFERROR(VLOOKUP($A326,RA_result!$B$3:$N$62,13,0),"")</f>
        <v/>
      </c>
      <c r="K326" s="56"/>
      <c r="L326" s="56"/>
      <c r="M326" s="57" t="n">
        <f aca="false">G326</f>
        <v>0</v>
      </c>
      <c r="N326" s="54" t="n">
        <f aca="false">G326-M326</f>
        <v>0</v>
      </c>
      <c r="O326" s="55" t="str">
        <f aca="false">IFERROR(VLOOKUP($A326,RA_result!$B$3:$N$62,7,0),"")</f>
        <v/>
      </c>
      <c r="P326" s="52" t="str">
        <f aca="false">IFERROR(VLOOKUP($A326,RA_result!$B$3:$N$62,9,0),"")</f>
        <v/>
      </c>
      <c r="Q326" s="52" t="str">
        <f aca="false">IFERROR(VLOOKUP($A326,RA_result!$B$3:$N$62,10,0),"")</f>
        <v/>
      </c>
      <c r="R326" s="58" t="s">
        <v>55</v>
      </c>
      <c r="S326" s="59" t="str">
        <f aca="false">IFERROR(VLOOKUP($A326,RA_result!$B$3:$N$62,4,0),"")</f>
        <v/>
      </c>
      <c r="T326" s="60" t="s">
        <v>56</v>
      </c>
      <c r="U326" s="59" t="str">
        <f aca="false">IFERROR(IF(VLOOKUP($A326,RA_result!$B$3:$N$62,6,0)="",S326*T326,VLOOKUP($A326,RA_result!$B$3:$N$62,6,0)),"")</f>
        <v/>
      </c>
      <c r="V326" s="61" t="s">
        <v>56</v>
      </c>
      <c r="W326" s="62" t="n">
        <f aca="false">IFERROR((S326*30%)/V326,0)</f>
        <v>0</v>
      </c>
      <c r="X326" s="63" t="n">
        <f aca="false">IFERROR(N326/W326,0)</f>
        <v>0</v>
      </c>
      <c r="Y326" s="68"/>
      <c r="Z326" s="57"/>
      <c r="AA326" s="69" t="str">
        <f aca="false">IF(OR(U326="",Y326="",Z326=""),"",IF(AND(U326&gt;Y326,-U326&lt;Z326),"Ok","Not Ok"))</f>
        <v/>
      </c>
      <c r="AB326" s="70"/>
    </row>
    <row r="327" customFormat="false" ht="12.8" hidden="false" customHeight="false" outlineLevel="0" collapsed="false">
      <c r="A327" s="48" t="n">
        <f aca="false">TB_audited!A310</f>
        <v>0</v>
      </c>
      <c r="B327" s="49"/>
      <c r="C327" s="50"/>
      <c r="D327" s="51" t="n">
        <f aca="false">TB_audited!B310</f>
        <v>0</v>
      </c>
      <c r="E327" s="52" t="n">
        <f aca="false">TB_audited!C310</f>
        <v>0</v>
      </c>
      <c r="F327" s="53" t="n">
        <f aca="false">TB_audited!D310</f>
        <v>0</v>
      </c>
      <c r="G327" s="54" t="n">
        <f aca="false">IF($D$8="Interim",TB_audited!G310,TB_audited!E310)</f>
        <v>0</v>
      </c>
      <c r="H327" s="55" t="str">
        <f aca="false">IFERROR(VLOOKUP($A327,RA_result!$B$3:$N$62,11,0),"")</f>
        <v/>
      </c>
      <c r="I327" s="55" t="str">
        <f aca="false">IFERROR(VLOOKUP($A327,RA_result!$B$3:$N$62,12,0),"")</f>
        <v/>
      </c>
      <c r="J327" s="55" t="str">
        <f aca="false">IFERROR(VLOOKUP($A327,RA_result!$B$3:$N$62,13,0),"")</f>
        <v/>
      </c>
      <c r="K327" s="56"/>
      <c r="L327" s="56"/>
      <c r="M327" s="57" t="n">
        <f aca="false">G327</f>
        <v>0</v>
      </c>
      <c r="N327" s="54" t="n">
        <f aca="false">G327-M327</f>
        <v>0</v>
      </c>
      <c r="O327" s="55" t="str">
        <f aca="false">IFERROR(VLOOKUP($A327,RA_result!$B$3:$N$62,7,0),"")</f>
        <v/>
      </c>
      <c r="P327" s="52" t="str">
        <f aca="false">IFERROR(VLOOKUP($A327,RA_result!$B$3:$N$62,9,0),"")</f>
        <v/>
      </c>
      <c r="Q327" s="52" t="str">
        <f aca="false">IFERROR(VLOOKUP($A327,RA_result!$B$3:$N$62,10,0),"")</f>
        <v/>
      </c>
      <c r="R327" s="58" t="s">
        <v>55</v>
      </c>
      <c r="S327" s="59" t="str">
        <f aca="false">IFERROR(VLOOKUP($A327,RA_result!$B$3:$N$62,4,0),"")</f>
        <v/>
      </c>
      <c r="T327" s="60" t="s">
        <v>56</v>
      </c>
      <c r="U327" s="59" t="str">
        <f aca="false">IFERROR(IF(VLOOKUP($A327,RA_result!$B$3:$N$62,6,0)="",S327*T327,VLOOKUP($A327,RA_result!$B$3:$N$62,6,0)),"")</f>
        <v/>
      </c>
      <c r="V327" s="61" t="s">
        <v>56</v>
      </c>
      <c r="W327" s="62" t="n">
        <f aca="false">IFERROR((S327*30%)/V327,0)</f>
        <v>0</v>
      </c>
      <c r="X327" s="63" t="n">
        <f aca="false">IFERROR(N327/W327,0)</f>
        <v>0</v>
      </c>
      <c r="Y327" s="68"/>
      <c r="Z327" s="57"/>
      <c r="AA327" s="69" t="str">
        <f aca="false">IF(OR(U327="",Y327="",Z327=""),"",IF(AND(U327&gt;Y327,-U327&lt;Z327),"Ok","Not Ok"))</f>
        <v/>
      </c>
      <c r="AB327" s="70"/>
    </row>
    <row r="328" customFormat="false" ht="12.8" hidden="false" customHeight="false" outlineLevel="0" collapsed="false">
      <c r="A328" s="48" t="n">
        <f aca="false">TB_audited!A311</f>
        <v>0</v>
      </c>
      <c r="B328" s="49"/>
      <c r="C328" s="50"/>
      <c r="D328" s="51" t="n">
        <f aca="false">TB_audited!B311</f>
        <v>0</v>
      </c>
      <c r="E328" s="52" t="n">
        <f aca="false">TB_audited!C311</f>
        <v>0</v>
      </c>
      <c r="F328" s="53" t="n">
        <f aca="false">TB_audited!D311</f>
        <v>0</v>
      </c>
      <c r="G328" s="54" t="n">
        <f aca="false">IF($D$8="Interim",TB_audited!G311,TB_audited!E311)</f>
        <v>0</v>
      </c>
      <c r="H328" s="55" t="str">
        <f aca="false">IFERROR(VLOOKUP($A328,RA_result!$B$3:$N$62,11,0),"")</f>
        <v/>
      </c>
      <c r="I328" s="55" t="str">
        <f aca="false">IFERROR(VLOOKUP($A328,RA_result!$B$3:$N$62,12,0),"")</f>
        <v/>
      </c>
      <c r="J328" s="55" t="str">
        <f aca="false">IFERROR(VLOOKUP($A328,RA_result!$B$3:$N$62,13,0),"")</f>
        <v/>
      </c>
      <c r="K328" s="56"/>
      <c r="L328" s="56"/>
      <c r="M328" s="57" t="n">
        <f aca="false">G328</f>
        <v>0</v>
      </c>
      <c r="N328" s="54" t="n">
        <f aca="false">G328-M328</f>
        <v>0</v>
      </c>
      <c r="O328" s="55" t="str">
        <f aca="false">IFERROR(VLOOKUP($A328,RA_result!$B$3:$N$62,7,0),"")</f>
        <v/>
      </c>
      <c r="P328" s="52" t="str">
        <f aca="false">IFERROR(VLOOKUP($A328,RA_result!$B$3:$N$62,9,0),"")</f>
        <v/>
      </c>
      <c r="Q328" s="52" t="str">
        <f aca="false">IFERROR(VLOOKUP($A328,RA_result!$B$3:$N$62,10,0),"")</f>
        <v/>
      </c>
      <c r="R328" s="58" t="s">
        <v>55</v>
      </c>
      <c r="S328" s="59" t="str">
        <f aca="false">IFERROR(VLOOKUP($A328,RA_result!$B$3:$N$62,4,0),"")</f>
        <v/>
      </c>
      <c r="T328" s="60" t="s">
        <v>56</v>
      </c>
      <c r="U328" s="59" t="str">
        <f aca="false">IFERROR(IF(VLOOKUP($A328,RA_result!$B$3:$N$62,6,0)="",S328*T328,VLOOKUP($A328,RA_result!$B$3:$N$62,6,0)),"")</f>
        <v/>
      </c>
      <c r="V328" s="61" t="s">
        <v>56</v>
      </c>
      <c r="W328" s="62" t="n">
        <f aca="false">IFERROR((S328*30%)/V328,0)</f>
        <v>0</v>
      </c>
      <c r="X328" s="63" t="n">
        <f aca="false">IFERROR(N328/W328,0)</f>
        <v>0</v>
      </c>
      <c r="Y328" s="68"/>
      <c r="Z328" s="57"/>
      <c r="AA328" s="69" t="str">
        <f aca="false">IF(OR(U328="",Y328="",Z328=""),"",IF(AND(U328&gt;Y328,-U328&lt;Z328),"Ok","Not Ok"))</f>
        <v/>
      </c>
      <c r="AB328" s="70"/>
    </row>
    <row r="329" customFormat="false" ht="12.8" hidden="false" customHeight="false" outlineLevel="0" collapsed="false">
      <c r="A329" s="48" t="n">
        <f aca="false">TB_audited!A312</f>
        <v>0</v>
      </c>
      <c r="B329" s="49"/>
      <c r="C329" s="50"/>
      <c r="D329" s="51" t="n">
        <f aca="false">TB_audited!B312</f>
        <v>0</v>
      </c>
      <c r="E329" s="52" t="n">
        <f aca="false">TB_audited!C312</f>
        <v>0</v>
      </c>
      <c r="F329" s="53" t="n">
        <f aca="false">TB_audited!D312</f>
        <v>0</v>
      </c>
      <c r="G329" s="54" t="n">
        <f aca="false">IF($D$8="Interim",TB_audited!G312,TB_audited!E312)</f>
        <v>0</v>
      </c>
      <c r="H329" s="55" t="str">
        <f aca="false">IFERROR(VLOOKUP($A329,RA_result!$B$3:$N$62,11,0),"")</f>
        <v/>
      </c>
      <c r="I329" s="55" t="str">
        <f aca="false">IFERROR(VLOOKUP($A329,RA_result!$B$3:$N$62,12,0),"")</f>
        <v/>
      </c>
      <c r="J329" s="55" t="str">
        <f aca="false">IFERROR(VLOOKUP($A329,RA_result!$B$3:$N$62,13,0),"")</f>
        <v/>
      </c>
      <c r="K329" s="56"/>
      <c r="L329" s="56"/>
      <c r="M329" s="57" t="n">
        <f aca="false">G329</f>
        <v>0</v>
      </c>
      <c r="N329" s="54" t="n">
        <f aca="false">G329-M329</f>
        <v>0</v>
      </c>
      <c r="O329" s="55" t="str">
        <f aca="false">IFERROR(VLOOKUP($A329,RA_result!$B$3:$N$62,7,0),"")</f>
        <v/>
      </c>
      <c r="P329" s="52" t="str">
        <f aca="false">IFERROR(VLOOKUP($A329,RA_result!$B$3:$N$62,9,0),"")</f>
        <v/>
      </c>
      <c r="Q329" s="52" t="str">
        <f aca="false">IFERROR(VLOOKUP($A329,RA_result!$B$3:$N$62,10,0),"")</f>
        <v/>
      </c>
      <c r="R329" s="58" t="s">
        <v>55</v>
      </c>
      <c r="S329" s="59" t="str">
        <f aca="false">IFERROR(VLOOKUP($A329,RA_result!$B$3:$N$62,4,0),"")</f>
        <v/>
      </c>
      <c r="T329" s="60" t="s">
        <v>56</v>
      </c>
      <c r="U329" s="59" t="str">
        <f aca="false">IFERROR(IF(VLOOKUP($A329,RA_result!$B$3:$N$62,6,0)="",S329*T329,VLOOKUP($A329,RA_result!$B$3:$N$62,6,0)),"")</f>
        <v/>
      </c>
      <c r="V329" s="61" t="s">
        <v>56</v>
      </c>
      <c r="W329" s="62" t="n">
        <f aca="false">IFERROR((S329*30%)/V329,0)</f>
        <v>0</v>
      </c>
      <c r="X329" s="63" t="n">
        <f aca="false">IFERROR(N329/W329,0)</f>
        <v>0</v>
      </c>
      <c r="Y329" s="68"/>
      <c r="Z329" s="57"/>
      <c r="AA329" s="69" t="str">
        <f aca="false">IF(OR(U329="",Y329="",Z329=""),"",IF(AND(U329&gt;Y329,-U329&lt;Z329),"Ok","Not Ok"))</f>
        <v/>
      </c>
      <c r="AB329" s="70"/>
    </row>
    <row r="330" customFormat="false" ht="12.8" hidden="false" customHeight="false" outlineLevel="0" collapsed="false">
      <c r="A330" s="48" t="n">
        <f aca="false">TB_audited!A313</f>
        <v>0</v>
      </c>
      <c r="B330" s="49"/>
      <c r="C330" s="50"/>
      <c r="D330" s="51" t="n">
        <f aca="false">TB_audited!B313</f>
        <v>0</v>
      </c>
      <c r="E330" s="52" t="n">
        <f aca="false">TB_audited!C313</f>
        <v>0</v>
      </c>
      <c r="F330" s="53" t="n">
        <f aca="false">TB_audited!D313</f>
        <v>0</v>
      </c>
      <c r="G330" s="54" t="n">
        <f aca="false">IF($D$8="Interim",TB_audited!G313,TB_audited!E313)</f>
        <v>0</v>
      </c>
      <c r="H330" s="55" t="str">
        <f aca="false">IFERROR(VLOOKUP($A330,RA_result!$B$3:$N$62,11,0),"")</f>
        <v/>
      </c>
      <c r="I330" s="55" t="str">
        <f aca="false">IFERROR(VLOOKUP($A330,RA_result!$B$3:$N$62,12,0),"")</f>
        <v/>
      </c>
      <c r="J330" s="55" t="str">
        <f aca="false">IFERROR(VLOOKUP($A330,RA_result!$B$3:$N$62,13,0),"")</f>
        <v/>
      </c>
      <c r="K330" s="56"/>
      <c r="L330" s="56"/>
      <c r="M330" s="57" t="n">
        <f aca="false">G330</f>
        <v>0</v>
      </c>
      <c r="N330" s="54" t="n">
        <f aca="false">G330-M330</f>
        <v>0</v>
      </c>
      <c r="O330" s="55" t="str">
        <f aca="false">IFERROR(VLOOKUP($A330,RA_result!$B$3:$N$62,7,0),"")</f>
        <v/>
      </c>
      <c r="P330" s="52" t="str">
        <f aca="false">IFERROR(VLOOKUP($A330,RA_result!$B$3:$N$62,9,0),"")</f>
        <v/>
      </c>
      <c r="Q330" s="52" t="str">
        <f aca="false">IFERROR(VLOOKUP($A330,RA_result!$B$3:$N$62,10,0),"")</f>
        <v/>
      </c>
      <c r="R330" s="58" t="s">
        <v>55</v>
      </c>
      <c r="S330" s="59" t="str">
        <f aca="false">IFERROR(VLOOKUP($A330,RA_result!$B$3:$N$62,4,0),"")</f>
        <v/>
      </c>
      <c r="T330" s="60" t="s">
        <v>56</v>
      </c>
      <c r="U330" s="59" t="str">
        <f aca="false">IFERROR(IF(VLOOKUP($A330,RA_result!$B$3:$N$62,6,0)="",S330*T330,VLOOKUP($A330,RA_result!$B$3:$N$62,6,0)),"")</f>
        <v/>
      </c>
      <c r="V330" s="61" t="s">
        <v>56</v>
      </c>
      <c r="W330" s="62" t="n">
        <f aca="false">IFERROR((S330*30%)/V330,0)</f>
        <v>0</v>
      </c>
      <c r="X330" s="63" t="n">
        <f aca="false">IFERROR(N330/W330,0)</f>
        <v>0</v>
      </c>
      <c r="Y330" s="68"/>
      <c r="Z330" s="57"/>
      <c r="AA330" s="69" t="str">
        <f aca="false">IF(OR(U330="",Y330="",Z330=""),"",IF(AND(U330&gt;Y330,-U330&lt;Z330),"Ok","Not Ok"))</f>
        <v/>
      </c>
      <c r="AB330" s="70"/>
    </row>
    <row r="331" customFormat="false" ht="12.8" hidden="false" customHeight="false" outlineLevel="0" collapsed="false">
      <c r="A331" s="48" t="n">
        <f aca="false">TB_audited!A314</f>
        <v>0</v>
      </c>
      <c r="B331" s="49"/>
      <c r="C331" s="50"/>
      <c r="D331" s="51" t="n">
        <f aca="false">TB_audited!B314</f>
        <v>0</v>
      </c>
      <c r="E331" s="52" t="n">
        <f aca="false">TB_audited!C314</f>
        <v>0</v>
      </c>
      <c r="F331" s="53" t="n">
        <f aca="false">TB_audited!D314</f>
        <v>0</v>
      </c>
      <c r="G331" s="54" t="n">
        <f aca="false">IF($D$8="Interim",TB_audited!G314,TB_audited!E314)</f>
        <v>0</v>
      </c>
      <c r="H331" s="55" t="str">
        <f aca="false">IFERROR(VLOOKUP($A331,RA_result!$B$3:$N$62,11,0),"")</f>
        <v/>
      </c>
      <c r="I331" s="55" t="str">
        <f aca="false">IFERROR(VLOOKUP($A331,RA_result!$B$3:$N$62,12,0),"")</f>
        <v/>
      </c>
      <c r="J331" s="55" t="str">
        <f aca="false">IFERROR(VLOOKUP($A331,RA_result!$B$3:$N$62,13,0),"")</f>
        <v/>
      </c>
      <c r="K331" s="56"/>
      <c r="L331" s="56"/>
      <c r="M331" s="57" t="n">
        <f aca="false">G331</f>
        <v>0</v>
      </c>
      <c r="N331" s="54" t="n">
        <f aca="false">G331-M331</f>
        <v>0</v>
      </c>
      <c r="O331" s="55" t="str">
        <f aca="false">IFERROR(VLOOKUP($A331,RA_result!$B$3:$N$62,7,0),"")</f>
        <v/>
      </c>
      <c r="P331" s="52" t="str">
        <f aca="false">IFERROR(VLOOKUP($A331,RA_result!$B$3:$N$62,9,0),"")</f>
        <v/>
      </c>
      <c r="Q331" s="52" t="str">
        <f aca="false">IFERROR(VLOOKUP($A331,RA_result!$B$3:$N$62,10,0),"")</f>
        <v/>
      </c>
      <c r="R331" s="58" t="s">
        <v>55</v>
      </c>
      <c r="S331" s="59" t="str">
        <f aca="false">IFERROR(VLOOKUP($A331,RA_result!$B$3:$N$62,4,0),"")</f>
        <v/>
      </c>
      <c r="T331" s="60" t="s">
        <v>56</v>
      </c>
      <c r="U331" s="59" t="str">
        <f aca="false">IFERROR(IF(VLOOKUP($A331,RA_result!$B$3:$N$62,6,0)="",S331*T331,VLOOKUP($A331,RA_result!$B$3:$N$62,6,0)),"")</f>
        <v/>
      </c>
      <c r="V331" s="61" t="s">
        <v>56</v>
      </c>
      <c r="W331" s="62" t="n">
        <f aca="false">IFERROR((S331*30%)/V331,0)</f>
        <v>0</v>
      </c>
      <c r="X331" s="63" t="n">
        <f aca="false">IFERROR(N331/W331,0)</f>
        <v>0</v>
      </c>
      <c r="Y331" s="68"/>
      <c r="Z331" s="57"/>
      <c r="AA331" s="69" t="str">
        <f aca="false">IF(OR(U331="",Y331="",Z331=""),"",IF(AND(U331&gt;Y331,-U331&lt;Z331),"Ok","Not Ok"))</f>
        <v/>
      </c>
      <c r="AB331" s="70"/>
    </row>
    <row r="332" customFormat="false" ht="12.8" hidden="false" customHeight="false" outlineLevel="0" collapsed="false">
      <c r="A332" s="48" t="n">
        <f aca="false">TB_audited!A315</f>
        <v>0</v>
      </c>
      <c r="B332" s="49"/>
      <c r="C332" s="50"/>
      <c r="D332" s="51" t="n">
        <f aca="false">TB_audited!B315</f>
        <v>0</v>
      </c>
      <c r="E332" s="52" t="n">
        <f aca="false">TB_audited!C315</f>
        <v>0</v>
      </c>
      <c r="F332" s="53" t="n">
        <f aca="false">TB_audited!D315</f>
        <v>0</v>
      </c>
      <c r="G332" s="54" t="n">
        <f aca="false">IF($D$8="Interim",TB_audited!G315,TB_audited!E315)</f>
        <v>0</v>
      </c>
      <c r="H332" s="55" t="str">
        <f aca="false">IFERROR(VLOOKUP($A332,RA_result!$B$3:$N$62,11,0),"")</f>
        <v/>
      </c>
      <c r="I332" s="55" t="str">
        <f aca="false">IFERROR(VLOOKUP($A332,RA_result!$B$3:$N$62,12,0),"")</f>
        <v/>
      </c>
      <c r="J332" s="55" t="str">
        <f aca="false">IFERROR(VLOOKUP($A332,RA_result!$B$3:$N$62,13,0),"")</f>
        <v/>
      </c>
      <c r="K332" s="56"/>
      <c r="L332" s="56"/>
      <c r="M332" s="57" t="n">
        <f aca="false">G332</f>
        <v>0</v>
      </c>
      <c r="N332" s="54" t="n">
        <f aca="false">G332-M332</f>
        <v>0</v>
      </c>
      <c r="O332" s="55" t="str">
        <f aca="false">IFERROR(VLOOKUP($A332,RA_result!$B$3:$N$62,7,0),"")</f>
        <v/>
      </c>
      <c r="P332" s="52" t="str">
        <f aca="false">IFERROR(VLOOKUP($A332,RA_result!$B$3:$N$62,9,0),"")</f>
        <v/>
      </c>
      <c r="Q332" s="52" t="str">
        <f aca="false">IFERROR(VLOOKUP($A332,RA_result!$B$3:$N$62,10,0),"")</f>
        <v/>
      </c>
      <c r="R332" s="58" t="s">
        <v>55</v>
      </c>
      <c r="S332" s="59" t="str">
        <f aca="false">IFERROR(VLOOKUP($A332,RA_result!$B$3:$N$62,4,0),"")</f>
        <v/>
      </c>
      <c r="T332" s="60" t="s">
        <v>56</v>
      </c>
      <c r="U332" s="59" t="str">
        <f aca="false">IFERROR(IF(VLOOKUP($A332,RA_result!$B$3:$N$62,6,0)="",S332*T332,VLOOKUP($A332,RA_result!$B$3:$N$62,6,0)),"")</f>
        <v/>
      </c>
      <c r="V332" s="61" t="s">
        <v>56</v>
      </c>
      <c r="W332" s="62" t="n">
        <f aca="false">IFERROR((S332*30%)/V332,0)</f>
        <v>0</v>
      </c>
      <c r="X332" s="63" t="n">
        <f aca="false">IFERROR(N332/W332,0)</f>
        <v>0</v>
      </c>
      <c r="Y332" s="68"/>
      <c r="Z332" s="57"/>
      <c r="AA332" s="69" t="str">
        <f aca="false">IF(OR(U332="",Y332="",Z332=""),"",IF(AND(U332&gt;Y332,-U332&lt;Z332),"Ok","Not Ok"))</f>
        <v/>
      </c>
      <c r="AB332" s="70"/>
    </row>
    <row r="333" customFormat="false" ht="12.8" hidden="false" customHeight="false" outlineLevel="0" collapsed="false">
      <c r="A333" s="48" t="n">
        <f aca="false">TB_audited!A316</f>
        <v>0</v>
      </c>
      <c r="B333" s="49"/>
      <c r="C333" s="50"/>
      <c r="D333" s="51" t="n">
        <f aca="false">TB_audited!B316</f>
        <v>0</v>
      </c>
      <c r="E333" s="52" t="n">
        <f aca="false">TB_audited!C316</f>
        <v>0</v>
      </c>
      <c r="F333" s="53" t="n">
        <f aca="false">TB_audited!D316</f>
        <v>0</v>
      </c>
      <c r="G333" s="54" t="n">
        <f aca="false">IF($D$8="Interim",TB_audited!G316,TB_audited!E316)</f>
        <v>0</v>
      </c>
      <c r="H333" s="55" t="str">
        <f aca="false">IFERROR(VLOOKUP($A333,RA_result!$B$3:$N$62,11,0),"")</f>
        <v/>
      </c>
      <c r="I333" s="55" t="str">
        <f aca="false">IFERROR(VLOOKUP($A333,RA_result!$B$3:$N$62,12,0),"")</f>
        <v/>
      </c>
      <c r="J333" s="55" t="str">
        <f aca="false">IFERROR(VLOOKUP($A333,RA_result!$B$3:$N$62,13,0),"")</f>
        <v/>
      </c>
      <c r="K333" s="56"/>
      <c r="L333" s="56"/>
      <c r="M333" s="57" t="n">
        <f aca="false">G333</f>
        <v>0</v>
      </c>
      <c r="N333" s="54" t="n">
        <f aca="false">G333-M333</f>
        <v>0</v>
      </c>
      <c r="O333" s="55" t="str">
        <f aca="false">IFERROR(VLOOKUP($A333,RA_result!$B$3:$N$62,7,0),"")</f>
        <v/>
      </c>
      <c r="P333" s="52" t="str">
        <f aca="false">IFERROR(VLOOKUP($A333,RA_result!$B$3:$N$62,9,0),"")</f>
        <v/>
      </c>
      <c r="Q333" s="52" t="str">
        <f aca="false">IFERROR(VLOOKUP($A333,RA_result!$B$3:$N$62,10,0),"")</f>
        <v/>
      </c>
      <c r="R333" s="58" t="s">
        <v>55</v>
      </c>
      <c r="S333" s="59" t="str">
        <f aca="false">IFERROR(VLOOKUP($A333,RA_result!$B$3:$N$62,4,0),"")</f>
        <v/>
      </c>
      <c r="T333" s="60" t="s">
        <v>56</v>
      </c>
      <c r="U333" s="59" t="str">
        <f aca="false">IFERROR(IF(VLOOKUP($A333,RA_result!$B$3:$N$62,6,0)="",S333*T333,VLOOKUP($A333,RA_result!$B$3:$N$62,6,0)),"")</f>
        <v/>
      </c>
      <c r="V333" s="61" t="s">
        <v>56</v>
      </c>
      <c r="W333" s="62" t="n">
        <f aca="false">IFERROR((S333*30%)/V333,0)</f>
        <v>0</v>
      </c>
      <c r="X333" s="63" t="n">
        <f aca="false">IFERROR(N333/W333,0)</f>
        <v>0</v>
      </c>
      <c r="Y333" s="68"/>
      <c r="Z333" s="57"/>
      <c r="AA333" s="69" t="str">
        <f aca="false">IF(OR(U333="",Y333="",Z333=""),"",IF(AND(U333&gt;Y333,-U333&lt;Z333),"Ok","Not Ok"))</f>
        <v/>
      </c>
      <c r="AB333" s="70"/>
    </row>
    <row r="334" customFormat="false" ht="12.8" hidden="false" customHeight="false" outlineLevel="0" collapsed="false">
      <c r="A334" s="48" t="n">
        <f aca="false">TB_audited!A317</f>
        <v>0</v>
      </c>
      <c r="B334" s="49"/>
      <c r="C334" s="50"/>
      <c r="D334" s="51" t="n">
        <f aca="false">TB_audited!B317</f>
        <v>0</v>
      </c>
      <c r="E334" s="52" t="n">
        <f aca="false">TB_audited!C317</f>
        <v>0</v>
      </c>
      <c r="F334" s="53" t="n">
        <f aca="false">TB_audited!D317</f>
        <v>0</v>
      </c>
      <c r="G334" s="54" t="n">
        <f aca="false">IF($D$8="Interim",TB_audited!G317,TB_audited!E317)</f>
        <v>0</v>
      </c>
      <c r="H334" s="55" t="str">
        <f aca="false">IFERROR(VLOOKUP($A334,RA_result!$B$3:$N$62,11,0),"")</f>
        <v/>
      </c>
      <c r="I334" s="55" t="str">
        <f aca="false">IFERROR(VLOOKUP($A334,RA_result!$B$3:$N$62,12,0),"")</f>
        <v/>
      </c>
      <c r="J334" s="55" t="str">
        <f aca="false">IFERROR(VLOOKUP($A334,RA_result!$B$3:$N$62,13,0),"")</f>
        <v/>
      </c>
      <c r="K334" s="56"/>
      <c r="L334" s="56"/>
      <c r="M334" s="57" t="n">
        <f aca="false">G334</f>
        <v>0</v>
      </c>
      <c r="N334" s="54" t="n">
        <f aca="false">G334-M334</f>
        <v>0</v>
      </c>
      <c r="O334" s="55" t="str">
        <f aca="false">IFERROR(VLOOKUP($A334,RA_result!$B$3:$N$62,7,0),"")</f>
        <v/>
      </c>
      <c r="P334" s="52" t="str">
        <f aca="false">IFERROR(VLOOKUP($A334,RA_result!$B$3:$N$62,9,0),"")</f>
        <v/>
      </c>
      <c r="Q334" s="52" t="str">
        <f aca="false">IFERROR(VLOOKUP($A334,RA_result!$B$3:$N$62,10,0),"")</f>
        <v/>
      </c>
      <c r="R334" s="58" t="s">
        <v>55</v>
      </c>
      <c r="S334" s="59" t="str">
        <f aca="false">IFERROR(VLOOKUP($A334,RA_result!$B$3:$N$62,4,0),"")</f>
        <v/>
      </c>
      <c r="T334" s="60" t="s">
        <v>56</v>
      </c>
      <c r="U334" s="59" t="str">
        <f aca="false">IFERROR(IF(VLOOKUP($A334,RA_result!$B$3:$N$62,6,0)="",S334*T334,VLOOKUP($A334,RA_result!$B$3:$N$62,6,0)),"")</f>
        <v/>
      </c>
      <c r="V334" s="61" t="s">
        <v>56</v>
      </c>
      <c r="W334" s="62" t="n">
        <f aca="false">IFERROR((S334*30%)/V334,0)</f>
        <v>0</v>
      </c>
      <c r="X334" s="63" t="n">
        <f aca="false">IFERROR(N334/W334,0)</f>
        <v>0</v>
      </c>
      <c r="Y334" s="68"/>
      <c r="Z334" s="57"/>
      <c r="AA334" s="69" t="str">
        <f aca="false">IF(OR(U334="",Y334="",Z334=""),"",IF(AND(U334&gt;Y334,-U334&lt;Z334),"Ok","Not Ok"))</f>
        <v/>
      </c>
      <c r="AB334" s="70"/>
    </row>
    <row r="335" customFormat="false" ht="12.8" hidden="false" customHeight="false" outlineLevel="0" collapsed="false">
      <c r="A335" s="48" t="n">
        <f aca="false">TB_audited!A318</f>
        <v>0</v>
      </c>
      <c r="B335" s="49"/>
      <c r="C335" s="50"/>
      <c r="D335" s="51" t="n">
        <f aca="false">TB_audited!B318</f>
        <v>0</v>
      </c>
      <c r="E335" s="52" t="n">
        <f aca="false">TB_audited!C318</f>
        <v>0</v>
      </c>
      <c r="F335" s="53" t="n">
        <f aca="false">TB_audited!D318</f>
        <v>0</v>
      </c>
      <c r="G335" s="54" t="n">
        <f aca="false">IF($D$8="Interim",TB_audited!G318,TB_audited!E318)</f>
        <v>0</v>
      </c>
      <c r="H335" s="55" t="str">
        <f aca="false">IFERROR(VLOOKUP($A335,RA_result!$B$3:$N$62,11,0),"")</f>
        <v/>
      </c>
      <c r="I335" s="55" t="str">
        <f aca="false">IFERROR(VLOOKUP($A335,RA_result!$B$3:$N$62,12,0),"")</f>
        <v/>
      </c>
      <c r="J335" s="55" t="str">
        <f aca="false">IFERROR(VLOOKUP($A335,RA_result!$B$3:$N$62,13,0),"")</f>
        <v/>
      </c>
      <c r="K335" s="56"/>
      <c r="L335" s="56"/>
      <c r="M335" s="57" t="n">
        <f aca="false">G335</f>
        <v>0</v>
      </c>
      <c r="N335" s="54" t="n">
        <f aca="false">G335-M335</f>
        <v>0</v>
      </c>
      <c r="O335" s="55" t="str">
        <f aca="false">IFERROR(VLOOKUP($A335,RA_result!$B$3:$N$62,7,0),"")</f>
        <v/>
      </c>
      <c r="P335" s="52" t="str">
        <f aca="false">IFERROR(VLOOKUP($A335,RA_result!$B$3:$N$62,9,0),"")</f>
        <v/>
      </c>
      <c r="Q335" s="52" t="str">
        <f aca="false">IFERROR(VLOOKUP($A335,RA_result!$B$3:$N$62,10,0),"")</f>
        <v/>
      </c>
      <c r="R335" s="58" t="s">
        <v>55</v>
      </c>
      <c r="S335" s="59" t="str">
        <f aca="false">IFERROR(VLOOKUP($A335,RA_result!$B$3:$N$62,4,0),"")</f>
        <v/>
      </c>
      <c r="T335" s="60" t="s">
        <v>56</v>
      </c>
      <c r="U335" s="59" t="str">
        <f aca="false">IFERROR(IF(VLOOKUP($A335,RA_result!$B$3:$N$62,6,0)="",S335*T335,VLOOKUP($A335,RA_result!$B$3:$N$62,6,0)),"")</f>
        <v/>
      </c>
      <c r="V335" s="61" t="s">
        <v>56</v>
      </c>
      <c r="W335" s="62" t="n">
        <f aca="false">IFERROR((S335*30%)/V335,0)</f>
        <v>0</v>
      </c>
      <c r="X335" s="63" t="n">
        <f aca="false">IFERROR(N335/W335,0)</f>
        <v>0</v>
      </c>
      <c r="Y335" s="68"/>
      <c r="Z335" s="57"/>
      <c r="AA335" s="69" t="str">
        <f aca="false">IF(OR(U335="",Y335="",Z335=""),"",IF(AND(U335&gt;Y335,-U335&lt;Z335),"Ok","Not Ok"))</f>
        <v/>
      </c>
      <c r="AB335" s="70"/>
    </row>
    <row r="336" customFormat="false" ht="12.8" hidden="false" customHeight="false" outlineLevel="0" collapsed="false">
      <c r="A336" s="48" t="n">
        <f aca="false">TB_audited!A319</f>
        <v>0</v>
      </c>
      <c r="B336" s="49"/>
      <c r="C336" s="50"/>
      <c r="D336" s="51" t="n">
        <f aca="false">TB_audited!B319</f>
        <v>0</v>
      </c>
      <c r="E336" s="52" t="n">
        <f aca="false">TB_audited!C319</f>
        <v>0</v>
      </c>
      <c r="F336" s="53" t="n">
        <f aca="false">TB_audited!D319</f>
        <v>0</v>
      </c>
      <c r="G336" s="54" t="n">
        <f aca="false">IF($D$8="Interim",TB_audited!G319,TB_audited!E319)</f>
        <v>0</v>
      </c>
      <c r="H336" s="55" t="str">
        <f aca="false">IFERROR(VLOOKUP($A336,RA_result!$B$3:$N$62,11,0),"")</f>
        <v/>
      </c>
      <c r="I336" s="55" t="str">
        <f aca="false">IFERROR(VLOOKUP($A336,RA_result!$B$3:$N$62,12,0),"")</f>
        <v/>
      </c>
      <c r="J336" s="55" t="str">
        <f aca="false">IFERROR(VLOOKUP($A336,RA_result!$B$3:$N$62,13,0),"")</f>
        <v/>
      </c>
      <c r="K336" s="56"/>
      <c r="L336" s="56"/>
      <c r="M336" s="57" t="n">
        <f aca="false">G336</f>
        <v>0</v>
      </c>
      <c r="N336" s="54" t="n">
        <f aca="false">G336-M336</f>
        <v>0</v>
      </c>
      <c r="O336" s="55" t="str">
        <f aca="false">IFERROR(VLOOKUP($A336,RA_result!$B$3:$N$62,7,0),"")</f>
        <v/>
      </c>
      <c r="P336" s="52" t="str">
        <f aca="false">IFERROR(VLOOKUP($A336,RA_result!$B$3:$N$62,9,0),"")</f>
        <v/>
      </c>
      <c r="Q336" s="52" t="str">
        <f aca="false">IFERROR(VLOOKUP($A336,RA_result!$B$3:$N$62,10,0),"")</f>
        <v/>
      </c>
      <c r="R336" s="58" t="s">
        <v>55</v>
      </c>
      <c r="S336" s="59" t="str">
        <f aca="false">IFERROR(VLOOKUP($A336,RA_result!$B$3:$N$62,4,0),"")</f>
        <v/>
      </c>
      <c r="T336" s="60" t="s">
        <v>56</v>
      </c>
      <c r="U336" s="59" t="str">
        <f aca="false">IFERROR(IF(VLOOKUP($A336,RA_result!$B$3:$N$62,6,0)="",S336*T336,VLOOKUP($A336,RA_result!$B$3:$N$62,6,0)),"")</f>
        <v/>
      </c>
      <c r="V336" s="61" t="s">
        <v>56</v>
      </c>
      <c r="W336" s="62" t="n">
        <f aca="false">IFERROR((S336*30%)/V336,0)</f>
        <v>0</v>
      </c>
      <c r="X336" s="63" t="n">
        <f aca="false">IFERROR(N336/W336,0)</f>
        <v>0</v>
      </c>
      <c r="Y336" s="68"/>
      <c r="Z336" s="57"/>
      <c r="AA336" s="69" t="str">
        <f aca="false">IF(OR(U336="",Y336="",Z336=""),"",IF(AND(U336&gt;Y336,-U336&lt;Z336),"Ok","Not Ok"))</f>
        <v/>
      </c>
      <c r="AB336" s="70"/>
    </row>
    <row r="337" customFormat="false" ht="12.8" hidden="false" customHeight="false" outlineLevel="0" collapsed="false">
      <c r="A337" s="48" t="n">
        <f aca="false">TB_audited!A320</f>
        <v>0</v>
      </c>
      <c r="B337" s="49"/>
      <c r="C337" s="50"/>
      <c r="D337" s="51" t="n">
        <f aca="false">TB_audited!B320</f>
        <v>0</v>
      </c>
      <c r="E337" s="52" t="n">
        <f aca="false">TB_audited!C320</f>
        <v>0</v>
      </c>
      <c r="F337" s="53" t="n">
        <f aca="false">TB_audited!D320</f>
        <v>0</v>
      </c>
      <c r="G337" s="54" t="n">
        <f aca="false">IF($D$8="Interim",TB_audited!G320,TB_audited!E320)</f>
        <v>0</v>
      </c>
      <c r="H337" s="55" t="str">
        <f aca="false">IFERROR(VLOOKUP($A337,RA_result!$B$3:$N$62,11,0),"")</f>
        <v/>
      </c>
      <c r="I337" s="55" t="str">
        <f aca="false">IFERROR(VLOOKUP($A337,RA_result!$B$3:$N$62,12,0),"")</f>
        <v/>
      </c>
      <c r="J337" s="55" t="str">
        <f aca="false">IFERROR(VLOOKUP($A337,RA_result!$B$3:$N$62,13,0),"")</f>
        <v/>
      </c>
      <c r="K337" s="56"/>
      <c r="L337" s="56"/>
      <c r="M337" s="57" t="n">
        <f aca="false">G337</f>
        <v>0</v>
      </c>
      <c r="N337" s="54" t="n">
        <f aca="false">G337-M337</f>
        <v>0</v>
      </c>
      <c r="O337" s="55" t="str">
        <f aca="false">IFERROR(VLOOKUP($A337,RA_result!$B$3:$N$62,7,0),"")</f>
        <v/>
      </c>
      <c r="P337" s="52" t="str">
        <f aca="false">IFERROR(VLOOKUP($A337,RA_result!$B$3:$N$62,9,0),"")</f>
        <v/>
      </c>
      <c r="Q337" s="52" t="str">
        <f aca="false">IFERROR(VLOOKUP($A337,RA_result!$B$3:$N$62,10,0),"")</f>
        <v/>
      </c>
      <c r="R337" s="58" t="s">
        <v>55</v>
      </c>
      <c r="S337" s="59" t="str">
        <f aca="false">IFERROR(VLOOKUP($A337,RA_result!$B$3:$N$62,4,0),"")</f>
        <v/>
      </c>
      <c r="T337" s="60" t="s">
        <v>56</v>
      </c>
      <c r="U337" s="59" t="str">
        <f aca="false">IFERROR(IF(VLOOKUP($A337,RA_result!$B$3:$N$62,6,0)="",S337*T337,VLOOKUP($A337,RA_result!$B$3:$N$62,6,0)),"")</f>
        <v/>
      </c>
      <c r="V337" s="61" t="s">
        <v>56</v>
      </c>
      <c r="W337" s="62" t="n">
        <f aca="false">IFERROR((S337*30%)/V337,0)</f>
        <v>0</v>
      </c>
      <c r="X337" s="63" t="n">
        <f aca="false">IFERROR(N337/W337,0)</f>
        <v>0</v>
      </c>
      <c r="Y337" s="68"/>
      <c r="Z337" s="57"/>
      <c r="AA337" s="69" t="str">
        <f aca="false">IF(OR(U337="",Y337="",Z337=""),"",IF(AND(U337&gt;Y337,-U337&lt;Z337),"Ok","Not Ok"))</f>
        <v/>
      </c>
      <c r="AB337" s="70"/>
    </row>
    <row r="338" customFormat="false" ht="12.8" hidden="false" customHeight="false" outlineLevel="0" collapsed="false">
      <c r="A338" s="48" t="n">
        <f aca="false">TB_audited!A321</f>
        <v>0</v>
      </c>
      <c r="B338" s="49"/>
      <c r="C338" s="50"/>
      <c r="D338" s="51" t="n">
        <f aca="false">TB_audited!B321</f>
        <v>0</v>
      </c>
      <c r="E338" s="52" t="n">
        <f aca="false">TB_audited!C321</f>
        <v>0</v>
      </c>
      <c r="F338" s="53" t="n">
        <f aca="false">TB_audited!D321</f>
        <v>0</v>
      </c>
      <c r="G338" s="54" t="n">
        <f aca="false">IF($D$8="Interim",TB_audited!G321,TB_audited!E321)</f>
        <v>0</v>
      </c>
      <c r="H338" s="55" t="str">
        <f aca="false">IFERROR(VLOOKUP($A338,RA_result!$B$3:$N$62,11,0),"")</f>
        <v/>
      </c>
      <c r="I338" s="55" t="str">
        <f aca="false">IFERROR(VLOOKUP($A338,RA_result!$B$3:$N$62,12,0),"")</f>
        <v/>
      </c>
      <c r="J338" s="55" t="str">
        <f aca="false">IFERROR(VLOOKUP($A338,RA_result!$B$3:$N$62,13,0),"")</f>
        <v/>
      </c>
      <c r="K338" s="56"/>
      <c r="L338" s="56"/>
      <c r="M338" s="57" t="n">
        <f aca="false">G338</f>
        <v>0</v>
      </c>
      <c r="N338" s="54" t="n">
        <f aca="false">G338-M338</f>
        <v>0</v>
      </c>
      <c r="O338" s="55" t="str">
        <f aca="false">IFERROR(VLOOKUP($A338,RA_result!$B$3:$N$62,7,0),"")</f>
        <v/>
      </c>
      <c r="P338" s="52" t="str">
        <f aca="false">IFERROR(VLOOKUP($A338,RA_result!$B$3:$N$62,9,0),"")</f>
        <v/>
      </c>
      <c r="Q338" s="52" t="str">
        <f aca="false">IFERROR(VLOOKUP($A338,RA_result!$B$3:$N$62,10,0),"")</f>
        <v/>
      </c>
      <c r="R338" s="58" t="s">
        <v>55</v>
      </c>
      <c r="S338" s="59" t="str">
        <f aca="false">IFERROR(VLOOKUP($A338,RA_result!$B$3:$N$62,4,0),"")</f>
        <v/>
      </c>
      <c r="T338" s="60" t="s">
        <v>56</v>
      </c>
      <c r="U338" s="59" t="str">
        <f aca="false">IFERROR(IF(VLOOKUP($A338,RA_result!$B$3:$N$62,6,0)="",S338*T338,VLOOKUP($A338,RA_result!$B$3:$N$62,6,0)),"")</f>
        <v/>
      </c>
      <c r="V338" s="61" t="s">
        <v>56</v>
      </c>
      <c r="W338" s="62" t="n">
        <f aca="false">IFERROR((S338*30%)/V338,0)</f>
        <v>0</v>
      </c>
      <c r="X338" s="63" t="n">
        <f aca="false">IFERROR(N338/W338,0)</f>
        <v>0</v>
      </c>
      <c r="Y338" s="68"/>
      <c r="Z338" s="57"/>
      <c r="AA338" s="69" t="str">
        <f aca="false">IF(OR(U338="",Y338="",Z338=""),"",IF(AND(U338&gt;Y338,-U338&lt;Z338),"Ok","Not Ok"))</f>
        <v/>
      </c>
      <c r="AB338" s="70"/>
    </row>
    <row r="339" customFormat="false" ht="12.8" hidden="false" customHeight="false" outlineLevel="0" collapsed="false">
      <c r="A339" s="48" t="n">
        <f aca="false">TB_audited!A322</f>
        <v>0</v>
      </c>
      <c r="B339" s="49"/>
      <c r="C339" s="50"/>
      <c r="D339" s="51" t="n">
        <f aca="false">TB_audited!B322</f>
        <v>0</v>
      </c>
      <c r="E339" s="52" t="n">
        <f aca="false">TB_audited!C322</f>
        <v>0</v>
      </c>
      <c r="F339" s="53" t="n">
        <f aca="false">TB_audited!D322</f>
        <v>0</v>
      </c>
      <c r="G339" s="54" t="n">
        <f aca="false">IF($D$8="Interim",TB_audited!G322,TB_audited!E322)</f>
        <v>0</v>
      </c>
      <c r="H339" s="55" t="str">
        <f aca="false">IFERROR(VLOOKUP($A339,RA_result!$B$3:$N$62,11,0),"")</f>
        <v/>
      </c>
      <c r="I339" s="55" t="str">
        <f aca="false">IFERROR(VLOOKUP($A339,RA_result!$B$3:$N$62,12,0),"")</f>
        <v/>
      </c>
      <c r="J339" s="55" t="str">
        <f aca="false">IFERROR(VLOOKUP($A339,RA_result!$B$3:$N$62,13,0),"")</f>
        <v/>
      </c>
      <c r="K339" s="56"/>
      <c r="L339" s="56"/>
      <c r="M339" s="57" t="n">
        <f aca="false">G339</f>
        <v>0</v>
      </c>
      <c r="N339" s="54" t="n">
        <f aca="false">G339-M339</f>
        <v>0</v>
      </c>
      <c r="O339" s="55" t="str">
        <f aca="false">IFERROR(VLOOKUP($A339,RA_result!$B$3:$N$62,7,0),"")</f>
        <v/>
      </c>
      <c r="P339" s="52" t="str">
        <f aca="false">IFERROR(VLOOKUP($A339,RA_result!$B$3:$N$62,9,0),"")</f>
        <v/>
      </c>
      <c r="Q339" s="52" t="str">
        <f aca="false">IFERROR(VLOOKUP($A339,RA_result!$B$3:$N$62,10,0),"")</f>
        <v/>
      </c>
      <c r="R339" s="58" t="s">
        <v>55</v>
      </c>
      <c r="S339" s="59" t="str">
        <f aca="false">IFERROR(VLOOKUP($A339,RA_result!$B$3:$N$62,4,0),"")</f>
        <v/>
      </c>
      <c r="T339" s="60" t="s">
        <v>56</v>
      </c>
      <c r="U339" s="59" t="str">
        <f aca="false">IFERROR(IF(VLOOKUP($A339,RA_result!$B$3:$N$62,6,0)="",S339*T339,VLOOKUP($A339,RA_result!$B$3:$N$62,6,0)),"")</f>
        <v/>
      </c>
      <c r="V339" s="61" t="s">
        <v>56</v>
      </c>
      <c r="W339" s="62" t="n">
        <f aca="false">IFERROR((S339*30%)/V339,0)</f>
        <v>0</v>
      </c>
      <c r="X339" s="63" t="n">
        <f aca="false">IFERROR(N339/W339,0)</f>
        <v>0</v>
      </c>
      <c r="Y339" s="68"/>
      <c r="Z339" s="57"/>
      <c r="AA339" s="69" t="str">
        <f aca="false">IF(OR(U339="",Y339="",Z339=""),"",IF(AND(U339&gt;Y339,-U339&lt;Z339),"Ok","Not Ok"))</f>
        <v/>
      </c>
      <c r="AB339" s="70"/>
    </row>
    <row r="340" customFormat="false" ht="12.8" hidden="false" customHeight="false" outlineLevel="0" collapsed="false">
      <c r="A340" s="48" t="n">
        <f aca="false">TB_audited!A323</f>
        <v>0</v>
      </c>
      <c r="B340" s="49"/>
      <c r="C340" s="50"/>
      <c r="D340" s="51" t="n">
        <f aca="false">TB_audited!B323</f>
        <v>0</v>
      </c>
      <c r="E340" s="52" t="n">
        <f aca="false">TB_audited!C323</f>
        <v>0</v>
      </c>
      <c r="F340" s="53" t="n">
        <f aca="false">TB_audited!D323</f>
        <v>0</v>
      </c>
      <c r="G340" s="54" t="n">
        <f aca="false">IF($D$8="Interim",TB_audited!G323,TB_audited!E323)</f>
        <v>0</v>
      </c>
      <c r="H340" s="55" t="str">
        <f aca="false">IFERROR(VLOOKUP($A340,RA_result!$B$3:$N$62,11,0),"")</f>
        <v/>
      </c>
      <c r="I340" s="55" t="str">
        <f aca="false">IFERROR(VLOOKUP($A340,RA_result!$B$3:$N$62,12,0),"")</f>
        <v/>
      </c>
      <c r="J340" s="55" t="str">
        <f aca="false">IFERROR(VLOOKUP($A340,RA_result!$B$3:$N$62,13,0),"")</f>
        <v/>
      </c>
      <c r="K340" s="56"/>
      <c r="L340" s="56"/>
      <c r="M340" s="57" t="n">
        <f aca="false">G340</f>
        <v>0</v>
      </c>
      <c r="N340" s="54" t="n">
        <f aca="false">G340-M340</f>
        <v>0</v>
      </c>
      <c r="O340" s="55" t="str">
        <f aca="false">IFERROR(VLOOKUP($A340,RA_result!$B$3:$N$62,7,0),"")</f>
        <v/>
      </c>
      <c r="P340" s="52" t="str">
        <f aca="false">IFERROR(VLOOKUP($A340,RA_result!$B$3:$N$62,9,0),"")</f>
        <v/>
      </c>
      <c r="Q340" s="52" t="str">
        <f aca="false">IFERROR(VLOOKUP($A340,RA_result!$B$3:$N$62,10,0),"")</f>
        <v/>
      </c>
      <c r="R340" s="58" t="s">
        <v>55</v>
      </c>
      <c r="S340" s="59" t="str">
        <f aca="false">IFERROR(VLOOKUP($A340,RA_result!$B$3:$N$62,4,0),"")</f>
        <v/>
      </c>
      <c r="T340" s="60" t="s">
        <v>56</v>
      </c>
      <c r="U340" s="59" t="str">
        <f aca="false">IFERROR(IF(VLOOKUP($A340,RA_result!$B$3:$N$62,6,0)="",S340*T340,VLOOKUP($A340,RA_result!$B$3:$N$62,6,0)),"")</f>
        <v/>
      </c>
      <c r="V340" s="61" t="s">
        <v>56</v>
      </c>
      <c r="W340" s="62" t="n">
        <f aca="false">IFERROR((S340*30%)/V340,0)</f>
        <v>0</v>
      </c>
      <c r="X340" s="63" t="n">
        <f aca="false">IFERROR(N340/W340,0)</f>
        <v>0</v>
      </c>
      <c r="Y340" s="68"/>
      <c r="Z340" s="57"/>
      <c r="AA340" s="69" t="str">
        <f aca="false">IF(OR(U340="",Y340="",Z340=""),"",IF(AND(U340&gt;Y340,-U340&lt;Z340),"Ok","Not Ok"))</f>
        <v/>
      </c>
      <c r="AB340" s="70"/>
    </row>
    <row r="341" customFormat="false" ht="12.8" hidden="false" customHeight="false" outlineLevel="0" collapsed="false">
      <c r="A341" s="48" t="n">
        <f aca="false">TB_audited!A324</f>
        <v>0</v>
      </c>
      <c r="B341" s="49"/>
      <c r="C341" s="50"/>
      <c r="D341" s="51" t="n">
        <f aca="false">TB_audited!B324</f>
        <v>0</v>
      </c>
      <c r="E341" s="52" t="n">
        <f aca="false">TB_audited!C324</f>
        <v>0</v>
      </c>
      <c r="F341" s="53" t="n">
        <f aca="false">TB_audited!D324</f>
        <v>0</v>
      </c>
      <c r="G341" s="54" t="n">
        <f aca="false">IF($D$8="Interim",TB_audited!G324,TB_audited!E324)</f>
        <v>0</v>
      </c>
      <c r="H341" s="55" t="str">
        <f aca="false">IFERROR(VLOOKUP($A341,RA_result!$B$3:$N$62,11,0),"")</f>
        <v/>
      </c>
      <c r="I341" s="55" t="str">
        <f aca="false">IFERROR(VLOOKUP($A341,RA_result!$B$3:$N$62,12,0),"")</f>
        <v/>
      </c>
      <c r="J341" s="55" t="str">
        <f aca="false">IFERROR(VLOOKUP($A341,RA_result!$B$3:$N$62,13,0),"")</f>
        <v/>
      </c>
      <c r="K341" s="56"/>
      <c r="L341" s="56"/>
      <c r="M341" s="57" t="n">
        <f aca="false">G341</f>
        <v>0</v>
      </c>
      <c r="N341" s="54" t="n">
        <f aca="false">G341-M341</f>
        <v>0</v>
      </c>
      <c r="O341" s="55" t="str">
        <f aca="false">IFERROR(VLOOKUP($A341,RA_result!$B$3:$N$62,7,0),"")</f>
        <v/>
      </c>
      <c r="P341" s="52" t="str">
        <f aca="false">IFERROR(VLOOKUP($A341,RA_result!$B$3:$N$62,9,0),"")</f>
        <v/>
      </c>
      <c r="Q341" s="52" t="str">
        <f aca="false">IFERROR(VLOOKUP($A341,RA_result!$B$3:$N$62,10,0),"")</f>
        <v/>
      </c>
      <c r="R341" s="58" t="s">
        <v>55</v>
      </c>
      <c r="S341" s="59" t="str">
        <f aca="false">IFERROR(VLOOKUP($A341,RA_result!$B$3:$N$62,4,0),"")</f>
        <v/>
      </c>
      <c r="T341" s="60" t="s">
        <v>56</v>
      </c>
      <c r="U341" s="59" t="str">
        <f aca="false">IFERROR(IF(VLOOKUP($A341,RA_result!$B$3:$N$62,6,0)="",S341*T341,VLOOKUP($A341,RA_result!$B$3:$N$62,6,0)),"")</f>
        <v/>
      </c>
      <c r="V341" s="61" t="s">
        <v>56</v>
      </c>
      <c r="W341" s="62" t="n">
        <f aca="false">IFERROR((S341*30%)/V341,0)</f>
        <v>0</v>
      </c>
      <c r="X341" s="63" t="n">
        <f aca="false">IFERROR(N341/W341,0)</f>
        <v>0</v>
      </c>
      <c r="Y341" s="68"/>
      <c r="Z341" s="57"/>
      <c r="AA341" s="69" t="str">
        <f aca="false">IF(OR(U341="",Y341="",Z341=""),"",IF(AND(U341&gt;Y341,-U341&lt;Z341),"Ok","Not Ok"))</f>
        <v/>
      </c>
      <c r="AB341" s="70"/>
    </row>
    <row r="342" customFormat="false" ht="12.8" hidden="false" customHeight="false" outlineLevel="0" collapsed="false">
      <c r="A342" s="48" t="n">
        <f aca="false">TB_audited!A325</f>
        <v>0</v>
      </c>
      <c r="B342" s="49"/>
      <c r="C342" s="50"/>
      <c r="D342" s="51" t="n">
        <f aca="false">TB_audited!B325</f>
        <v>0</v>
      </c>
      <c r="E342" s="52" t="n">
        <f aca="false">TB_audited!C325</f>
        <v>0</v>
      </c>
      <c r="F342" s="53" t="n">
        <f aca="false">TB_audited!D325</f>
        <v>0</v>
      </c>
      <c r="G342" s="54" t="n">
        <f aca="false">IF($D$8="Interim",TB_audited!G325,TB_audited!E325)</f>
        <v>0</v>
      </c>
      <c r="H342" s="55" t="str">
        <f aca="false">IFERROR(VLOOKUP($A342,RA_result!$B$3:$N$62,11,0),"")</f>
        <v/>
      </c>
      <c r="I342" s="55" t="str">
        <f aca="false">IFERROR(VLOOKUP($A342,RA_result!$B$3:$N$62,12,0),"")</f>
        <v/>
      </c>
      <c r="J342" s="55" t="str">
        <f aca="false">IFERROR(VLOOKUP($A342,RA_result!$B$3:$N$62,13,0),"")</f>
        <v/>
      </c>
      <c r="K342" s="56"/>
      <c r="L342" s="56"/>
      <c r="M342" s="57" t="n">
        <f aca="false">G342</f>
        <v>0</v>
      </c>
      <c r="N342" s="54" t="n">
        <f aca="false">G342-M342</f>
        <v>0</v>
      </c>
      <c r="O342" s="55" t="str">
        <f aca="false">IFERROR(VLOOKUP($A342,RA_result!$B$3:$N$62,7,0),"")</f>
        <v/>
      </c>
      <c r="P342" s="52" t="str">
        <f aca="false">IFERROR(VLOOKUP($A342,RA_result!$B$3:$N$62,9,0),"")</f>
        <v/>
      </c>
      <c r="Q342" s="52" t="str">
        <f aca="false">IFERROR(VLOOKUP($A342,RA_result!$B$3:$N$62,10,0),"")</f>
        <v/>
      </c>
      <c r="R342" s="58" t="s">
        <v>55</v>
      </c>
      <c r="S342" s="59" t="str">
        <f aca="false">IFERROR(VLOOKUP($A342,RA_result!$B$3:$N$62,4,0),"")</f>
        <v/>
      </c>
      <c r="T342" s="60" t="s">
        <v>56</v>
      </c>
      <c r="U342" s="59" t="str">
        <f aca="false">IFERROR(IF(VLOOKUP($A342,RA_result!$B$3:$N$62,6,0)="",S342*T342,VLOOKUP($A342,RA_result!$B$3:$N$62,6,0)),"")</f>
        <v/>
      </c>
      <c r="V342" s="61" t="s">
        <v>56</v>
      </c>
      <c r="W342" s="62" t="n">
        <f aca="false">IFERROR((S342*30%)/V342,0)</f>
        <v>0</v>
      </c>
      <c r="X342" s="63" t="n">
        <f aca="false">IFERROR(N342/W342,0)</f>
        <v>0</v>
      </c>
      <c r="Y342" s="68"/>
      <c r="Z342" s="57"/>
      <c r="AA342" s="69" t="str">
        <f aca="false">IF(OR(U342="",Y342="",Z342=""),"",IF(AND(U342&gt;Y342,-U342&lt;Z342),"Ok","Not Ok"))</f>
        <v/>
      </c>
      <c r="AB342" s="70"/>
    </row>
    <row r="343" customFormat="false" ht="12.8" hidden="false" customHeight="false" outlineLevel="0" collapsed="false">
      <c r="A343" s="48" t="n">
        <f aca="false">TB_audited!A326</f>
        <v>0</v>
      </c>
      <c r="B343" s="49"/>
      <c r="C343" s="50"/>
      <c r="D343" s="51" t="n">
        <f aca="false">TB_audited!B326</f>
        <v>0</v>
      </c>
      <c r="E343" s="52" t="n">
        <f aca="false">TB_audited!C326</f>
        <v>0</v>
      </c>
      <c r="F343" s="53" t="n">
        <f aca="false">TB_audited!D326</f>
        <v>0</v>
      </c>
      <c r="G343" s="54" t="n">
        <f aca="false">IF($D$8="Interim",TB_audited!G326,TB_audited!E326)</f>
        <v>0</v>
      </c>
      <c r="H343" s="55" t="str">
        <f aca="false">IFERROR(VLOOKUP($A343,RA_result!$B$3:$N$62,11,0),"")</f>
        <v/>
      </c>
      <c r="I343" s="55" t="str">
        <f aca="false">IFERROR(VLOOKUP($A343,RA_result!$B$3:$N$62,12,0),"")</f>
        <v/>
      </c>
      <c r="J343" s="55" t="str">
        <f aca="false">IFERROR(VLOOKUP($A343,RA_result!$B$3:$N$62,13,0),"")</f>
        <v/>
      </c>
      <c r="K343" s="56"/>
      <c r="L343" s="56"/>
      <c r="M343" s="57" t="n">
        <f aca="false">G343</f>
        <v>0</v>
      </c>
      <c r="N343" s="54" t="n">
        <f aca="false">G343-M343</f>
        <v>0</v>
      </c>
      <c r="O343" s="55" t="str">
        <f aca="false">IFERROR(VLOOKUP($A343,RA_result!$B$3:$N$62,7,0),"")</f>
        <v/>
      </c>
      <c r="P343" s="52" t="str">
        <f aca="false">IFERROR(VLOOKUP($A343,RA_result!$B$3:$N$62,9,0),"")</f>
        <v/>
      </c>
      <c r="Q343" s="52" t="str">
        <f aca="false">IFERROR(VLOOKUP($A343,RA_result!$B$3:$N$62,10,0),"")</f>
        <v/>
      </c>
      <c r="R343" s="58" t="s">
        <v>55</v>
      </c>
      <c r="S343" s="59" t="str">
        <f aca="false">IFERROR(VLOOKUP($A343,RA_result!$B$3:$N$62,4,0),"")</f>
        <v/>
      </c>
      <c r="T343" s="60" t="s">
        <v>56</v>
      </c>
      <c r="U343" s="59" t="str">
        <f aca="false">IFERROR(IF(VLOOKUP($A343,RA_result!$B$3:$N$62,6,0)="",S343*T343,VLOOKUP($A343,RA_result!$B$3:$N$62,6,0)),"")</f>
        <v/>
      </c>
      <c r="V343" s="61" t="s">
        <v>56</v>
      </c>
      <c r="W343" s="62" t="n">
        <f aca="false">IFERROR((S343*30%)/V343,0)</f>
        <v>0</v>
      </c>
      <c r="X343" s="63" t="n">
        <f aca="false">IFERROR(N343/W343,0)</f>
        <v>0</v>
      </c>
      <c r="Y343" s="68"/>
      <c r="Z343" s="57"/>
      <c r="AA343" s="69" t="str">
        <f aca="false">IF(OR(U343="",Y343="",Z343=""),"",IF(AND(U343&gt;Y343,-U343&lt;Z343),"Ok","Not Ok"))</f>
        <v/>
      </c>
      <c r="AB343" s="70"/>
    </row>
    <row r="344" customFormat="false" ht="12.8" hidden="false" customHeight="false" outlineLevel="0" collapsed="false">
      <c r="A344" s="48" t="n">
        <f aca="false">TB_audited!A327</f>
        <v>0</v>
      </c>
      <c r="B344" s="49"/>
      <c r="C344" s="50"/>
      <c r="D344" s="51" t="n">
        <f aca="false">TB_audited!B327</f>
        <v>0</v>
      </c>
      <c r="E344" s="52" t="n">
        <f aca="false">TB_audited!C327</f>
        <v>0</v>
      </c>
      <c r="F344" s="53" t="n">
        <f aca="false">TB_audited!D327</f>
        <v>0</v>
      </c>
      <c r="G344" s="54" t="n">
        <f aca="false">IF($D$8="Interim",TB_audited!G327,TB_audited!E327)</f>
        <v>0</v>
      </c>
      <c r="H344" s="55" t="str">
        <f aca="false">IFERROR(VLOOKUP($A344,RA_result!$B$3:$N$62,11,0),"")</f>
        <v/>
      </c>
      <c r="I344" s="55" t="str">
        <f aca="false">IFERROR(VLOOKUP($A344,RA_result!$B$3:$N$62,12,0),"")</f>
        <v/>
      </c>
      <c r="J344" s="55" t="str">
        <f aca="false">IFERROR(VLOOKUP($A344,RA_result!$B$3:$N$62,13,0),"")</f>
        <v/>
      </c>
      <c r="K344" s="56"/>
      <c r="L344" s="56"/>
      <c r="M344" s="57" t="n">
        <f aca="false">G344</f>
        <v>0</v>
      </c>
      <c r="N344" s="54" t="n">
        <f aca="false">G344-M344</f>
        <v>0</v>
      </c>
      <c r="O344" s="55" t="str">
        <f aca="false">IFERROR(VLOOKUP($A344,RA_result!$B$3:$N$62,7,0),"")</f>
        <v/>
      </c>
      <c r="P344" s="52" t="str">
        <f aca="false">IFERROR(VLOOKUP($A344,RA_result!$B$3:$N$62,9,0),"")</f>
        <v/>
      </c>
      <c r="Q344" s="52" t="str">
        <f aca="false">IFERROR(VLOOKUP($A344,RA_result!$B$3:$N$62,10,0),"")</f>
        <v/>
      </c>
      <c r="R344" s="58" t="s">
        <v>55</v>
      </c>
      <c r="S344" s="59" t="str">
        <f aca="false">IFERROR(VLOOKUP($A344,RA_result!$B$3:$N$62,4,0),"")</f>
        <v/>
      </c>
      <c r="T344" s="60" t="s">
        <v>56</v>
      </c>
      <c r="U344" s="59" t="str">
        <f aca="false">IFERROR(IF(VLOOKUP($A344,RA_result!$B$3:$N$62,6,0)="",S344*T344,VLOOKUP($A344,RA_result!$B$3:$N$62,6,0)),"")</f>
        <v/>
      </c>
      <c r="V344" s="61" t="s">
        <v>56</v>
      </c>
      <c r="W344" s="62" t="n">
        <f aca="false">IFERROR((S344*30%)/V344,0)</f>
        <v>0</v>
      </c>
      <c r="X344" s="63" t="n">
        <f aca="false">IFERROR(N344/W344,0)</f>
        <v>0</v>
      </c>
      <c r="Y344" s="68"/>
      <c r="Z344" s="57"/>
      <c r="AA344" s="69" t="str">
        <f aca="false">IF(OR(U344="",Y344="",Z344=""),"",IF(AND(U344&gt;Y344,-U344&lt;Z344),"Ok","Not Ok"))</f>
        <v/>
      </c>
      <c r="AB344" s="70"/>
    </row>
    <row r="345" customFormat="false" ht="12.8" hidden="false" customHeight="false" outlineLevel="0" collapsed="false">
      <c r="A345" s="48" t="n">
        <f aca="false">TB_audited!A328</f>
        <v>0</v>
      </c>
      <c r="B345" s="49"/>
      <c r="C345" s="50"/>
      <c r="D345" s="51" t="n">
        <f aca="false">TB_audited!B328</f>
        <v>0</v>
      </c>
      <c r="E345" s="52" t="n">
        <f aca="false">TB_audited!C328</f>
        <v>0</v>
      </c>
      <c r="F345" s="53" t="n">
        <f aca="false">TB_audited!D328</f>
        <v>0</v>
      </c>
      <c r="G345" s="54" t="n">
        <f aca="false">IF($D$8="Interim",TB_audited!G328,TB_audited!E328)</f>
        <v>0</v>
      </c>
      <c r="H345" s="55" t="str">
        <f aca="false">IFERROR(VLOOKUP($A345,RA_result!$B$3:$N$62,11,0),"")</f>
        <v/>
      </c>
      <c r="I345" s="55" t="str">
        <f aca="false">IFERROR(VLOOKUP($A345,RA_result!$B$3:$N$62,12,0),"")</f>
        <v/>
      </c>
      <c r="J345" s="55" t="str">
        <f aca="false">IFERROR(VLOOKUP($A345,RA_result!$B$3:$N$62,13,0),"")</f>
        <v/>
      </c>
      <c r="K345" s="56"/>
      <c r="L345" s="56"/>
      <c r="M345" s="57" t="n">
        <f aca="false">G345</f>
        <v>0</v>
      </c>
      <c r="N345" s="54" t="n">
        <f aca="false">G345-M345</f>
        <v>0</v>
      </c>
      <c r="O345" s="55" t="str">
        <f aca="false">IFERROR(VLOOKUP($A345,RA_result!$B$3:$N$62,7,0),"")</f>
        <v/>
      </c>
      <c r="P345" s="52" t="str">
        <f aca="false">IFERROR(VLOOKUP($A345,RA_result!$B$3:$N$62,9,0),"")</f>
        <v/>
      </c>
      <c r="Q345" s="52" t="str">
        <f aca="false">IFERROR(VLOOKUP($A345,RA_result!$B$3:$N$62,10,0),"")</f>
        <v/>
      </c>
      <c r="R345" s="58" t="s">
        <v>55</v>
      </c>
      <c r="S345" s="59" t="str">
        <f aca="false">IFERROR(VLOOKUP($A345,RA_result!$B$3:$N$62,4,0),"")</f>
        <v/>
      </c>
      <c r="T345" s="60" t="s">
        <v>56</v>
      </c>
      <c r="U345" s="59" t="str">
        <f aca="false">IFERROR(IF(VLOOKUP($A345,RA_result!$B$3:$N$62,6,0)="",S345*T345,VLOOKUP($A345,RA_result!$B$3:$N$62,6,0)),"")</f>
        <v/>
      </c>
      <c r="V345" s="61" t="s">
        <v>56</v>
      </c>
      <c r="W345" s="62" t="n">
        <f aca="false">IFERROR((S345*30%)/V345,0)</f>
        <v>0</v>
      </c>
      <c r="X345" s="63" t="n">
        <f aca="false">IFERROR(N345/W345,0)</f>
        <v>0</v>
      </c>
      <c r="Y345" s="68"/>
      <c r="Z345" s="57"/>
      <c r="AA345" s="69" t="str">
        <f aca="false">IF(OR(U345="",Y345="",Z345=""),"",IF(AND(U345&gt;Y345,-U345&lt;Z345),"Ok","Not Ok"))</f>
        <v/>
      </c>
      <c r="AB345" s="70"/>
    </row>
    <row r="346" customFormat="false" ht="12.8" hidden="false" customHeight="false" outlineLevel="0" collapsed="false">
      <c r="A346" s="48" t="n">
        <f aca="false">TB_audited!A329</f>
        <v>0</v>
      </c>
      <c r="B346" s="49"/>
      <c r="C346" s="50"/>
      <c r="D346" s="51" t="n">
        <f aca="false">TB_audited!B329</f>
        <v>0</v>
      </c>
      <c r="E346" s="52" t="n">
        <f aca="false">TB_audited!C329</f>
        <v>0</v>
      </c>
      <c r="F346" s="53" t="n">
        <f aca="false">TB_audited!D329</f>
        <v>0</v>
      </c>
      <c r="G346" s="54" t="n">
        <f aca="false">IF($D$8="Interim",TB_audited!G329,TB_audited!E329)</f>
        <v>0</v>
      </c>
      <c r="H346" s="55" t="str">
        <f aca="false">IFERROR(VLOOKUP($A346,RA_result!$B$3:$N$62,11,0),"")</f>
        <v/>
      </c>
      <c r="I346" s="55" t="str">
        <f aca="false">IFERROR(VLOOKUP($A346,RA_result!$B$3:$N$62,12,0),"")</f>
        <v/>
      </c>
      <c r="J346" s="55" t="str">
        <f aca="false">IFERROR(VLOOKUP($A346,RA_result!$B$3:$N$62,13,0),"")</f>
        <v/>
      </c>
      <c r="K346" s="56"/>
      <c r="L346" s="56"/>
      <c r="M346" s="57" t="n">
        <f aca="false">G346</f>
        <v>0</v>
      </c>
      <c r="N346" s="54" t="n">
        <f aca="false">G346-M346</f>
        <v>0</v>
      </c>
      <c r="O346" s="55" t="str">
        <f aca="false">IFERROR(VLOOKUP($A346,RA_result!$B$3:$N$62,7,0),"")</f>
        <v/>
      </c>
      <c r="P346" s="52" t="str">
        <f aca="false">IFERROR(VLOOKUP($A346,RA_result!$B$3:$N$62,9,0),"")</f>
        <v/>
      </c>
      <c r="Q346" s="52" t="str">
        <f aca="false">IFERROR(VLOOKUP($A346,RA_result!$B$3:$N$62,10,0),"")</f>
        <v/>
      </c>
      <c r="R346" s="58" t="s">
        <v>55</v>
      </c>
      <c r="S346" s="59" t="str">
        <f aca="false">IFERROR(VLOOKUP($A346,RA_result!$B$3:$N$62,4,0),"")</f>
        <v/>
      </c>
      <c r="T346" s="60" t="s">
        <v>56</v>
      </c>
      <c r="U346" s="59" t="str">
        <f aca="false">IFERROR(IF(VLOOKUP($A346,RA_result!$B$3:$N$62,6,0)="",S346*T346,VLOOKUP($A346,RA_result!$B$3:$N$62,6,0)),"")</f>
        <v/>
      </c>
      <c r="V346" s="61" t="s">
        <v>56</v>
      </c>
      <c r="W346" s="62" t="n">
        <f aca="false">IFERROR((S346*30%)/V346,0)</f>
        <v>0</v>
      </c>
      <c r="X346" s="63" t="n">
        <f aca="false">IFERROR(N346/W346,0)</f>
        <v>0</v>
      </c>
      <c r="Y346" s="68"/>
      <c r="Z346" s="57"/>
      <c r="AA346" s="69" t="str">
        <f aca="false">IF(OR(U346="",Y346="",Z346=""),"",IF(AND(U346&gt;Y346,-U346&lt;Z346),"Ok","Not Ok"))</f>
        <v/>
      </c>
      <c r="AB346" s="70"/>
    </row>
    <row r="347" customFormat="false" ht="12.8" hidden="false" customHeight="false" outlineLevel="0" collapsed="false">
      <c r="A347" s="48" t="n">
        <f aca="false">TB_audited!A330</f>
        <v>0</v>
      </c>
      <c r="B347" s="49"/>
      <c r="C347" s="50"/>
      <c r="D347" s="51" t="n">
        <f aca="false">TB_audited!B330</f>
        <v>0</v>
      </c>
      <c r="E347" s="52" t="n">
        <f aca="false">TB_audited!C330</f>
        <v>0</v>
      </c>
      <c r="F347" s="53" t="n">
        <f aca="false">TB_audited!D330</f>
        <v>0</v>
      </c>
      <c r="G347" s="54" t="n">
        <f aca="false">IF($D$8="Interim",TB_audited!G330,TB_audited!E330)</f>
        <v>0</v>
      </c>
      <c r="H347" s="55" t="str">
        <f aca="false">IFERROR(VLOOKUP($A347,RA_result!$B$3:$N$62,11,0),"")</f>
        <v/>
      </c>
      <c r="I347" s="55" t="str">
        <f aca="false">IFERROR(VLOOKUP($A347,RA_result!$B$3:$N$62,12,0),"")</f>
        <v/>
      </c>
      <c r="J347" s="55" t="str">
        <f aca="false">IFERROR(VLOOKUP($A347,RA_result!$B$3:$N$62,13,0),"")</f>
        <v/>
      </c>
      <c r="K347" s="56"/>
      <c r="L347" s="56"/>
      <c r="M347" s="57" t="n">
        <f aca="false">G347</f>
        <v>0</v>
      </c>
      <c r="N347" s="54" t="n">
        <f aca="false">G347-M347</f>
        <v>0</v>
      </c>
      <c r="O347" s="55" t="str">
        <f aca="false">IFERROR(VLOOKUP($A347,RA_result!$B$3:$N$62,7,0),"")</f>
        <v/>
      </c>
      <c r="P347" s="52" t="str">
        <f aca="false">IFERROR(VLOOKUP($A347,RA_result!$B$3:$N$62,9,0),"")</f>
        <v/>
      </c>
      <c r="Q347" s="52" t="str">
        <f aca="false">IFERROR(VLOOKUP($A347,RA_result!$B$3:$N$62,10,0),"")</f>
        <v/>
      </c>
      <c r="R347" s="58" t="s">
        <v>55</v>
      </c>
      <c r="S347" s="59" t="str">
        <f aca="false">IFERROR(VLOOKUP($A347,RA_result!$B$3:$N$62,4,0),"")</f>
        <v/>
      </c>
      <c r="T347" s="60" t="s">
        <v>56</v>
      </c>
      <c r="U347" s="59" t="str">
        <f aca="false">IFERROR(IF(VLOOKUP($A347,RA_result!$B$3:$N$62,6,0)="",S347*T347,VLOOKUP($A347,RA_result!$B$3:$N$62,6,0)),"")</f>
        <v/>
      </c>
      <c r="V347" s="61" t="s">
        <v>56</v>
      </c>
      <c r="W347" s="62" t="n">
        <f aca="false">IFERROR((S347*30%)/V347,0)</f>
        <v>0</v>
      </c>
      <c r="X347" s="63" t="n">
        <f aca="false">IFERROR(N347/W347,0)</f>
        <v>0</v>
      </c>
      <c r="Y347" s="68"/>
      <c r="Z347" s="57"/>
      <c r="AA347" s="69" t="str">
        <f aca="false">IF(OR(U347="",Y347="",Z347=""),"",IF(AND(U347&gt;Y347,-U347&lt;Z347),"Ok","Not Ok"))</f>
        <v/>
      </c>
      <c r="AB347" s="70"/>
    </row>
    <row r="348" customFormat="false" ht="12.8" hidden="false" customHeight="false" outlineLevel="0" collapsed="false">
      <c r="A348" s="48" t="n">
        <f aca="false">TB_audited!A331</f>
        <v>0</v>
      </c>
      <c r="B348" s="49"/>
      <c r="C348" s="50"/>
      <c r="D348" s="51" t="n">
        <f aca="false">TB_audited!B331</f>
        <v>0</v>
      </c>
      <c r="E348" s="52" t="n">
        <f aca="false">TB_audited!C331</f>
        <v>0</v>
      </c>
      <c r="F348" s="53" t="n">
        <f aca="false">TB_audited!D331</f>
        <v>0</v>
      </c>
      <c r="G348" s="54" t="n">
        <f aca="false">IF($D$8="Interim",TB_audited!G331,TB_audited!E331)</f>
        <v>0</v>
      </c>
      <c r="H348" s="55" t="str">
        <f aca="false">IFERROR(VLOOKUP($A348,RA_result!$B$3:$N$62,11,0),"")</f>
        <v/>
      </c>
      <c r="I348" s="55" t="str">
        <f aca="false">IFERROR(VLOOKUP($A348,RA_result!$B$3:$N$62,12,0),"")</f>
        <v/>
      </c>
      <c r="J348" s="55" t="str">
        <f aca="false">IFERROR(VLOOKUP($A348,RA_result!$B$3:$N$62,13,0),"")</f>
        <v/>
      </c>
      <c r="K348" s="56"/>
      <c r="L348" s="56"/>
      <c r="M348" s="57" t="n">
        <f aca="false">G348</f>
        <v>0</v>
      </c>
      <c r="N348" s="54" t="n">
        <f aca="false">G348-M348</f>
        <v>0</v>
      </c>
      <c r="O348" s="55" t="str">
        <f aca="false">IFERROR(VLOOKUP($A348,RA_result!$B$3:$N$62,7,0),"")</f>
        <v/>
      </c>
      <c r="P348" s="52" t="str">
        <f aca="false">IFERROR(VLOOKUP($A348,RA_result!$B$3:$N$62,9,0),"")</f>
        <v/>
      </c>
      <c r="Q348" s="52" t="str">
        <f aca="false">IFERROR(VLOOKUP($A348,RA_result!$B$3:$N$62,10,0),"")</f>
        <v/>
      </c>
      <c r="R348" s="58" t="s">
        <v>55</v>
      </c>
      <c r="S348" s="59" t="str">
        <f aca="false">IFERROR(VLOOKUP($A348,RA_result!$B$3:$N$62,4,0),"")</f>
        <v/>
      </c>
      <c r="T348" s="60" t="s">
        <v>56</v>
      </c>
      <c r="U348" s="59" t="str">
        <f aca="false">IFERROR(IF(VLOOKUP($A348,RA_result!$B$3:$N$62,6,0)="",S348*T348,VLOOKUP($A348,RA_result!$B$3:$N$62,6,0)),"")</f>
        <v/>
      </c>
      <c r="V348" s="61" t="s">
        <v>56</v>
      </c>
      <c r="W348" s="62" t="n">
        <f aca="false">IFERROR((S348*30%)/V348,0)</f>
        <v>0</v>
      </c>
      <c r="X348" s="63" t="n">
        <f aca="false">IFERROR(N348/W348,0)</f>
        <v>0</v>
      </c>
      <c r="Y348" s="68"/>
      <c r="Z348" s="57"/>
      <c r="AA348" s="69" t="str">
        <f aca="false">IF(OR(U348="",Y348="",Z348=""),"",IF(AND(U348&gt;Y348,-U348&lt;Z348),"Ok","Not Ok"))</f>
        <v/>
      </c>
      <c r="AB348" s="70"/>
    </row>
    <row r="349" customFormat="false" ht="12.8" hidden="false" customHeight="false" outlineLevel="0" collapsed="false">
      <c r="A349" s="48" t="n">
        <f aca="false">TB_audited!A332</f>
        <v>0</v>
      </c>
      <c r="B349" s="49"/>
      <c r="C349" s="50"/>
      <c r="D349" s="51" t="n">
        <f aca="false">TB_audited!B332</f>
        <v>0</v>
      </c>
      <c r="E349" s="52" t="n">
        <f aca="false">TB_audited!C332</f>
        <v>0</v>
      </c>
      <c r="F349" s="53" t="n">
        <f aca="false">TB_audited!D332</f>
        <v>0</v>
      </c>
      <c r="G349" s="54" t="n">
        <f aca="false">IF($D$8="Interim",TB_audited!G332,TB_audited!E332)</f>
        <v>0</v>
      </c>
      <c r="H349" s="55" t="str">
        <f aca="false">IFERROR(VLOOKUP($A349,RA_result!$B$3:$N$62,11,0),"")</f>
        <v/>
      </c>
      <c r="I349" s="55" t="str">
        <f aca="false">IFERROR(VLOOKUP($A349,RA_result!$B$3:$N$62,12,0),"")</f>
        <v/>
      </c>
      <c r="J349" s="55" t="str">
        <f aca="false">IFERROR(VLOOKUP($A349,RA_result!$B$3:$N$62,13,0),"")</f>
        <v/>
      </c>
      <c r="K349" s="56"/>
      <c r="L349" s="56"/>
      <c r="M349" s="57" t="n">
        <f aca="false">G349</f>
        <v>0</v>
      </c>
      <c r="N349" s="54" t="n">
        <f aca="false">G349-M349</f>
        <v>0</v>
      </c>
      <c r="O349" s="55" t="str">
        <f aca="false">IFERROR(VLOOKUP($A349,RA_result!$B$3:$N$62,7,0),"")</f>
        <v/>
      </c>
      <c r="P349" s="52" t="str">
        <f aca="false">IFERROR(VLOOKUP($A349,RA_result!$B$3:$N$62,9,0),"")</f>
        <v/>
      </c>
      <c r="Q349" s="52" t="str">
        <f aca="false">IFERROR(VLOOKUP($A349,RA_result!$B$3:$N$62,10,0),"")</f>
        <v/>
      </c>
      <c r="R349" s="58" t="s">
        <v>55</v>
      </c>
      <c r="S349" s="59" t="str">
        <f aca="false">IFERROR(VLOOKUP($A349,RA_result!$B$3:$N$62,4,0),"")</f>
        <v/>
      </c>
      <c r="T349" s="60" t="s">
        <v>56</v>
      </c>
      <c r="U349" s="59" t="str">
        <f aca="false">IFERROR(IF(VLOOKUP($A349,RA_result!$B$3:$N$62,6,0)="",S349*T349,VLOOKUP($A349,RA_result!$B$3:$N$62,6,0)),"")</f>
        <v/>
      </c>
      <c r="V349" s="61" t="s">
        <v>56</v>
      </c>
      <c r="W349" s="62" t="n">
        <f aca="false">IFERROR((S349*30%)/V349,0)</f>
        <v>0</v>
      </c>
      <c r="X349" s="63" t="n">
        <f aca="false">IFERROR(N349/W349,0)</f>
        <v>0</v>
      </c>
      <c r="Y349" s="68"/>
      <c r="Z349" s="57"/>
      <c r="AA349" s="69" t="str">
        <f aca="false">IF(OR(U349="",Y349="",Z349=""),"",IF(AND(U349&gt;Y349,-U349&lt;Z349),"Ok","Not Ok"))</f>
        <v/>
      </c>
      <c r="AB349" s="70"/>
    </row>
    <row r="350" customFormat="false" ht="12.8" hidden="false" customHeight="false" outlineLevel="0" collapsed="false">
      <c r="A350" s="48" t="n">
        <f aca="false">TB_audited!A333</f>
        <v>0</v>
      </c>
      <c r="B350" s="49"/>
      <c r="C350" s="50"/>
      <c r="D350" s="51" t="n">
        <f aca="false">TB_audited!B333</f>
        <v>0</v>
      </c>
      <c r="E350" s="52" t="n">
        <f aca="false">TB_audited!C333</f>
        <v>0</v>
      </c>
      <c r="F350" s="53" t="n">
        <f aca="false">TB_audited!D333</f>
        <v>0</v>
      </c>
      <c r="G350" s="54" t="n">
        <f aca="false">IF($D$8="Interim",TB_audited!G333,TB_audited!E333)</f>
        <v>0</v>
      </c>
      <c r="H350" s="55" t="str">
        <f aca="false">IFERROR(VLOOKUP($A350,RA_result!$B$3:$N$62,11,0),"")</f>
        <v/>
      </c>
      <c r="I350" s="55" t="str">
        <f aca="false">IFERROR(VLOOKUP($A350,RA_result!$B$3:$N$62,12,0),"")</f>
        <v/>
      </c>
      <c r="J350" s="55" t="str">
        <f aca="false">IFERROR(VLOOKUP($A350,RA_result!$B$3:$N$62,13,0),"")</f>
        <v/>
      </c>
      <c r="K350" s="56"/>
      <c r="L350" s="56"/>
      <c r="M350" s="57" t="n">
        <f aca="false">G350</f>
        <v>0</v>
      </c>
      <c r="N350" s="54" t="n">
        <f aca="false">G350-M350</f>
        <v>0</v>
      </c>
      <c r="O350" s="55" t="str">
        <f aca="false">IFERROR(VLOOKUP($A350,RA_result!$B$3:$N$62,7,0),"")</f>
        <v/>
      </c>
      <c r="P350" s="52" t="str">
        <f aca="false">IFERROR(VLOOKUP($A350,RA_result!$B$3:$N$62,9,0),"")</f>
        <v/>
      </c>
      <c r="Q350" s="52" t="str">
        <f aca="false">IFERROR(VLOOKUP($A350,RA_result!$B$3:$N$62,10,0),"")</f>
        <v/>
      </c>
      <c r="R350" s="58" t="s">
        <v>55</v>
      </c>
      <c r="S350" s="59" t="str">
        <f aca="false">IFERROR(VLOOKUP($A350,RA_result!$B$3:$N$62,4,0),"")</f>
        <v/>
      </c>
      <c r="T350" s="60" t="s">
        <v>56</v>
      </c>
      <c r="U350" s="59" t="str">
        <f aca="false">IFERROR(IF(VLOOKUP($A350,RA_result!$B$3:$N$62,6,0)="",S350*T350,VLOOKUP($A350,RA_result!$B$3:$N$62,6,0)),"")</f>
        <v/>
      </c>
      <c r="V350" s="61" t="s">
        <v>56</v>
      </c>
      <c r="W350" s="62" t="n">
        <f aca="false">IFERROR((S350*30%)/V350,0)</f>
        <v>0</v>
      </c>
      <c r="X350" s="63" t="n">
        <f aca="false">IFERROR(N350/W350,0)</f>
        <v>0</v>
      </c>
      <c r="Y350" s="68"/>
      <c r="Z350" s="57"/>
      <c r="AA350" s="69" t="str">
        <f aca="false">IF(OR(U350="",Y350="",Z350=""),"",IF(AND(U350&gt;Y350,-U350&lt;Z350),"Ok","Not Ok"))</f>
        <v/>
      </c>
      <c r="AB350" s="70"/>
    </row>
    <row r="351" customFormat="false" ht="12.8" hidden="false" customHeight="false" outlineLevel="0" collapsed="false">
      <c r="A351" s="48" t="n">
        <f aca="false">TB_audited!A334</f>
        <v>0</v>
      </c>
      <c r="B351" s="49"/>
      <c r="C351" s="50"/>
      <c r="D351" s="51" t="n">
        <f aca="false">TB_audited!B334</f>
        <v>0</v>
      </c>
      <c r="E351" s="52" t="n">
        <f aca="false">TB_audited!C334</f>
        <v>0</v>
      </c>
      <c r="F351" s="53" t="n">
        <f aca="false">TB_audited!D334</f>
        <v>0</v>
      </c>
      <c r="G351" s="54" t="n">
        <f aca="false">IF($D$8="Interim",TB_audited!G334,TB_audited!E334)</f>
        <v>0</v>
      </c>
      <c r="H351" s="55" t="str">
        <f aca="false">IFERROR(VLOOKUP($A351,RA_result!$B$3:$N$62,11,0),"")</f>
        <v/>
      </c>
      <c r="I351" s="55" t="str">
        <f aca="false">IFERROR(VLOOKUP($A351,RA_result!$B$3:$N$62,12,0),"")</f>
        <v/>
      </c>
      <c r="J351" s="55" t="str">
        <f aca="false">IFERROR(VLOOKUP($A351,RA_result!$B$3:$N$62,13,0),"")</f>
        <v/>
      </c>
      <c r="K351" s="56"/>
      <c r="L351" s="56"/>
      <c r="M351" s="57" t="n">
        <f aca="false">G351</f>
        <v>0</v>
      </c>
      <c r="N351" s="54" t="n">
        <f aca="false">G351-M351</f>
        <v>0</v>
      </c>
      <c r="O351" s="55" t="str">
        <f aca="false">IFERROR(VLOOKUP($A351,RA_result!$B$3:$N$62,7,0),"")</f>
        <v/>
      </c>
      <c r="P351" s="52" t="str">
        <f aca="false">IFERROR(VLOOKUP($A351,RA_result!$B$3:$N$62,9,0),"")</f>
        <v/>
      </c>
      <c r="Q351" s="52" t="str">
        <f aca="false">IFERROR(VLOOKUP($A351,RA_result!$B$3:$N$62,10,0),"")</f>
        <v/>
      </c>
      <c r="R351" s="58" t="s">
        <v>55</v>
      </c>
      <c r="S351" s="59" t="str">
        <f aca="false">IFERROR(VLOOKUP($A351,RA_result!$B$3:$N$62,4,0),"")</f>
        <v/>
      </c>
      <c r="T351" s="60" t="s">
        <v>56</v>
      </c>
      <c r="U351" s="59" t="str">
        <f aca="false">IFERROR(IF(VLOOKUP($A351,RA_result!$B$3:$N$62,6,0)="",S351*T351,VLOOKUP($A351,RA_result!$B$3:$N$62,6,0)),"")</f>
        <v/>
      </c>
      <c r="V351" s="61" t="s">
        <v>56</v>
      </c>
      <c r="W351" s="62" t="n">
        <f aca="false">IFERROR((S351*30%)/V351,0)</f>
        <v>0</v>
      </c>
      <c r="X351" s="63" t="n">
        <f aca="false">IFERROR(N351/W351,0)</f>
        <v>0</v>
      </c>
      <c r="Y351" s="68"/>
      <c r="Z351" s="57"/>
      <c r="AA351" s="69" t="str">
        <f aca="false">IF(OR(U351="",Y351="",Z351=""),"",IF(AND(U351&gt;Y351,-U351&lt;Z351),"Ok","Not Ok"))</f>
        <v/>
      </c>
      <c r="AB351" s="70"/>
    </row>
    <row r="352" customFormat="false" ht="12.8" hidden="false" customHeight="false" outlineLevel="0" collapsed="false">
      <c r="A352" s="48" t="n">
        <f aca="false">TB_audited!A335</f>
        <v>0</v>
      </c>
      <c r="B352" s="49"/>
      <c r="C352" s="50"/>
      <c r="D352" s="51" t="n">
        <f aca="false">TB_audited!B335</f>
        <v>0</v>
      </c>
      <c r="E352" s="52" t="n">
        <f aca="false">TB_audited!C335</f>
        <v>0</v>
      </c>
      <c r="F352" s="53" t="n">
        <f aca="false">TB_audited!D335</f>
        <v>0</v>
      </c>
      <c r="G352" s="54" t="n">
        <f aca="false">IF($D$8="Interim",TB_audited!G335,TB_audited!E335)</f>
        <v>0</v>
      </c>
      <c r="H352" s="55" t="str">
        <f aca="false">IFERROR(VLOOKUP($A352,RA_result!$B$3:$N$62,11,0),"")</f>
        <v/>
      </c>
      <c r="I352" s="55" t="str">
        <f aca="false">IFERROR(VLOOKUP($A352,RA_result!$B$3:$N$62,12,0),"")</f>
        <v/>
      </c>
      <c r="J352" s="55" t="str">
        <f aca="false">IFERROR(VLOOKUP($A352,RA_result!$B$3:$N$62,13,0),"")</f>
        <v/>
      </c>
      <c r="K352" s="56"/>
      <c r="L352" s="56"/>
      <c r="M352" s="57" t="n">
        <f aca="false">G352</f>
        <v>0</v>
      </c>
      <c r="N352" s="54" t="n">
        <f aca="false">G352-M352</f>
        <v>0</v>
      </c>
      <c r="O352" s="55" t="str">
        <f aca="false">IFERROR(VLOOKUP($A352,RA_result!$B$3:$N$62,7,0),"")</f>
        <v/>
      </c>
      <c r="P352" s="52" t="str">
        <f aca="false">IFERROR(VLOOKUP($A352,RA_result!$B$3:$N$62,9,0),"")</f>
        <v/>
      </c>
      <c r="Q352" s="52" t="str">
        <f aca="false">IFERROR(VLOOKUP($A352,RA_result!$B$3:$N$62,10,0),"")</f>
        <v/>
      </c>
      <c r="R352" s="58" t="s">
        <v>55</v>
      </c>
      <c r="S352" s="59" t="str">
        <f aca="false">IFERROR(VLOOKUP($A352,RA_result!$B$3:$N$62,4,0),"")</f>
        <v/>
      </c>
      <c r="T352" s="60" t="s">
        <v>56</v>
      </c>
      <c r="U352" s="59" t="str">
        <f aca="false">IFERROR(IF(VLOOKUP($A352,RA_result!$B$3:$N$62,6,0)="",S352*T352,VLOOKUP($A352,RA_result!$B$3:$N$62,6,0)),"")</f>
        <v/>
      </c>
      <c r="V352" s="61" t="s">
        <v>56</v>
      </c>
      <c r="W352" s="62" t="n">
        <f aca="false">IFERROR((S352*30%)/V352,0)</f>
        <v>0</v>
      </c>
      <c r="X352" s="63" t="n">
        <f aca="false">IFERROR(N352/W352,0)</f>
        <v>0</v>
      </c>
      <c r="Y352" s="68"/>
      <c r="Z352" s="57"/>
      <c r="AA352" s="69" t="str">
        <f aca="false">IF(OR(U352="",Y352="",Z352=""),"",IF(AND(U352&gt;Y352,-U352&lt;Z352),"Ok","Not Ok"))</f>
        <v/>
      </c>
      <c r="AB352" s="70"/>
    </row>
    <row r="353" customFormat="false" ht="12.8" hidden="false" customHeight="false" outlineLevel="0" collapsed="false">
      <c r="A353" s="48" t="n">
        <f aca="false">TB_audited!A336</f>
        <v>0</v>
      </c>
      <c r="B353" s="49"/>
      <c r="C353" s="50"/>
      <c r="D353" s="51" t="n">
        <f aca="false">TB_audited!B336</f>
        <v>0</v>
      </c>
      <c r="E353" s="52" t="n">
        <f aca="false">TB_audited!C336</f>
        <v>0</v>
      </c>
      <c r="F353" s="53" t="n">
        <f aca="false">TB_audited!D336</f>
        <v>0</v>
      </c>
      <c r="G353" s="54" t="n">
        <f aca="false">IF($D$8="Interim",TB_audited!G336,TB_audited!E336)</f>
        <v>0</v>
      </c>
      <c r="H353" s="55" t="str">
        <f aca="false">IFERROR(VLOOKUP($A353,RA_result!$B$3:$N$62,11,0),"")</f>
        <v/>
      </c>
      <c r="I353" s="55" t="str">
        <f aca="false">IFERROR(VLOOKUP($A353,RA_result!$B$3:$N$62,12,0),"")</f>
        <v/>
      </c>
      <c r="J353" s="55" t="str">
        <f aca="false">IFERROR(VLOOKUP($A353,RA_result!$B$3:$N$62,13,0),"")</f>
        <v/>
      </c>
      <c r="K353" s="56"/>
      <c r="L353" s="56"/>
      <c r="M353" s="57" t="n">
        <f aca="false">G353</f>
        <v>0</v>
      </c>
      <c r="N353" s="54" t="n">
        <f aca="false">G353-M353</f>
        <v>0</v>
      </c>
      <c r="O353" s="55" t="str">
        <f aca="false">IFERROR(VLOOKUP($A353,RA_result!$B$3:$N$62,7,0),"")</f>
        <v/>
      </c>
      <c r="P353" s="52" t="str">
        <f aca="false">IFERROR(VLOOKUP($A353,RA_result!$B$3:$N$62,9,0),"")</f>
        <v/>
      </c>
      <c r="Q353" s="52" t="str">
        <f aca="false">IFERROR(VLOOKUP($A353,RA_result!$B$3:$N$62,10,0),"")</f>
        <v/>
      </c>
      <c r="R353" s="58" t="s">
        <v>55</v>
      </c>
      <c r="S353" s="59" t="str">
        <f aca="false">IFERROR(VLOOKUP($A353,RA_result!$B$3:$N$62,4,0),"")</f>
        <v/>
      </c>
      <c r="T353" s="60" t="s">
        <v>56</v>
      </c>
      <c r="U353" s="59" t="str">
        <f aca="false">IFERROR(IF(VLOOKUP($A353,RA_result!$B$3:$N$62,6,0)="",S353*T353,VLOOKUP($A353,RA_result!$B$3:$N$62,6,0)),"")</f>
        <v/>
      </c>
      <c r="V353" s="61" t="s">
        <v>56</v>
      </c>
      <c r="W353" s="62" t="n">
        <f aca="false">IFERROR((S353*30%)/V353,0)</f>
        <v>0</v>
      </c>
      <c r="X353" s="63" t="n">
        <f aca="false">IFERROR(N353/W353,0)</f>
        <v>0</v>
      </c>
      <c r="Y353" s="68"/>
      <c r="Z353" s="57"/>
      <c r="AA353" s="69" t="str">
        <f aca="false">IF(OR(U353="",Y353="",Z353=""),"",IF(AND(U353&gt;Y353,-U353&lt;Z353),"Ok","Not Ok"))</f>
        <v/>
      </c>
      <c r="AB353" s="70"/>
    </row>
    <row r="354" customFormat="false" ht="12.8" hidden="false" customHeight="false" outlineLevel="0" collapsed="false">
      <c r="A354" s="48" t="n">
        <f aca="false">TB_audited!A337</f>
        <v>0</v>
      </c>
      <c r="B354" s="49"/>
      <c r="C354" s="50"/>
      <c r="D354" s="51" t="n">
        <f aca="false">TB_audited!B337</f>
        <v>0</v>
      </c>
      <c r="E354" s="52" t="n">
        <f aca="false">TB_audited!C337</f>
        <v>0</v>
      </c>
      <c r="F354" s="53" t="n">
        <f aca="false">TB_audited!D337</f>
        <v>0</v>
      </c>
      <c r="G354" s="54" t="n">
        <f aca="false">IF($D$8="Interim",TB_audited!G337,TB_audited!E337)</f>
        <v>0</v>
      </c>
      <c r="H354" s="55" t="str">
        <f aca="false">IFERROR(VLOOKUP($A354,RA_result!$B$3:$N$62,11,0),"")</f>
        <v/>
      </c>
      <c r="I354" s="55" t="str">
        <f aca="false">IFERROR(VLOOKUP($A354,RA_result!$B$3:$N$62,12,0),"")</f>
        <v/>
      </c>
      <c r="J354" s="55" t="str">
        <f aca="false">IFERROR(VLOOKUP($A354,RA_result!$B$3:$N$62,13,0),"")</f>
        <v/>
      </c>
      <c r="K354" s="56"/>
      <c r="L354" s="56"/>
      <c r="M354" s="57" t="n">
        <f aca="false">G354</f>
        <v>0</v>
      </c>
      <c r="N354" s="54" t="n">
        <f aca="false">G354-M354</f>
        <v>0</v>
      </c>
      <c r="O354" s="55" t="str">
        <f aca="false">IFERROR(VLOOKUP($A354,RA_result!$B$3:$N$62,7,0),"")</f>
        <v/>
      </c>
      <c r="P354" s="52" t="str">
        <f aca="false">IFERROR(VLOOKUP($A354,RA_result!$B$3:$N$62,9,0),"")</f>
        <v/>
      </c>
      <c r="Q354" s="52" t="str">
        <f aca="false">IFERROR(VLOOKUP($A354,RA_result!$B$3:$N$62,10,0),"")</f>
        <v/>
      </c>
      <c r="R354" s="58" t="s">
        <v>55</v>
      </c>
      <c r="S354" s="59" t="str">
        <f aca="false">IFERROR(VLOOKUP($A354,RA_result!$B$3:$N$62,4,0),"")</f>
        <v/>
      </c>
      <c r="T354" s="60" t="s">
        <v>56</v>
      </c>
      <c r="U354" s="59" t="str">
        <f aca="false">IFERROR(IF(VLOOKUP($A354,RA_result!$B$3:$N$62,6,0)="",S354*T354,VLOOKUP($A354,RA_result!$B$3:$N$62,6,0)),"")</f>
        <v/>
      </c>
      <c r="V354" s="61" t="s">
        <v>56</v>
      </c>
      <c r="W354" s="62" t="n">
        <f aca="false">IFERROR((S354*30%)/V354,0)</f>
        <v>0</v>
      </c>
      <c r="X354" s="63" t="n">
        <f aca="false">IFERROR(N354/W354,0)</f>
        <v>0</v>
      </c>
      <c r="Y354" s="68"/>
      <c r="Z354" s="57"/>
      <c r="AA354" s="69" t="str">
        <f aca="false">IF(OR(U354="",Y354="",Z354=""),"",IF(AND(U354&gt;Y354,-U354&lt;Z354),"Ok","Not Ok"))</f>
        <v/>
      </c>
      <c r="AB354" s="70"/>
    </row>
    <row r="355" customFormat="false" ht="12.8" hidden="false" customHeight="false" outlineLevel="0" collapsed="false">
      <c r="A355" s="48" t="n">
        <f aca="false">TB_audited!A338</f>
        <v>0</v>
      </c>
      <c r="B355" s="49"/>
      <c r="C355" s="50"/>
      <c r="D355" s="51" t="n">
        <f aca="false">TB_audited!B338</f>
        <v>0</v>
      </c>
      <c r="E355" s="52" t="n">
        <f aca="false">TB_audited!C338</f>
        <v>0</v>
      </c>
      <c r="F355" s="53" t="n">
        <f aca="false">TB_audited!D338</f>
        <v>0</v>
      </c>
      <c r="G355" s="54" t="n">
        <f aca="false">IF($D$8="Interim",TB_audited!G338,TB_audited!E338)</f>
        <v>0</v>
      </c>
      <c r="H355" s="55" t="str">
        <f aca="false">IFERROR(VLOOKUP($A355,RA_result!$B$3:$N$62,11,0),"")</f>
        <v/>
      </c>
      <c r="I355" s="55" t="str">
        <f aca="false">IFERROR(VLOOKUP($A355,RA_result!$B$3:$N$62,12,0),"")</f>
        <v/>
      </c>
      <c r="J355" s="55" t="str">
        <f aca="false">IFERROR(VLOOKUP($A355,RA_result!$B$3:$N$62,13,0),"")</f>
        <v/>
      </c>
      <c r="K355" s="56"/>
      <c r="L355" s="56"/>
      <c r="M355" s="57" t="n">
        <f aca="false">G355</f>
        <v>0</v>
      </c>
      <c r="N355" s="54" t="n">
        <f aca="false">G355-M355</f>
        <v>0</v>
      </c>
      <c r="O355" s="55" t="str">
        <f aca="false">IFERROR(VLOOKUP($A355,RA_result!$B$3:$N$62,7,0),"")</f>
        <v/>
      </c>
      <c r="P355" s="52" t="str">
        <f aca="false">IFERROR(VLOOKUP($A355,RA_result!$B$3:$N$62,9,0),"")</f>
        <v/>
      </c>
      <c r="Q355" s="52" t="str">
        <f aca="false">IFERROR(VLOOKUP($A355,RA_result!$B$3:$N$62,10,0),"")</f>
        <v/>
      </c>
      <c r="R355" s="58" t="s">
        <v>55</v>
      </c>
      <c r="S355" s="59" t="str">
        <f aca="false">IFERROR(VLOOKUP($A355,RA_result!$B$3:$N$62,4,0),"")</f>
        <v/>
      </c>
      <c r="T355" s="60" t="s">
        <v>56</v>
      </c>
      <c r="U355" s="59" t="str">
        <f aca="false">IFERROR(IF(VLOOKUP($A355,RA_result!$B$3:$N$62,6,0)="",S355*T355,VLOOKUP($A355,RA_result!$B$3:$N$62,6,0)),"")</f>
        <v/>
      </c>
      <c r="V355" s="61" t="s">
        <v>56</v>
      </c>
      <c r="W355" s="62" t="n">
        <f aca="false">IFERROR((S355*30%)/V355,0)</f>
        <v>0</v>
      </c>
      <c r="X355" s="63" t="n">
        <f aca="false">IFERROR(N355/W355,0)</f>
        <v>0</v>
      </c>
      <c r="Y355" s="68"/>
      <c r="Z355" s="57"/>
      <c r="AA355" s="69" t="str">
        <f aca="false">IF(OR(U355="",Y355="",Z355=""),"",IF(AND(U355&gt;Y355,-U355&lt;Z355),"Ok","Not Ok"))</f>
        <v/>
      </c>
      <c r="AB355" s="70"/>
    </row>
    <row r="356" customFormat="false" ht="12.8" hidden="false" customHeight="false" outlineLevel="0" collapsed="false">
      <c r="A356" s="48" t="n">
        <f aca="false">TB_audited!A339</f>
        <v>0</v>
      </c>
      <c r="B356" s="49"/>
      <c r="C356" s="50"/>
      <c r="D356" s="51" t="n">
        <f aca="false">TB_audited!B339</f>
        <v>0</v>
      </c>
      <c r="E356" s="52" t="n">
        <f aca="false">TB_audited!C339</f>
        <v>0</v>
      </c>
      <c r="F356" s="53" t="n">
        <f aca="false">TB_audited!D339</f>
        <v>0</v>
      </c>
      <c r="G356" s="54" t="n">
        <f aca="false">IF($D$8="Interim",TB_audited!G339,TB_audited!E339)</f>
        <v>0</v>
      </c>
      <c r="H356" s="55" t="str">
        <f aca="false">IFERROR(VLOOKUP($A356,RA_result!$B$3:$N$62,11,0),"")</f>
        <v/>
      </c>
      <c r="I356" s="55" t="str">
        <f aca="false">IFERROR(VLOOKUP($A356,RA_result!$B$3:$N$62,12,0),"")</f>
        <v/>
      </c>
      <c r="J356" s="55" t="str">
        <f aca="false">IFERROR(VLOOKUP($A356,RA_result!$B$3:$N$62,13,0),"")</f>
        <v/>
      </c>
      <c r="K356" s="56"/>
      <c r="L356" s="56"/>
      <c r="M356" s="57" t="n">
        <f aca="false">G356</f>
        <v>0</v>
      </c>
      <c r="N356" s="54" t="n">
        <f aca="false">G356-M356</f>
        <v>0</v>
      </c>
      <c r="O356" s="55" t="str">
        <f aca="false">IFERROR(VLOOKUP($A356,RA_result!$B$3:$N$62,7,0),"")</f>
        <v/>
      </c>
      <c r="P356" s="52" t="str">
        <f aca="false">IFERROR(VLOOKUP($A356,RA_result!$B$3:$N$62,9,0),"")</f>
        <v/>
      </c>
      <c r="Q356" s="52" t="str">
        <f aca="false">IFERROR(VLOOKUP($A356,RA_result!$B$3:$N$62,10,0),"")</f>
        <v/>
      </c>
      <c r="R356" s="58" t="s">
        <v>55</v>
      </c>
      <c r="S356" s="59" t="str">
        <f aca="false">IFERROR(VLOOKUP($A356,RA_result!$B$3:$N$62,4,0),"")</f>
        <v/>
      </c>
      <c r="T356" s="60" t="s">
        <v>56</v>
      </c>
      <c r="U356" s="59" t="str">
        <f aca="false">IFERROR(IF(VLOOKUP($A356,RA_result!$B$3:$N$62,6,0)="",S356*T356,VLOOKUP($A356,RA_result!$B$3:$N$62,6,0)),"")</f>
        <v/>
      </c>
      <c r="V356" s="61" t="s">
        <v>56</v>
      </c>
      <c r="W356" s="62" t="n">
        <f aca="false">IFERROR((S356*30%)/V356,0)</f>
        <v>0</v>
      </c>
      <c r="X356" s="63" t="n">
        <f aca="false">IFERROR(N356/W356,0)</f>
        <v>0</v>
      </c>
      <c r="Y356" s="68"/>
      <c r="Z356" s="57"/>
      <c r="AA356" s="69" t="str">
        <f aca="false">IF(OR(U356="",Y356="",Z356=""),"",IF(AND(U356&gt;Y356,-U356&lt;Z356),"Ok","Not Ok"))</f>
        <v/>
      </c>
      <c r="AB356" s="70"/>
    </row>
    <row r="357" customFormat="false" ht="12.8" hidden="false" customHeight="false" outlineLevel="0" collapsed="false">
      <c r="A357" s="48" t="n">
        <f aca="false">TB_audited!A340</f>
        <v>0</v>
      </c>
      <c r="B357" s="49"/>
      <c r="C357" s="50"/>
      <c r="D357" s="51" t="n">
        <f aca="false">TB_audited!B340</f>
        <v>0</v>
      </c>
      <c r="E357" s="52" t="n">
        <f aca="false">TB_audited!C340</f>
        <v>0</v>
      </c>
      <c r="F357" s="53" t="n">
        <f aca="false">TB_audited!D340</f>
        <v>0</v>
      </c>
      <c r="G357" s="54" t="n">
        <f aca="false">IF($D$8="Interim",TB_audited!G340,TB_audited!E340)</f>
        <v>0</v>
      </c>
      <c r="H357" s="55" t="str">
        <f aca="false">IFERROR(VLOOKUP($A357,RA_result!$B$3:$N$62,11,0),"")</f>
        <v/>
      </c>
      <c r="I357" s="55" t="str">
        <f aca="false">IFERROR(VLOOKUP($A357,RA_result!$B$3:$N$62,12,0),"")</f>
        <v/>
      </c>
      <c r="J357" s="55" t="str">
        <f aca="false">IFERROR(VLOOKUP($A357,RA_result!$B$3:$N$62,13,0),"")</f>
        <v/>
      </c>
      <c r="K357" s="56"/>
      <c r="L357" s="56"/>
      <c r="M357" s="57" t="n">
        <f aca="false">G357</f>
        <v>0</v>
      </c>
      <c r="N357" s="54" t="n">
        <f aca="false">G357-M357</f>
        <v>0</v>
      </c>
      <c r="O357" s="55" t="str">
        <f aca="false">IFERROR(VLOOKUP($A357,RA_result!$B$3:$N$62,7,0),"")</f>
        <v/>
      </c>
      <c r="P357" s="52" t="str">
        <f aca="false">IFERROR(VLOOKUP($A357,RA_result!$B$3:$N$62,9,0),"")</f>
        <v/>
      </c>
      <c r="Q357" s="52" t="str">
        <f aca="false">IFERROR(VLOOKUP($A357,RA_result!$B$3:$N$62,10,0),"")</f>
        <v/>
      </c>
      <c r="R357" s="58" t="s">
        <v>55</v>
      </c>
      <c r="S357" s="59" t="str">
        <f aca="false">IFERROR(VLOOKUP($A357,RA_result!$B$3:$N$62,4,0),"")</f>
        <v/>
      </c>
      <c r="T357" s="60" t="s">
        <v>56</v>
      </c>
      <c r="U357" s="59" t="str">
        <f aca="false">IFERROR(IF(VLOOKUP($A357,RA_result!$B$3:$N$62,6,0)="",S357*T357,VLOOKUP($A357,RA_result!$B$3:$N$62,6,0)),"")</f>
        <v/>
      </c>
      <c r="V357" s="61" t="s">
        <v>56</v>
      </c>
      <c r="W357" s="62" t="n">
        <f aca="false">IFERROR((S357*30%)/V357,0)</f>
        <v>0</v>
      </c>
      <c r="X357" s="63" t="n">
        <f aca="false">IFERROR(N357/W357,0)</f>
        <v>0</v>
      </c>
      <c r="Y357" s="68"/>
      <c r="Z357" s="57"/>
      <c r="AA357" s="69" t="str">
        <f aca="false">IF(OR(U357="",Y357="",Z357=""),"",IF(AND(U357&gt;Y357,-U357&lt;Z357),"Ok","Not Ok"))</f>
        <v/>
      </c>
      <c r="AB357" s="70"/>
    </row>
    <row r="358" customFormat="false" ht="12.8" hidden="false" customHeight="false" outlineLevel="0" collapsed="false">
      <c r="A358" s="48" t="n">
        <f aca="false">TB_audited!A341</f>
        <v>0</v>
      </c>
      <c r="B358" s="49"/>
      <c r="C358" s="50"/>
      <c r="D358" s="51" t="n">
        <f aca="false">TB_audited!B341</f>
        <v>0</v>
      </c>
      <c r="E358" s="52" t="n">
        <f aca="false">TB_audited!C341</f>
        <v>0</v>
      </c>
      <c r="F358" s="53" t="n">
        <f aca="false">TB_audited!D341</f>
        <v>0</v>
      </c>
      <c r="G358" s="54" t="n">
        <f aca="false">IF($D$8="Interim",TB_audited!G341,TB_audited!E341)</f>
        <v>0</v>
      </c>
      <c r="H358" s="55" t="str">
        <f aca="false">IFERROR(VLOOKUP($A358,RA_result!$B$3:$N$62,11,0),"")</f>
        <v/>
      </c>
      <c r="I358" s="55" t="str">
        <f aca="false">IFERROR(VLOOKUP($A358,RA_result!$B$3:$N$62,12,0),"")</f>
        <v/>
      </c>
      <c r="J358" s="55" t="str">
        <f aca="false">IFERROR(VLOOKUP($A358,RA_result!$B$3:$N$62,13,0),"")</f>
        <v/>
      </c>
      <c r="K358" s="56"/>
      <c r="L358" s="56"/>
      <c r="M358" s="57" t="n">
        <f aca="false">G358</f>
        <v>0</v>
      </c>
      <c r="N358" s="54" t="n">
        <f aca="false">G358-M358</f>
        <v>0</v>
      </c>
      <c r="O358" s="55" t="str">
        <f aca="false">IFERROR(VLOOKUP($A358,RA_result!$B$3:$N$62,7,0),"")</f>
        <v/>
      </c>
      <c r="P358" s="52" t="str">
        <f aca="false">IFERROR(VLOOKUP($A358,RA_result!$B$3:$N$62,9,0),"")</f>
        <v/>
      </c>
      <c r="Q358" s="52" t="str">
        <f aca="false">IFERROR(VLOOKUP($A358,RA_result!$B$3:$N$62,10,0),"")</f>
        <v/>
      </c>
      <c r="R358" s="58" t="s">
        <v>55</v>
      </c>
      <c r="S358" s="59" t="str">
        <f aca="false">IFERROR(VLOOKUP($A358,RA_result!$B$3:$N$62,4,0),"")</f>
        <v/>
      </c>
      <c r="T358" s="60" t="s">
        <v>56</v>
      </c>
      <c r="U358" s="59" t="str">
        <f aca="false">IFERROR(IF(VLOOKUP($A358,RA_result!$B$3:$N$62,6,0)="",S358*T358,VLOOKUP($A358,RA_result!$B$3:$N$62,6,0)),"")</f>
        <v/>
      </c>
      <c r="V358" s="61" t="s">
        <v>56</v>
      </c>
      <c r="W358" s="62" t="n">
        <f aca="false">IFERROR((S358*30%)/V358,0)</f>
        <v>0</v>
      </c>
      <c r="X358" s="63" t="n">
        <f aca="false">IFERROR(N358/W358,0)</f>
        <v>0</v>
      </c>
      <c r="Y358" s="68"/>
      <c r="Z358" s="57"/>
      <c r="AA358" s="69" t="str">
        <f aca="false">IF(OR(U358="",Y358="",Z358=""),"",IF(AND(U358&gt;Y358,-U358&lt;Z358),"Ok","Not Ok"))</f>
        <v/>
      </c>
      <c r="AB358" s="70"/>
    </row>
    <row r="359" customFormat="false" ht="12.8" hidden="false" customHeight="false" outlineLevel="0" collapsed="false">
      <c r="A359" s="48" t="n">
        <f aca="false">TB_audited!A342</f>
        <v>0</v>
      </c>
      <c r="B359" s="49"/>
      <c r="C359" s="50"/>
      <c r="D359" s="51" t="n">
        <f aca="false">TB_audited!B342</f>
        <v>0</v>
      </c>
      <c r="E359" s="52" t="n">
        <f aca="false">TB_audited!C342</f>
        <v>0</v>
      </c>
      <c r="F359" s="53" t="n">
        <f aca="false">TB_audited!D342</f>
        <v>0</v>
      </c>
      <c r="G359" s="54" t="n">
        <f aca="false">IF($D$8="Interim",TB_audited!G342,TB_audited!E342)</f>
        <v>0</v>
      </c>
      <c r="H359" s="55" t="str">
        <f aca="false">IFERROR(VLOOKUP($A359,RA_result!$B$3:$N$62,11,0),"")</f>
        <v/>
      </c>
      <c r="I359" s="55" t="str">
        <f aca="false">IFERROR(VLOOKUP($A359,RA_result!$B$3:$N$62,12,0),"")</f>
        <v/>
      </c>
      <c r="J359" s="55" t="str">
        <f aca="false">IFERROR(VLOOKUP($A359,RA_result!$B$3:$N$62,13,0),"")</f>
        <v/>
      </c>
      <c r="K359" s="56"/>
      <c r="L359" s="56"/>
      <c r="M359" s="57" t="n">
        <f aca="false">G359</f>
        <v>0</v>
      </c>
      <c r="N359" s="54" t="n">
        <f aca="false">G359-M359</f>
        <v>0</v>
      </c>
      <c r="O359" s="55" t="str">
        <f aca="false">IFERROR(VLOOKUP($A359,RA_result!$B$3:$N$62,7,0),"")</f>
        <v/>
      </c>
      <c r="P359" s="52" t="str">
        <f aca="false">IFERROR(VLOOKUP($A359,RA_result!$B$3:$N$62,9,0),"")</f>
        <v/>
      </c>
      <c r="Q359" s="52" t="str">
        <f aca="false">IFERROR(VLOOKUP($A359,RA_result!$B$3:$N$62,10,0),"")</f>
        <v/>
      </c>
      <c r="R359" s="58" t="s">
        <v>55</v>
      </c>
      <c r="S359" s="59" t="str">
        <f aca="false">IFERROR(VLOOKUP($A359,RA_result!$B$3:$N$62,4,0),"")</f>
        <v/>
      </c>
      <c r="T359" s="60" t="s">
        <v>56</v>
      </c>
      <c r="U359" s="59" t="str">
        <f aca="false">IFERROR(IF(VLOOKUP($A359,RA_result!$B$3:$N$62,6,0)="",S359*T359,VLOOKUP($A359,RA_result!$B$3:$N$62,6,0)),"")</f>
        <v/>
      </c>
      <c r="V359" s="61" t="s">
        <v>56</v>
      </c>
      <c r="W359" s="62" t="n">
        <f aca="false">IFERROR((S359*30%)/V359,0)</f>
        <v>0</v>
      </c>
      <c r="X359" s="63" t="n">
        <f aca="false">IFERROR(N359/W359,0)</f>
        <v>0</v>
      </c>
      <c r="Y359" s="68"/>
      <c r="Z359" s="57"/>
      <c r="AA359" s="69" t="str">
        <f aca="false">IF(OR(U359="",Y359="",Z359=""),"",IF(AND(U359&gt;Y359,-U359&lt;Z359),"Ok","Not Ok"))</f>
        <v/>
      </c>
      <c r="AB359" s="70"/>
    </row>
    <row r="360" customFormat="false" ht="12.8" hidden="false" customHeight="false" outlineLevel="0" collapsed="false">
      <c r="A360" s="48" t="n">
        <f aca="false">TB_audited!A343</f>
        <v>0</v>
      </c>
      <c r="B360" s="49"/>
      <c r="C360" s="50"/>
      <c r="D360" s="51" t="n">
        <f aca="false">TB_audited!B343</f>
        <v>0</v>
      </c>
      <c r="E360" s="52" t="n">
        <f aca="false">TB_audited!C343</f>
        <v>0</v>
      </c>
      <c r="F360" s="53" t="n">
        <f aca="false">TB_audited!D343</f>
        <v>0</v>
      </c>
      <c r="G360" s="54" t="n">
        <f aca="false">IF($D$8="Interim",TB_audited!G343,TB_audited!E343)</f>
        <v>0</v>
      </c>
      <c r="H360" s="55" t="str">
        <f aca="false">IFERROR(VLOOKUP($A360,RA_result!$B$3:$N$62,11,0),"")</f>
        <v/>
      </c>
      <c r="I360" s="55" t="str">
        <f aca="false">IFERROR(VLOOKUP($A360,RA_result!$B$3:$N$62,12,0),"")</f>
        <v/>
      </c>
      <c r="J360" s="55" t="str">
        <f aca="false">IFERROR(VLOOKUP($A360,RA_result!$B$3:$N$62,13,0),"")</f>
        <v/>
      </c>
      <c r="K360" s="56"/>
      <c r="L360" s="56"/>
      <c r="M360" s="57" t="n">
        <f aca="false">G360</f>
        <v>0</v>
      </c>
      <c r="N360" s="54" t="n">
        <f aca="false">G360-M360</f>
        <v>0</v>
      </c>
      <c r="O360" s="55" t="str">
        <f aca="false">IFERROR(VLOOKUP($A360,RA_result!$B$3:$N$62,7,0),"")</f>
        <v/>
      </c>
      <c r="P360" s="52" t="str">
        <f aca="false">IFERROR(VLOOKUP($A360,RA_result!$B$3:$N$62,9,0),"")</f>
        <v/>
      </c>
      <c r="Q360" s="52" t="str">
        <f aca="false">IFERROR(VLOOKUP($A360,RA_result!$B$3:$N$62,10,0),"")</f>
        <v/>
      </c>
      <c r="R360" s="58" t="s">
        <v>55</v>
      </c>
      <c r="S360" s="59" t="str">
        <f aca="false">IFERROR(VLOOKUP($A360,RA_result!$B$3:$N$62,4,0),"")</f>
        <v/>
      </c>
      <c r="T360" s="60" t="s">
        <v>56</v>
      </c>
      <c r="U360" s="59" t="str">
        <f aca="false">IFERROR(IF(VLOOKUP($A360,RA_result!$B$3:$N$62,6,0)="",S360*T360,VLOOKUP($A360,RA_result!$B$3:$N$62,6,0)),"")</f>
        <v/>
      </c>
      <c r="V360" s="61" t="s">
        <v>56</v>
      </c>
      <c r="W360" s="62" t="n">
        <f aca="false">IFERROR((S360*30%)/V360,0)</f>
        <v>0</v>
      </c>
      <c r="X360" s="63" t="n">
        <f aca="false">IFERROR(N360/W360,0)</f>
        <v>0</v>
      </c>
      <c r="Y360" s="68"/>
      <c r="Z360" s="57"/>
      <c r="AA360" s="69" t="str">
        <f aca="false">IF(OR(U360="",Y360="",Z360=""),"",IF(AND(U360&gt;Y360,-U360&lt;Z360),"Ok","Not Ok"))</f>
        <v/>
      </c>
      <c r="AB360" s="70"/>
    </row>
    <row r="361" customFormat="false" ht="12.8" hidden="false" customHeight="false" outlineLevel="0" collapsed="false">
      <c r="A361" s="48" t="n">
        <f aca="false">TB_audited!A344</f>
        <v>0</v>
      </c>
      <c r="B361" s="49"/>
      <c r="C361" s="50"/>
      <c r="D361" s="51" t="n">
        <f aca="false">TB_audited!B344</f>
        <v>0</v>
      </c>
      <c r="E361" s="52" t="n">
        <f aca="false">TB_audited!C344</f>
        <v>0</v>
      </c>
      <c r="F361" s="53" t="n">
        <f aca="false">TB_audited!D344</f>
        <v>0</v>
      </c>
      <c r="G361" s="54" t="n">
        <f aca="false">IF($D$8="Interim",TB_audited!G344,TB_audited!E344)</f>
        <v>0</v>
      </c>
      <c r="H361" s="55" t="str">
        <f aca="false">IFERROR(VLOOKUP($A361,RA_result!$B$3:$N$62,11,0),"")</f>
        <v/>
      </c>
      <c r="I361" s="55" t="str">
        <f aca="false">IFERROR(VLOOKUP($A361,RA_result!$B$3:$N$62,12,0),"")</f>
        <v/>
      </c>
      <c r="J361" s="55" t="str">
        <f aca="false">IFERROR(VLOOKUP($A361,RA_result!$B$3:$N$62,13,0),"")</f>
        <v/>
      </c>
      <c r="K361" s="56"/>
      <c r="L361" s="56"/>
      <c r="M361" s="57" t="n">
        <f aca="false">G361</f>
        <v>0</v>
      </c>
      <c r="N361" s="54" t="n">
        <f aca="false">G361-M361</f>
        <v>0</v>
      </c>
      <c r="O361" s="55" t="str">
        <f aca="false">IFERROR(VLOOKUP($A361,RA_result!$B$3:$N$62,7,0),"")</f>
        <v/>
      </c>
      <c r="P361" s="52" t="str">
        <f aca="false">IFERROR(VLOOKUP($A361,RA_result!$B$3:$N$62,9,0),"")</f>
        <v/>
      </c>
      <c r="Q361" s="52" t="str">
        <f aca="false">IFERROR(VLOOKUP($A361,RA_result!$B$3:$N$62,10,0),"")</f>
        <v/>
      </c>
      <c r="R361" s="58" t="s">
        <v>55</v>
      </c>
      <c r="S361" s="59" t="str">
        <f aca="false">IFERROR(VLOOKUP($A361,RA_result!$B$3:$N$62,4,0),"")</f>
        <v/>
      </c>
      <c r="T361" s="60" t="s">
        <v>56</v>
      </c>
      <c r="U361" s="59" t="str">
        <f aca="false">IFERROR(IF(VLOOKUP($A361,RA_result!$B$3:$N$62,6,0)="",S361*T361,VLOOKUP($A361,RA_result!$B$3:$N$62,6,0)),"")</f>
        <v/>
      </c>
      <c r="V361" s="61" t="s">
        <v>56</v>
      </c>
      <c r="W361" s="62" t="n">
        <f aca="false">IFERROR((S361*30%)/V361,0)</f>
        <v>0</v>
      </c>
      <c r="X361" s="63" t="n">
        <f aca="false">IFERROR(N361/W361,0)</f>
        <v>0</v>
      </c>
      <c r="Y361" s="68"/>
      <c r="Z361" s="57"/>
      <c r="AA361" s="69" t="str">
        <f aca="false">IF(OR(U361="",Y361="",Z361=""),"",IF(AND(U361&gt;Y361,-U361&lt;Z361),"Ok","Not Ok"))</f>
        <v/>
      </c>
      <c r="AB361" s="70"/>
    </row>
    <row r="362" customFormat="false" ht="12.8" hidden="false" customHeight="false" outlineLevel="0" collapsed="false">
      <c r="A362" s="48" t="n">
        <f aca="false">TB_audited!A345</f>
        <v>0</v>
      </c>
      <c r="B362" s="49"/>
      <c r="C362" s="50"/>
      <c r="D362" s="51" t="n">
        <f aca="false">TB_audited!B345</f>
        <v>0</v>
      </c>
      <c r="E362" s="52" t="n">
        <f aca="false">TB_audited!C345</f>
        <v>0</v>
      </c>
      <c r="F362" s="53" t="n">
        <f aca="false">TB_audited!D345</f>
        <v>0</v>
      </c>
      <c r="G362" s="54" t="n">
        <f aca="false">IF($D$8="Interim",TB_audited!G345,TB_audited!E345)</f>
        <v>0</v>
      </c>
      <c r="H362" s="55" t="str">
        <f aca="false">IFERROR(VLOOKUP($A362,RA_result!$B$3:$N$62,11,0),"")</f>
        <v/>
      </c>
      <c r="I362" s="55" t="str">
        <f aca="false">IFERROR(VLOOKUP($A362,RA_result!$B$3:$N$62,12,0),"")</f>
        <v/>
      </c>
      <c r="J362" s="55" t="str">
        <f aca="false">IFERROR(VLOOKUP($A362,RA_result!$B$3:$N$62,13,0),"")</f>
        <v/>
      </c>
      <c r="K362" s="56"/>
      <c r="L362" s="56"/>
      <c r="M362" s="57" t="n">
        <f aca="false">G362</f>
        <v>0</v>
      </c>
      <c r="N362" s="54" t="n">
        <f aca="false">G362-M362</f>
        <v>0</v>
      </c>
      <c r="O362" s="55" t="str">
        <f aca="false">IFERROR(VLOOKUP($A362,RA_result!$B$3:$N$62,7,0),"")</f>
        <v/>
      </c>
      <c r="P362" s="52" t="str">
        <f aca="false">IFERROR(VLOOKUP($A362,RA_result!$B$3:$N$62,9,0),"")</f>
        <v/>
      </c>
      <c r="Q362" s="52" t="str">
        <f aca="false">IFERROR(VLOOKUP($A362,RA_result!$B$3:$N$62,10,0),"")</f>
        <v/>
      </c>
      <c r="R362" s="58" t="s">
        <v>55</v>
      </c>
      <c r="S362" s="59" t="str">
        <f aca="false">IFERROR(VLOOKUP($A362,RA_result!$B$3:$N$62,4,0),"")</f>
        <v/>
      </c>
      <c r="T362" s="60" t="s">
        <v>56</v>
      </c>
      <c r="U362" s="59" t="str">
        <f aca="false">IFERROR(IF(VLOOKUP($A362,RA_result!$B$3:$N$62,6,0)="",S362*T362,VLOOKUP($A362,RA_result!$B$3:$N$62,6,0)),"")</f>
        <v/>
      </c>
      <c r="V362" s="61" t="s">
        <v>56</v>
      </c>
      <c r="W362" s="62" t="n">
        <f aca="false">IFERROR((S362*30%)/V362,0)</f>
        <v>0</v>
      </c>
      <c r="X362" s="63" t="n">
        <f aca="false">IFERROR(N362/W362,0)</f>
        <v>0</v>
      </c>
      <c r="Y362" s="68"/>
      <c r="Z362" s="57"/>
      <c r="AA362" s="69" t="str">
        <f aca="false">IF(OR(U362="",Y362="",Z362=""),"",IF(AND(U362&gt;Y362,-U362&lt;Z362),"Ok","Not Ok"))</f>
        <v/>
      </c>
      <c r="AB362" s="70"/>
    </row>
    <row r="363" customFormat="false" ht="12.8" hidden="false" customHeight="false" outlineLevel="0" collapsed="false">
      <c r="A363" s="48" t="n">
        <f aca="false">TB_audited!A346</f>
        <v>0</v>
      </c>
      <c r="B363" s="49"/>
      <c r="C363" s="50"/>
      <c r="D363" s="51" t="n">
        <f aca="false">TB_audited!B346</f>
        <v>0</v>
      </c>
      <c r="E363" s="52" t="n">
        <f aca="false">TB_audited!C346</f>
        <v>0</v>
      </c>
      <c r="F363" s="53" t="n">
        <f aca="false">TB_audited!D346</f>
        <v>0</v>
      </c>
      <c r="G363" s="54" t="n">
        <f aca="false">IF($D$8="Interim",TB_audited!G346,TB_audited!E346)</f>
        <v>0</v>
      </c>
      <c r="H363" s="55" t="str">
        <f aca="false">IFERROR(VLOOKUP($A363,RA_result!$B$3:$N$62,11,0),"")</f>
        <v/>
      </c>
      <c r="I363" s="55" t="str">
        <f aca="false">IFERROR(VLOOKUP($A363,RA_result!$B$3:$N$62,12,0),"")</f>
        <v/>
      </c>
      <c r="J363" s="55" t="str">
        <f aca="false">IFERROR(VLOOKUP($A363,RA_result!$B$3:$N$62,13,0),"")</f>
        <v/>
      </c>
      <c r="K363" s="56"/>
      <c r="L363" s="56"/>
      <c r="M363" s="57" t="n">
        <f aca="false">G363</f>
        <v>0</v>
      </c>
      <c r="N363" s="54" t="n">
        <f aca="false">G363-M363</f>
        <v>0</v>
      </c>
      <c r="O363" s="55" t="str">
        <f aca="false">IFERROR(VLOOKUP($A363,RA_result!$B$3:$N$62,7,0),"")</f>
        <v/>
      </c>
      <c r="P363" s="52" t="str">
        <f aca="false">IFERROR(VLOOKUP($A363,RA_result!$B$3:$N$62,9,0),"")</f>
        <v/>
      </c>
      <c r="Q363" s="52" t="str">
        <f aca="false">IFERROR(VLOOKUP($A363,RA_result!$B$3:$N$62,10,0),"")</f>
        <v/>
      </c>
      <c r="R363" s="58" t="s">
        <v>55</v>
      </c>
      <c r="S363" s="59" t="str">
        <f aca="false">IFERROR(VLOOKUP($A363,RA_result!$B$3:$N$62,4,0),"")</f>
        <v/>
      </c>
      <c r="T363" s="60" t="s">
        <v>56</v>
      </c>
      <c r="U363" s="59" t="str">
        <f aca="false">IFERROR(IF(VLOOKUP($A363,RA_result!$B$3:$N$62,6,0)="",S363*T363,VLOOKUP($A363,RA_result!$B$3:$N$62,6,0)),"")</f>
        <v/>
      </c>
      <c r="V363" s="61" t="s">
        <v>56</v>
      </c>
      <c r="W363" s="62" t="n">
        <f aca="false">IFERROR((S363*30%)/V363,0)</f>
        <v>0</v>
      </c>
      <c r="X363" s="63" t="n">
        <f aca="false">IFERROR(N363/W363,0)</f>
        <v>0</v>
      </c>
      <c r="Y363" s="68"/>
      <c r="Z363" s="57"/>
      <c r="AA363" s="69" t="str">
        <f aca="false">IF(OR(U363="",Y363="",Z363=""),"",IF(AND(U363&gt;Y363,-U363&lt;Z363),"Ok","Not Ok"))</f>
        <v/>
      </c>
      <c r="AB363" s="70"/>
    </row>
    <row r="364" customFormat="false" ht="12.8" hidden="false" customHeight="false" outlineLevel="0" collapsed="false">
      <c r="A364" s="48" t="n">
        <f aca="false">TB_audited!A347</f>
        <v>0</v>
      </c>
      <c r="B364" s="49"/>
      <c r="C364" s="50"/>
      <c r="D364" s="51" t="n">
        <f aca="false">TB_audited!B347</f>
        <v>0</v>
      </c>
      <c r="E364" s="52" t="n">
        <f aca="false">TB_audited!C347</f>
        <v>0</v>
      </c>
      <c r="F364" s="53" t="n">
        <f aca="false">TB_audited!D347</f>
        <v>0</v>
      </c>
      <c r="G364" s="54" t="n">
        <f aca="false">IF($D$8="Interim",TB_audited!G347,TB_audited!E347)</f>
        <v>0</v>
      </c>
      <c r="H364" s="55" t="str">
        <f aca="false">IFERROR(VLOOKUP($A364,RA_result!$B$3:$N$62,11,0),"")</f>
        <v/>
      </c>
      <c r="I364" s="55" t="str">
        <f aca="false">IFERROR(VLOOKUP($A364,RA_result!$B$3:$N$62,12,0),"")</f>
        <v/>
      </c>
      <c r="J364" s="55" t="str">
        <f aca="false">IFERROR(VLOOKUP($A364,RA_result!$B$3:$N$62,13,0),"")</f>
        <v/>
      </c>
      <c r="K364" s="56"/>
      <c r="L364" s="56"/>
      <c r="M364" s="57" t="n">
        <f aca="false">G364</f>
        <v>0</v>
      </c>
      <c r="N364" s="54" t="n">
        <f aca="false">G364-M364</f>
        <v>0</v>
      </c>
      <c r="O364" s="55" t="str">
        <f aca="false">IFERROR(VLOOKUP($A364,RA_result!$B$3:$N$62,7,0),"")</f>
        <v/>
      </c>
      <c r="P364" s="52" t="str">
        <f aca="false">IFERROR(VLOOKUP($A364,RA_result!$B$3:$N$62,9,0),"")</f>
        <v/>
      </c>
      <c r="Q364" s="52" t="str">
        <f aca="false">IFERROR(VLOOKUP($A364,RA_result!$B$3:$N$62,10,0),"")</f>
        <v/>
      </c>
      <c r="R364" s="58" t="s">
        <v>55</v>
      </c>
      <c r="S364" s="59" t="str">
        <f aca="false">IFERROR(VLOOKUP($A364,RA_result!$B$3:$N$62,4,0),"")</f>
        <v/>
      </c>
      <c r="T364" s="60" t="s">
        <v>56</v>
      </c>
      <c r="U364" s="59" t="str">
        <f aca="false">IFERROR(IF(VLOOKUP($A364,RA_result!$B$3:$N$62,6,0)="",S364*T364,VLOOKUP($A364,RA_result!$B$3:$N$62,6,0)),"")</f>
        <v/>
      </c>
      <c r="V364" s="61" t="s">
        <v>56</v>
      </c>
      <c r="W364" s="62" t="n">
        <f aca="false">IFERROR((S364*30%)/V364,0)</f>
        <v>0</v>
      </c>
      <c r="X364" s="63" t="n">
        <f aca="false">IFERROR(N364/W364,0)</f>
        <v>0</v>
      </c>
      <c r="Y364" s="68"/>
      <c r="Z364" s="57"/>
      <c r="AA364" s="69" t="str">
        <f aca="false">IF(OR(U364="",Y364="",Z364=""),"",IF(AND(U364&gt;Y364,-U364&lt;Z364),"Ok","Not Ok"))</f>
        <v/>
      </c>
      <c r="AB364" s="70"/>
    </row>
    <row r="365" customFormat="false" ht="12.8" hidden="false" customHeight="false" outlineLevel="0" collapsed="false">
      <c r="A365" s="48" t="n">
        <f aca="false">TB_audited!A348</f>
        <v>0</v>
      </c>
      <c r="B365" s="49"/>
      <c r="C365" s="50"/>
      <c r="D365" s="51" t="n">
        <f aca="false">TB_audited!B348</f>
        <v>0</v>
      </c>
      <c r="E365" s="52" t="n">
        <f aca="false">TB_audited!C348</f>
        <v>0</v>
      </c>
      <c r="F365" s="53" t="n">
        <f aca="false">TB_audited!D348</f>
        <v>0</v>
      </c>
      <c r="G365" s="54" t="n">
        <f aca="false">IF($D$8="Interim",TB_audited!G348,TB_audited!E348)</f>
        <v>0</v>
      </c>
      <c r="H365" s="55" t="str">
        <f aca="false">IFERROR(VLOOKUP($A365,RA_result!$B$3:$N$62,11,0),"")</f>
        <v/>
      </c>
      <c r="I365" s="55" t="str">
        <f aca="false">IFERROR(VLOOKUP($A365,RA_result!$B$3:$N$62,12,0),"")</f>
        <v/>
      </c>
      <c r="J365" s="55" t="str">
        <f aca="false">IFERROR(VLOOKUP($A365,RA_result!$B$3:$N$62,13,0),"")</f>
        <v/>
      </c>
      <c r="K365" s="56"/>
      <c r="L365" s="56"/>
      <c r="M365" s="57" t="n">
        <f aca="false">G365</f>
        <v>0</v>
      </c>
      <c r="N365" s="54" t="n">
        <f aca="false">G365-M365</f>
        <v>0</v>
      </c>
      <c r="O365" s="55" t="str">
        <f aca="false">IFERROR(VLOOKUP($A365,RA_result!$B$3:$N$62,7,0),"")</f>
        <v/>
      </c>
      <c r="P365" s="52" t="str">
        <f aca="false">IFERROR(VLOOKUP($A365,RA_result!$B$3:$N$62,9,0),"")</f>
        <v/>
      </c>
      <c r="Q365" s="52" t="str">
        <f aca="false">IFERROR(VLOOKUP($A365,RA_result!$B$3:$N$62,10,0),"")</f>
        <v/>
      </c>
      <c r="R365" s="58" t="s">
        <v>55</v>
      </c>
      <c r="S365" s="59" t="str">
        <f aca="false">IFERROR(VLOOKUP($A365,RA_result!$B$3:$N$62,4,0),"")</f>
        <v/>
      </c>
      <c r="T365" s="60" t="s">
        <v>56</v>
      </c>
      <c r="U365" s="59" t="str">
        <f aca="false">IFERROR(IF(VLOOKUP($A365,RA_result!$B$3:$N$62,6,0)="",S365*T365,VLOOKUP($A365,RA_result!$B$3:$N$62,6,0)),"")</f>
        <v/>
      </c>
      <c r="V365" s="61" t="s">
        <v>56</v>
      </c>
      <c r="W365" s="62" t="n">
        <f aca="false">IFERROR((S365*30%)/V365,0)</f>
        <v>0</v>
      </c>
      <c r="X365" s="63" t="n">
        <f aca="false">IFERROR(N365/W365,0)</f>
        <v>0</v>
      </c>
      <c r="Y365" s="68"/>
      <c r="Z365" s="57"/>
      <c r="AA365" s="69" t="str">
        <f aca="false">IF(OR(U365="",Y365="",Z365=""),"",IF(AND(U365&gt;Y365,-U365&lt;Z365),"Ok","Not Ok"))</f>
        <v/>
      </c>
      <c r="AB365" s="70"/>
    </row>
    <row r="366" customFormat="false" ht="12.8" hidden="false" customHeight="false" outlineLevel="0" collapsed="false">
      <c r="A366" s="48" t="n">
        <f aca="false">TB_audited!A349</f>
        <v>0</v>
      </c>
      <c r="B366" s="49"/>
      <c r="C366" s="50"/>
      <c r="D366" s="51" t="n">
        <f aca="false">TB_audited!B349</f>
        <v>0</v>
      </c>
      <c r="E366" s="52" t="n">
        <f aca="false">TB_audited!C349</f>
        <v>0</v>
      </c>
      <c r="F366" s="53" t="n">
        <f aca="false">TB_audited!D349</f>
        <v>0</v>
      </c>
      <c r="G366" s="54" t="n">
        <f aca="false">IF($D$8="Interim",TB_audited!G349,TB_audited!E349)</f>
        <v>0</v>
      </c>
      <c r="H366" s="55" t="str">
        <f aca="false">IFERROR(VLOOKUP($A366,RA_result!$B$3:$N$62,11,0),"")</f>
        <v/>
      </c>
      <c r="I366" s="55" t="str">
        <f aca="false">IFERROR(VLOOKUP($A366,RA_result!$B$3:$N$62,12,0),"")</f>
        <v/>
      </c>
      <c r="J366" s="55" t="str">
        <f aca="false">IFERROR(VLOOKUP($A366,RA_result!$B$3:$N$62,13,0),"")</f>
        <v/>
      </c>
      <c r="K366" s="56"/>
      <c r="L366" s="56"/>
      <c r="M366" s="57" t="n">
        <f aca="false">G366</f>
        <v>0</v>
      </c>
      <c r="N366" s="54" t="n">
        <f aca="false">G366-M366</f>
        <v>0</v>
      </c>
      <c r="O366" s="55" t="str">
        <f aca="false">IFERROR(VLOOKUP($A366,RA_result!$B$3:$N$62,7,0),"")</f>
        <v/>
      </c>
      <c r="P366" s="52" t="str">
        <f aca="false">IFERROR(VLOOKUP($A366,RA_result!$B$3:$N$62,9,0),"")</f>
        <v/>
      </c>
      <c r="Q366" s="52" t="str">
        <f aca="false">IFERROR(VLOOKUP($A366,RA_result!$B$3:$N$62,10,0),"")</f>
        <v/>
      </c>
      <c r="R366" s="58" t="s">
        <v>55</v>
      </c>
      <c r="S366" s="59" t="str">
        <f aca="false">IFERROR(VLOOKUP($A366,RA_result!$B$3:$N$62,4,0),"")</f>
        <v/>
      </c>
      <c r="T366" s="60" t="s">
        <v>56</v>
      </c>
      <c r="U366" s="59" t="str">
        <f aca="false">IFERROR(IF(VLOOKUP($A366,RA_result!$B$3:$N$62,6,0)="",S366*T366,VLOOKUP($A366,RA_result!$B$3:$N$62,6,0)),"")</f>
        <v/>
      </c>
      <c r="V366" s="61" t="s">
        <v>56</v>
      </c>
      <c r="W366" s="62" t="n">
        <f aca="false">IFERROR((S366*30%)/V366,0)</f>
        <v>0</v>
      </c>
      <c r="X366" s="63" t="n">
        <f aca="false">IFERROR(N366/W366,0)</f>
        <v>0</v>
      </c>
      <c r="Y366" s="68"/>
      <c r="Z366" s="57"/>
      <c r="AA366" s="69" t="str">
        <f aca="false">IF(OR(U366="",Y366="",Z366=""),"",IF(AND(U366&gt;Y366,-U366&lt;Z366),"Ok","Not Ok"))</f>
        <v/>
      </c>
      <c r="AB366" s="70"/>
    </row>
    <row r="367" customFormat="false" ht="12.8" hidden="false" customHeight="false" outlineLevel="0" collapsed="false">
      <c r="A367" s="48" t="n">
        <f aca="false">TB_audited!A350</f>
        <v>0</v>
      </c>
      <c r="B367" s="49"/>
      <c r="C367" s="50"/>
      <c r="D367" s="51" t="n">
        <f aca="false">TB_audited!B350</f>
        <v>0</v>
      </c>
      <c r="E367" s="52" t="n">
        <f aca="false">TB_audited!C350</f>
        <v>0</v>
      </c>
      <c r="F367" s="53" t="n">
        <f aca="false">TB_audited!D350</f>
        <v>0</v>
      </c>
      <c r="G367" s="54" t="n">
        <f aca="false">IF($D$8="Interim",TB_audited!G350,TB_audited!E350)</f>
        <v>0</v>
      </c>
      <c r="H367" s="55" t="str">
        <f aca="false">IFERROR(VLOOKUP($A367,RA_result!$B$3:$N$62,11,0),"")</f>
        <v/>
      </c>
      <c r="I367" s="55" t="str">
        <f aca="false">IFERROR(VLOOKUP($A367,RA_result!$B$3:$N$62,12,0),"")</f>
        <v/>
      </c>
      <c r="J367" s="55" t="str">
        <f aca="false">IFERROR(VLOOKUP($A367,RA_result!$B$3:$N$62,13,0),"")</f>
        <v/>
      </c>
      <c r="K367" s="56"/>
      <c r="L367" s="56"/>
      <c r="M367" s="57" t="n">
        <f aca="false">G367</f>
        <v>0</v>
      </c>
      <c r="N367" s="54" t="n">
        <f aca="false">G367-M367</f>
        <v>0</v>
      </c>
      <c r="O367" s="55" t="str">
        <f aca="false">IFERROR(VLOOKUP($A367,RA_result!$B$3:$N$62,7,0),"")</f>
        <v/>
      </c>
      <c r="P367" s="52" t="str">
        <f aca="false">IFERROR(VLOOKUP($A367,RA_result!$B$3:$N$62,9,0),"")</f>
        <v/>
      </c>
      <c r="Q367" s="52" t="str">
        <f aca="false">IFERROR(VLOOKUP($A367,RA_result!$B$3:$N$62,10,0),"")</f>
        <v/>
      </c>
      <c r="R367" s="58" t="s">
        <v>55</v>
      </c>
      <c r="S367" s="59" t="str">
        <f aca="false">IFERROR(VLOOKUP($A367,RA_result!$B$3:$N$62,4,0),"")</f>
        <v/>
      </c>
      <c r="T367" s="60" t="s">
        <v>56</v>
      </c>
      <c r="U367" s="59" t="str">
        <f aca="false">IFERROR(IF(VLOOKUP($A367,RA_result!$B$3:$N$62,6,0)="",S367*T367,VLOOKUP($A367,RA_result!$B$3:$N$62,6,0)),"")</f>
        <v/>
      </c>
      <c r="V367" s="61" t="s">
        <v>56</v>
      </c>
      <c r="W367" s="62" t="n">
        <f aca="false">IFERROR((S367*30%)/V367,0)</f>
        <v>0</v>
      </c>
      <c r="X367" s="63" t="n">
        <f aca="false">IFERROR(N367/W367,0)</f>
        <v>0</v>
      </c>
      <c r="Y367" s="68"/>
      <c r="Z367" s="57"/>
      <c r="AA367" s="69" t="str">
        <f aca="false">IF(OR(U367="",Y367="",Z367=""),"",IF(AND(U367&gt;Y367,-U367&lt;Z367),"Ok","Not Ok"))</f>
        <v/>
      </c>
      <c r="AB367" s="70"/>
    </row>
    <row r="368" customFormat="false" ht="12.8" hidden="false" customHeight="false" outlineLevel="0" collapsed="false">
      <c r="A368" s="48" t="n">
        <f aca="false">TB_audited!A351</f>
        <v>0</v>
      </c>
      <c r="B368" s="49"/>
      <c r="C368" s="50"/>
      <c r="D368" s="51" t="n">
        <f aca="false">TB_audited!B351</f>
        <v>0</v>
      </c>
      <c r="E368" s="52" t="n">
        <f aca="false">TB_audited!C351</f>
        <v>0</v>
      </c>
      <c r="F368" s="53" t="n">
        <f aca="false">TB_audited!D351</f>
        <v>0</v>
      </c>
      <c r="G368" s="54" t="n">
        <f aca="false">IF($D$8="Interim",TB_audited!G351,TB_audited!E351)</f>
        <v>0</v>
      </c>
      <c r="H368" s="55" t="str">
        <f aca="false">IFERROR(VLOOKUP($A368,RA_result!$B$3:$N$62,11,0),"")</f>
        <v/>
      </c>
      <c r="I368" s="55" t="str">
        <f aca="false">IFERROR(VLOOKUP($A368,RA_result!$B$3:$N$62,12,0),"")</f>
        <v/>
      </c>
      <c r="J368" s="55" t="str">
        <f aca="false">IFERROR(VLOOKUP($A368,RA_result!$B$3:$N$62,13,0),"")</f>
        <v/>
      </c>
      <c r="K368" s="56"/>
      <c r="L368" s="56"/>
      <c r="M368" s="57" t="n">
        <f aca="false">G368</f>
        <v>0</v>
      </c>
      <c r="N368" s="54" t="n">
        <f aca="false">G368-M368</f>
        <v>0</v>
      </c>
      <c r="O368" s="55" t="str">
        <f aca="false">IFERROR(VLOOKUP($A368,RA_result!$B$3:$N$62,7,0),"")</f>
        <v/>
      </c>
      <c r="P368" s="52" t="str">
        <f aca="false">IFERROR(VLOOKUP($A368,RA_result!$B$3:$N$62,9,0),"")</f>
        <v/>
      </c>
      <c r="Q368" s="52" t="str">
        <f aca="false">IFERROR(VLOOKUP($A368,RA_result!$B$3:$N$62,10,0),"")</f>
        <v/>
      </c>
      <c r="R368" s="58" t="s">
        <v>55</v>
      </c>
      <c r="S368" s="59" t="str">
        <f aca="false">IFERROR(VLOOKUP($A368,RA_result!$B$3:$N$62,4,0),"")</f>
        <v/>
      </c>
      <c r="T368" s="60" t="s">
        <v>56</v>
      </c>
      <c r="U368" s="59" t="str">
        <f aca="false">IFERROR(IF(VLOOKUP($A368,RA_result!$B$3:$N$62,6,0)="",S368*T368,VLOOKUP($A368,RA_result!$B$3:$N$62,6,0)),"")</f>
        <v/>
      </c>
      <c r="V368" s="61" t="s">
        <v>56</v>
      </c>
      <c r="W368" s="62" t="n">
        <f aca="false">IFERROR((S368*30%)/V368,0)</f>
        <v>0</v>
      </c>
      <c r="X368" s="63" t="n">
        <f aca="false">IFERROR(N368/W368,0)</f>
        <v>0</v>
      </c>
      <c r="Y368" s="68"/>
      <c r="Z368" s="57"/>
      <c r="AA368" s="69" t="str">
        <f aca="false">IF(OR(U368="",Y368="",Z368=""),"",IF(AND(U368&gt;Y368,-U368&lt;Z368),"Ok","Not Ok"))</f>
        <v/>
      </c>
      <c r="AB368" s="70"/>
    </row>
    <row r="369" customFormat="false" ht="12.8" hidden="false" customHeight="false" outlineLevel="0" collapsed="false">
      <c r="A369" s="48" t="n">
        <f aca="false">TB_audited!A352</f>
        <v>0</v>
      </c>
      <c r="B369" s="49"/>
      <c r="C369" s="50"/>
      <c r="D369" s="51" t="n">
        <f aca="false">TB_audited!B352</f>
        <v>0</v>
      </c>
      <c r="E369" s="52" t="n">
        <f aca="false">TB_audited!C352</f>
        <v>0</v>
      </c>
      <c r="F369" s="53" t="n">
        <f aca="false">TB_audited!D352</f>
        <v>0</v>
      </c>
      <c r="G369" s="54" t="n">
        <f aca="false">IF($D$8="Interim",TB_audited!G352,TB_audited!E352)</f>
        <v>0</v>
      </c>
      <c r="H369" s="55" t="str">
        <f aca="false">IFERROR(VLOOKUP($A369,RA_result!$B$3:$N$62,11,0),"")</f>
        <v/>
      </c>
      <c r="I369" s="55" t="str">
        <f aca="false">IFERROR(VLOOKUP($A369,RA_result!$B$3:$N$62,12,0),"")</f>
        <v/>
      </c>
      <c r="J369" s="55" t="str">
        <f aca="false">IFERROR(VLOOKUP($A369,RA_result!$B$3:$N$62,13,0),"")</f>
        <v/>
      </c>
      <c r="K369" s="56"/>
      <c r="L369" s="56"/>
      <c r="M369" s="57" t="n">
        <f aca="false">G369</f>
        <v>0</v>
      </c>
      <c r="N369" s="54" t="n">
        <f aca="false">G369-M369</f>
        <v>0</v>
      </c>
      <c r="O369" s="55" t="str">
        <f aca="false">IFERROR(VLOOKUP($A369,RA_result!$B$3:$N$62,7,0),"")</f>
        <v/>
      </c>
      <c r="P369" s="52" t="str">
        <f aca="false">IFERROR(VLOOKUP($A369,RA_result!$B$3:$N$62,9,0),"")</f>
        <v/>
      </c>
      <c r="Q369" s="52" t="str">
        <f aca="false">IFERROR(VLOOKUP($A369,RA_result!$B$3:$N$62,10,0),"")</f>
        <v/>
      </c>
      <c r="R369" s="58" t="s">
        <v>55</v>
      </c>
      <c r="S369" s="59" t="str">
        <f aca="false">IFERROR(VLOOKUP($A369,RA_result!$B$3:$N$62,4,0),"")</f>
        <v/>
      </c>
      <c r="T369" s="60" t="s">
        <v>56</v>
      </c>
      <c r="U369" s="59" t="str">
        <f aca="false">IFERROR(IF(VLOOKUP($A369,RA_result!$B$3:$N$62,6,0)="",S369*T369,VLOOKUP($A369,RA_result!$B$3:$N$62,6,0)),"")</f>
        <v/>
      </c>
      <c r="V369" s="61" t="s">
        <v>56</v>
      </c>
      <c r="W369" s="62" t="n">
        <f aca="false">IFERROR((S369*30%)/V369,0)</f>
        <v>0</v>
      </c>
      <c r="X369" s="63" t="n">
        <f aca="false">IFERROR(N369/W369,0)</f>
        <v>0</v>
      </c>
      <c r="Y369" s="68"/>
      <c r="Z369" s="57"/>
      <c r="AA369" s="69" t="str">
        <f aca="false">IF(OR(U369="",Y369="",Z369=""),"",IF(AND(U369&gt;Y369,-U369&lt;Z369),"Ok","Not Ok"))</f>
        <v/>
      </c>
      <c r="AB369" s="70"/>
    </row>
    <row r="370" customFormat="false" ht="12.8" hidden="false" customHeight="false" outlineLevel="0" collapsed="false">
      <c r="A370" s="48" t="n">
        <f aca="false">TB_audited!A353</f>
        <v>0</v>
      </c>
      <c r="B370" s="49"/>
      <c r="C370" s="50"/>
      <c r="D370" s="51" t="n">
        <f aca="false">TB_audited!B353</f>
        <v>0</v>
      </c>
      <c r="E370" s="52" t="n">
        <f aca="false">TB_audited!C353</f>
        <v>0</v>
      </c>
      <c r="F370" s="53" t="n">
        <f aca="false">TB_audited!D353</f>
        <v>0</v>
      </c>
      <c r="G370" s="54" t="n">
        <f aca="false">IF($D$8="Interim",TB_audited!G353,TB_audited!E353)</f>
        <v>0</v>
      </c>
      <c r="H370" s="55" t="str">
        <f aca="false">IFERROR(VLOOKUP($A370,RA_result!$B$3:$N$62,11,0),"")</f>
        <v/>
      </c>
      <c r="I370" s="55" t="str">
        <f aca="false">IFERROR(VLOOKUP($A370,RA_result!$B$3:$N$62,12,0),"")</f>
        <v/>
      </c>
      <c r="J370" s="55" t="str">
        <f aca="false">IFERROR(VLOOKUP($A370,RA_result!$B$3:$N$62,13,0),"")</f>
        <v/>
      </c>
      <c r="K370" s="56"/>
      <c r="L370" s="56"/>
      <c r="M370" s="57" t="n">
        <f aca="false">G370</f>
        <v>0</v>
      </c>
      <c r="N370" s="54" t="n">
        <f aca="false">G370-M370</f>
        <v>0</v>
      </c>
      <c r="O370" s="55" t="str">
        <f aca="false">IFERROR(VLOOKUP($A370,RA_result!$B$3:$N$62,7,0),"")</f>
        <v/>
      </c>
      <c r="P370" s="52" t="str">
        <f aca="false">IFERROR(VLOOKUP($A370,RA_result!$B$3:$N$62,9,0),"")</f>
        <v/>
      </c>
      <c r="Q370" s="52" t="str">
        <f aca="false">IFERROR(VLOOKUP($A370,RA_result!$B$3:$N$62,10,0),"")</f>
        <v/>
      </c>
      <c r="R370" s="58" t="s">
        <v>55</v>
      </c>
      <c r="S370" s="59" t="str">
        <f aca="false">IFERROR(VLOOKUP($A370,RA_result!$B$3:$N$62,4,0),"")</f>
        <v/>
      </c>
      <c r="T370" s="60" t="s">
        <v>56</v>
      </c>
      <c r="U370" s="59" t="str">
        <f aca="false">IFERROR(IF(VLOOKUP($A370,RA_result!$B$3:$N$62,6,0)="",S370*T370,VLOOKUP($A370,RA_result!$B$3:$N$62,6,0)),"")</f>
        <v/>
      </c>
      <c r="V370" s="61" t="s">
        <v>56</v>
      </c>
      <c r="W370" s="62" t="n">
        <f aca="false">IFERROR((S370*30%)/V370,0)</f>
        <v>0</v>
      </c>
      <c r="X370" s="63" t="n">
        <f aca="false">IFERROR(N370/W370,0)</f>
        <v>0</v>
      </c>
      <c r="Y370" s="68"/>
      <c r="Z370" s="57"/>
      <c r="AA370" s="69" t="str">
        <f aca="false">IF(OR(U370="",Y370="",Z370=""),"",IF(AND(U370&gt;Y370,-U370&lt;Z370),"Ok","Not Ok"))</f>
        <v/>
      </c>
      <c r="AB370" s="70"/>
    </row>
    <row r="371" customFormat="false" ht="12.8" hidden="false" customHeight="false" outlineLevel="0" collapsed="false">
      <c r="A371" s="48" t="n">
        <f aca="false">TB_audited!A354</f>
        <v>0</v>
      </c>
      <c r="B371" s="49"/>
      <c r="C371" s="50"/>
      <c r="D371" s="51" t="n">
        <f aca="false">TB_audited!B354</f>
        <v>0</v>
      </c>
      <c r="E371" s="52" t="n">
        <f aca="false">TB_audited!C354</f>
        <v>0</v>
      </c>
      <c r="F371" s="53" t="n">
        <f aca="false">TB_audited!D354</f>
        <v>0</v>
      </c>
      <c r="G371" s="54" t="n">
        <f aca="false">IF($D$8="Interim",TB_audited!G354,TB_audited!E354)</f>
        <v>0</v>
      </c>
      <c r="H371" s="55" t="str">
        <f aca="false">IFERROR(VLOOKUP($A371,RA_result!$B$3:$N$62,11,0),"")</f>
        <v/>
      </c>
      <c r="I371" s="55" t="str">
        <f aca="false">IFERROR(VLOOKUP($A371,RA_result!$B$3:$N$62,12,0),"")</f>
        <v/>
      </c>
      <c r="J371" s="55" t="str">
        <f aca="false">IFERROR(VLOOKUP($A371,RA_result!$B$3:$N$62,13,0),"")</f>
        <v/>
      </c>
      <c r="K371" s="56"/>
      <c r="L371" s="56"/>
      <c r="M371" s="57" t="n">
        <f aca="false">G371</f>
        <v>0</v>
      </c>
      <c r="N371" s="54" t="n">
        <f aca="false">G371-M371</f>
        <v>0</v>
      </c>
      <c r="O371" s="55" t="str">
        <f aca="false">IFERROR(VLOOKUP($A371,RA_result!$B$3:$N$62,7,0),"")</f>
        <v/>
      </c>
      <c r="P371" s="52" t="str">
        <f aca="false">IFERROR(VLOOKUP($A371,RA_result!$B$3:$N$62,9,0),"")</f>
        <v/>
      </c>
      <c r="Q371" s="52" t="str">
        <f aca="false">IFERROR(VLOOKUP($A371,RA_result!$B$3:$N$62,10,0),"")</f>
        <v/>
      </c>
      <c r="R371" s="58" t="s">
        <v>55</v>
      </c>
      <c r="S371" s="59" t="str">
        <f aca="false">IFERROR(VLOOKUP($A371,RA_result!$B$3:$N$62,4,0),"")</f>
        <v/>
      </c>
      <c r="T371" s="60" t="s">
        <v>56</v>
      </c>
      <c r="U371" s="59" t="str">
        <f aca="false">IFERROR(IF(VLOOKUP($A371,RA_result!$B$3:$N$62,6,0)="",S371*T371,VLOOKUP($A371,RA_result!$B$3:$N$62,6,0)),"")</f>
        <v/>
      </c>
      <c r="V371" s="61" t="s">
        <v>56</v>
      </c>
      <c r="W371" s="62" t="n">
        <f aca="false">IFERROR((S371*30%)/V371,0)</f>
        <v>0</v>
      </c>
      <c r="X371" s="63" t="n">
        <f aca="false">IFERROR(N371/W371,0)</f>
        <v>0</v>
      </c>
      <c r="Y371" s="68"/>
      <c r="Z371" s="57"/>
      <c r="AA371" s="69" t="str">
        <f aca="false">IF(OR(U371="",Y371="",Z371=""),"",IF(AND(U371&gt;Y371,-U371&lt;Z371),"Ok","Not Ok"))</f>
        <v/>
      </c>
      <c r="AB371" s="70"/>
    </row>
    <row r="372" customFormat="false" ht="12.8" hidden="false" customHeight="false" outlineLevel="0" collapsed="false">
      <c r="A372" s="48" t="n">
        <f aca="false">TB_audited!A355</f>
        <v>0</v>
      </c>
      <c r="B372" s="49"/>
      <c r="C372" s="50"/>
      <c r="D372" s="51" t="n">
        <f aca="false">TB_audited!B355</f>
        <v>0</v>
      </c>
      <c r="E372" s="52" t="n">
        <f aca="false">TB_audited!C355</f>
        <v>0</v>
      </c>
      <c r="F372" s="53" t="n">
        <f aca="false">TB_audited!D355</f>
        <v>0</v>
      </c>
      <c r="G372" s="54" t="n">
        <f aca="false">IF($D$8="Interim",TB_audited!G355,TB_audited!E355)</f>
        <v>0</v>
      </c>
      <c r="H372" s="55" t="str">
        <f aca="false">IFERROR(VLOOKUP($A372,RA_result!$B$3:$N$62,11,0),"")</f>
        <v/>
      </c>
      <c r="I372" s="55" t="str">
        <f aca="false">IFERROR(VLOOKUP($A372,RA_result!$B$3:$N$62,12,0),"")</f>
        <v/>
      </c>
      <c r="J372" s="55" t="str">
        <f aca="false">IFERROR(VLOOKUP($A372,RA_result!$B$3:$N$62,13,0),"")</f>
        <v/>
      </c>
      <c r="K372" s="56"/>
      <c r="L372" s="56"/>
      <c r="M372" s="57" t="n">
        <f aca="false">G372</f>
        <v>0</v>
      </c>
      <c r="N372" s="54" t="n">
        <f aca="false">G372-M372</f>
        <v>0</v>
      </c>
      <c r="O372" s="55" t="str">
        <f aca="false">IFERROR(VLOOKUP($A372,RA_result!$B$3:$N$62,7,0),"")</f>
        <v/>
      </c>
      <c r="P372" s="52" t="str">
        <f aca="false">IFERROR(VLOOKUP($A372,RA_result!$B$3:$N$62,9,0),"")</f>
        <v/>
      </c>
      <c r="Q372" s="52" t="str">
        <f aca="false">IFERROR(VLOOKUP($A372,RA_result!$B$3:$N$62,10,0),"")</f>
        <v/>
      </c>
      <c r="R372" s="58" t="s">
        <v>55</v>
      </c>
      <c r="S372" s="59" t="str">
        <f aca="false">IFERROR(VLOOKUP($A372,RA_result!$B$3:$N$62,4,0),"")</f>
        <v/>
      </c>
      <c r="T372" s="60" t="s">
        <v>56</v>
      </c>
      <c r="U372" s="59" t="str">
        <f aca="false">IFERROR(IF(VLOOKUP($A372,RA_result!$B$3:$N$62,6,0)="",S372*T372,VLOOKUP($A372,RA_result!$B$3:$N$62,6,0)),"")</f>
        <v/>
      </c>
      <c r="V372" s="61" t="s">
        <v>56</v>
      </c>
      <c r="W372" s="62" t="n">
        <f aca="false">IFERROR((S372*30%)/V372,0)</f>
        <v>0</v>
      </c>
      <c r="X372" s="63" t="n">
        <f aca="false">IFERROR(N372/W372,0)</f>
        <v>0</v>
      </c>
      <c r="Y372" s="68"/>
      <c r="Z372" s="57"/>
      <c r="AA372" s="69" t="str">
        <f aca="false">IF(OR(U372="",Y372="",Z372=""),"",IF(AND(U372&gt;Y372,-U372&lt;Z372),"Ok","Not Ok"))</f>
        <v/>
      </c>
      <c r="AB372" s="70"/>
    </row>
    <row r="373" customFormat="false" ht="12.8" hidden="false" customHeight="false" outlineLevel="0" collapsed="false">
      <c r="A373" s="48" t="n">
        <f aca="false">TB_audited!A356</f>
        <v>0</v>
      </c>
      <c r="B373" s="49"/>
      <c r="C373" s="50"/>
      <c r="D373" s="51" t="n">
        <f aca="false">TB_audited!B356</f>
        <v>0</v>
      </c>
      <c r="E373" s="52" t="n">
        <f aca="false">TB_audited!C356</f>
        <v>0</v>
      </c>
      <c r="F373" s="53" t="n">
        <f aca="false">TB_audited!D356</f>
        <v>0</v>
      </c>
      <c r="G373" s="54" t="n">
        <f aca="false">IF($D$8="Interim",TB_audited!G356,TB_audited!E356)</f>
        <v>0</v>
      </c>
      <c r="H373" s="55" t="str">
        <f aca="false">IFERROR(VLOOKUP($A373,RA_result!$B$3:$N$62,11,0),"")</f>
        <v/>
      </c>
      <c r="I373" s="55" t="str">
        <f aca="false">IFERROR(VLOOKUP($A373,RA_result!$B$3:$N$62,12,0),"")</f>
        <v/>
      </c>
      <c r="J373" s="55" t="str">
        <f aca="false">IFERROR(VLOOKUP($A373,RA_result!$B$3:$N$62,13,0),"")</f>
        <v/>
      </c>
      <c r="K373" s="56"/>
      <c r="L373" s="56"/>
      <c r="M373" s="57" t="n">
        <f aca="false">G373</f>
        <v>0</v>
      </c>
      <c r="N373" s="54" t="n">
        <f aca="false">G373-M373</f>
        <v>0</v>
      </c>
      <c r="O373" s="55" t="str">
        <f aca="false">IFERROR(VLOOKUP($A373,RA_result!$B$3:$N$62,7,0),"")</f>
        <v/>
      </c>
      <c r="P373" s="52" t="str">
        <f aca="false">IFERROR(VLOOKUP($A373,RA_result!$B$3:$N$62,9,0),"")</f>
        <v/>
      </c>
      <c r="Q373" s="52" t="str">
        <f aca="false">IFERROR(VLOOKUP($A373,RA_result!$B$3:$N$62,10,0),"")</f>
        <v/>
      </c>
      <c r="R373" s="58" t="s">
        <v>55</v>
      </c>
      <c r="S373" s="59" t="str">
        <f aca="false">IFERROR(VLOOKUP($A373,RA_result!$B$3:$N$62,4,0),"")</f>
        <v/>
      </c>
      <c r="T373" s="60" t="s">
        <v>56</v>
      </c>
      <c r="U373" s="59" t="str">
        <f aca="false">IFERROR(IF(VLOOKUP($A373,RA_result!$B$3:$N$62,6,0)="",S373*T373,VLOOKUP($A373,RA_result!$B$3:$N$62,6,0)),"")</f>
        <v/>
      </c>
      <c r="V373" s="61" t="s">
        <v>56</v>
      </c>
      <c r="W373" s="62" t="n">
        <f aca="false">IFERROR((S373*30%)/V373,0)</f>
        <v>0</v>
      </c>
      <c r="X373" s="63" t="n">
        <f aca="false">IFERROR(N373/W373,0)</f>
        <v>0</v>
      </c>
      <c r="Y373" s="68"/>
      <c r="Z373" s="57"/>
      <c r="AA373" s="69" t="str">
        <f aca="false">IF(OR(U373="",Y373="",Z373=""),"",IF(AND(U373&gt;Y373,-U373&lt;Z373),"Ok","Not Ok"))</f>
        <v/>
      </c>
      <c r="AB373" s="70"/>
    </row>
    <row r="374" customFormat="false" ht="12.8" hidden="false" customHeight="false" outlineLevel="0" collapsed="false">
      <c r="A374" s="48" t="n">
        <f aca="false">TB_audited!A357</f>
        <v>0</v>
      </c>
      <c r="B374" s="49"/>
      <c r="C374" s="50"/>
      <c r="D374" s="51" t="n">
        <f aca="false">TB_audited!B357</f>
        <v>0</v>
      </c>
      <c r="E374" s="52" t="n">
        <f aca="false">TB_audited!C357</f>
        <v>0</v>
      </c>
      <c r="F374" s="53" t="n">
        <f aca="false">TB_audited!D357</f>
        <v>0</v>
      </c>
      <c r="G374" s="54" t="n">
        <f aca="false">IF($D$8="Interim",TB_audited!G357,TB_audited!E357)</f>
        <v>0</v>
      </c>
      <c r="H374" s="55" t="str">
        <f aca="false">IFERROR(VLOOKUP($A374,RA_result!$B$3:$N$62,11,0),"")</f>
        <v/>
      </c>
      <c r="I374" s="55" t="str">
        <f aca="false">IFERROR(VLOOKUP($A374,RA_result!$B$3:$N$62,12,0),"")</f>
        <v/>
      </c>
      <c r="J374" s="55" t="str">
        <f aca="false">IFERROR(VLOOKUP($A374,RA_result!$B$3:$N$62,13,0),"")</f>
        <v/>
      </c>
      <c r="K374" s="56"/>
      <c r="L374" s="56"/>
      <c r="M374" s="57" t="n">
        <f aca="false">G374</f>
        <v>0</v>
      </c>
      <c r="N374" s="54" t="n">
        <f aca="false">G374-M374</f>
        <v>0</v>
      </c>
      <c r="O374" s="55" t="str">
        <f aca="false">IFERROR(VLOOKUP($A374,RA_result!$B$3:$N$62,7,0),"")</f>
        <v/>
      </c>
      <c r="P374" s="52" t="str">
        <f aca="false">IFERROR(VLOOKUP($A374,RA_result!$B$3:$N$62,9,0),"")</f>
        <v/>
      </c>
      <c r="Q374" s="52" t="str">
        <f aca="false">IFERROR(VLOOKUP($A374,RA_result!$B$3:$N$62,10,0),"")</f>
        <v/>
      </c>
      <c r="R374" s="58" t="s">
        <v>55</v>
      </c>
      <c r="S374" s="59" t="str">
        <f aca="false">IFERROR(VLOOKUP($A374,RA_result!$B$3:$N$62,4,0),"")</f>
        <v/>
      </c>
      <c r="T374" s="60" t="s">
        <v>56</v>
      </c>
      <c r="U374" s="59" t="str">
        <f aca="false">IFERROR(IF(VLOOKUP($A374,RA_result!$B$3:$N$62,6,0)="",S374*T374,VLOOKUP($A374,RA_result!$B$3:$N$62,6,0)),"")</f>
        <v/>
      </c>
      <c r="V374" s="61" t="s">
        <v>56</v>
      </c>
      <c r="W374" s="62" t="n">
        <f aca="false">IFERROR((S374*30%)/V374,0)</f>
        <v>0</v>
      </c>
      <c r="X374" s="63" t="n">
        <f aca="false">IFERROR(N374/W374,0)</f>
        <v>0</v>
      </c>
      <c r="Y374" s="68"/>
      <c r="Z374" s="57"/>
      <c r="AA374" s="69" t="str">
        <f aca="false">IF(OR(U374="",Y374="",Z374=""),"",IF(AND(U374&gt;Y374,-U374&lt;Z374),"Ok","Not Ok"))</f>
        <v/>
      </c>
      <c r="AB374" s="70"/>
    </row>
    <row r="375" customFormat="false" ht="12.8" hidden="false" customHeight="false" outlineLevel="0" collapsed="false">
      <c r="A375" s="48" t="n">
        <f aca="false">TB_audited!A358</f>
        <v>0</v>
      </c>
      <c r="B375" s="49"/>
      <c r="C375" s="50"/>
      <c r="D375" s="51" t="n">
        <f aca="false">TB_audited!B358</f>
        <v>0</v>
      </c>
      <c r="E375" s="52" t="n">
        <f aca="false">TB_audited!C358</f>
        <v>0</v>
      </c>
      <c r="F375" s="53" t="n">
        <f aca="false">TB_audited!D358</f>
        <v>0</v>
      </c>
      <c r="G375" s="54" t="n">
        <f aca="false">IF($D$8="Interim",TB_audited!G358,TB_audited!E358)</f>
        <v>0</v>
      </c>
      <c r="H375" s="55" t="str">
        <f aca="false">IFERROR(VLOOKUP($A375,RA_result!$B$3:$N$62,11,0),"")</f>
        <v/>
      </c>
      <c r="I375" s="55" t="str">
        <f aca="false">IFERROR(VLOOKUP($A375,RA_result!$B$3:$N$62,12,0),"")</f>
        <v/>
      </c>
      <c r="J375" s="55" t="str">
        <f aca="false">IFERROR(VLOOKUP($A375,RA_result!$B$3:$N$62,13,0),"")</f>
        <v/>
      </c>
      <c r="K375" s="56"/>
      <c r="L375" s="56"/>
      <c r="M375" s="57" t="n">
        <f aca="false">G375</f>
        <v>0</v>
      </c>
      <c r="N375" s="54" t="n">
        <f aca="false">G375-M375</f>
        <v>0</v>
      </c>
      <c r="O375" s="55" t="str">
        <f aca="false">IFERROR(VLOOKUP($A375,RA_result!$B$3:$N$62,7,0),"")</f>
        <v/>
      </c>
      <c r="P375" s="52" t="str">
        <f aca="false">IFERROR(VLOOKUP($A375,RA_result!$B$3:$N$62,9,0),"")</f>
        <v/>
      </c>
      <c r="Q375" s="52" t="str">
        <f aca="false">IFERROR(VLOOKUP($A375,RA_result!$B$3:$N$62,10,0),"")</f>
        <v/>
      </c>
      <c r="R375" s="58" t="s">
        <v>55</v>
      </c>
      <c r="S375" s="59" t="str">
        <f aca="false">IFERROR(VLOOKUP($A375,RA_result!$B$3:$N$62,4,0),"")</f>
        <v/>
      </c>
      <c r="T375" s="60" t="s">
        <v>56</v>
      </c>
      <c r="U375" s="59" t="str">
        <f aca="false">IFERROR(IF(VLOOKUP($A375,RA_result!$B$3:$N$62,6,0)="",S375*T375,VLOOKUP($A375,RA_result!$B$3:$N$62,6,0)),"")</f>
        <v/>
      </c>
      <c r="V375" s="61" t="s">
        <v>56</v>
      </c>
      <c r="W375" s="62" t="n">
        <f aca="false">IFERROR((S375*30%)/V375,0)</f>
        <v>0</v>
      </c>
      <c r="X375" s="63" t="n">
        <f aca="false">IFERROR(N375/W375,0)</f>
        <v>0</v>
      </c>
      <c r="Y375" s="68"/>
      <c r="Z375" s="57"/>
      <c r="AA375" s="69" t="str">
        <f aca="false">IF(OR(U375="",Y375="",Z375=""),"",IF(AND(U375&gt;Y375,-U375&lt;Z375),"Ok","Not Ok"))</f>
        <v/>
      </c>
      <c r="AB375" s="70"/>
    </row>
    <row r="376" customFormat="false" ht="12.8" hidden="false" customHeight="false" outlineLevel="0" collapsed="false">
      <c r="A376" s="48" t="n">
        <f aca="false">TB_audited!A359</f>
        <v>0</v>
      </c>
      <c r="B376" s="49"/>
      <c r="C376" s="50"/>
      <c r="D376" s="51" t="n">
        <f aca="false">TB_audited!B359</f>
        <v>0</v>
      </c>
      <c r="E376" s="52" t="n">
        <f aca="false">TB_audited!C359</f>
        <v>0</v>
      </c>
      <c r="F376" s="53" t="n">
        <f aca="false">TB_audited!D359</f>
        <v>0</v>
      </c>
      <c r="G376" s="54" t="n">
        <f aca="false">IF($D$8="Interim",TB_audited!G359,TB_audited!E359)</f>
        <v>0</v>
      </c>
      <c r="H376" s="55" t="str">
        <f aca="false">IFERROR(VLOOKUP($A376,RA_result!$B$3:$N$62,11,0),"")</f>
        <v/>
      </c>
      <c r="I376" s="55" t="str">
        <f aca="false">IFERROR(VLOOKUP($A376,RA_result!$B$3:$N$62,12,0),"")</f>
        <v/>
      </c>
      <c r="J376" s="55" t="str">
        <f aca="false">IFERROR(VLOOKUP($A376,RA_result!$B$3:$N$62,13,0),"")</f>
        <v/>
      </c>
      <c r="K376" s="56"/>
      <c r="L376" s="56"/>
      <c r="M376" s="57" t="n">
        <f aca="false">G376</f>
        <v>0</v>
      </c>
      <c r="N376" s="54" t="n">
        <f aca="false">G376-M376</f>
        <v>0</v>
      </c>
      <c r="O376" s="55" t="str">
        <f aca="false">IFERROR(VLOOKUP($A376,RA_result!$B$3:$N$62,7,0),"")</f>
        <v/>
      </c>
      <c r="P376" s="52" t="str">
        <f aca="false">IFERROR(VLOOKUP($A376,RA_result!$B$3:$N$62,9,0),"")</f>
        <v/>
      </c>
      <c r="Q376" s="52" t="str">
        <f aca="false">IFERROR(VLOOKUP($A376,RA_result!$B$3:$N$62,10,0),"")</f>
        <v/>
      </c>
      <c r="R376" s="58" t="s">
        <v>55</v>
      </c>
      <c r="S376" s="59" t="str">
        <f aca="false">IFERROR(VLOOKUP($A376,RA_result!$B$3:$N$62,4,0),"")</f>
        <v/>
      </c>
      <c r="T376" s="60" t="s">
        <v>56</v>
      </c>
      <c r="U376" s="59" t="str">
        <f aca="false">IFERROR(IF(VLOOKUP($A376,RA_result!$B$3:$N$62,6,0)="",S376*T376,VLOOKUP($A376,RA_result!$B$3:$N$62,6,0)),"")</f>
        <v/>
      </c>
      <c r="V376" s="61" t="s">
        <v>56</v>
      </c>
      <c r="W376" s="62" t="n">
        <f aca="false">IFERROR((S376*30%)/V376,0)</f>
        <v>0</v>
      </c>
      <c r="X376" s="63" t="n">
        <f aca="false">IFERROR(N376/W376,0)</f>
        <v>0</v>
      </c>
      <c r="Y376" s="68"/>
      <c r="Z376" s="57"/>
      <c r="AA376" s="69" t="str">
        <f aca="false">IF(OR(U376="",Y376="",Z376=""),"",IF(AND(U376&gt;Y376,-U376&lt;Z376),"Ok","Not Ok"))</f>
        <v/>
      </c>
      <c r="AB376" s="70"/>
    </row>
    <row r="377" customFormat="false" ht="12.8" hidden="false" customHeight="false" outlineLevel="0" collapsed="false">
      <c r="A377" s="48" t="n">
        <f aca="false">TB_audited!A360</f>
        <v>0</v>
      </c>
      <c r="B377" s="49"/>
      <c r="C377" s="50"/>
      <c r="D377" s="51" t="n">
        <f aca="false">TB_audited!B360</f>
        <v>0</v>
      </c>
      <c r="E377" s="52" t="n">
        <f aca="false">TB_audited!C360</f>
        <v>0</v>
      </c>
      <c r="F377" s="53" t="n">
        <f aca="false">TB_audited!D360</f>
        <v>0</v>
      </c>
      <c r="G377" s="54" t="n">
        <f aca="false">IF($D$8="Interim",TB_audited!G360,TB_audited!E360)</f>
        <v>0</v>
      </c>
      <c r="H377" s="55" t="str">
        <f aca="false">IFERROR(VLOOKUP($A377,RA_result!$B$3:$N$62,11,0),"")</f>
        <v/>
      </c>
      <c r="I377" s="55" t="str">
        <f aca="false">IFERROR(VLOOKUP($A377,RA_result!$B$3:$N$62,12,0),"")</f>
        <v/>
      </c>
      <c r="J377" s="55" t="str">
        <f aca="false">IFERROR(VLOOKUP($A377,RA_result!$B$3:$N$62,13,0),"")</f>
        <v/>
      </c>
      <c r="K377" s="56"/>
      <c r="L377" s="56"/>
      <c r="M377" s="57" t="n">
        <f aca="false">G377</f>
        <v>0</v>
      </c>
      <c r="N377" s="54" t="n">
        <f aca="false">G377-M377</f>
        <v>0</v>
      </c>
      <c r="O377" s="55" t="str">
        <f aca="false">IFERROR(VLOOKUP($A377,RA_result!$B$3:$N$62,7,0),"")</f>
        <v/>
      </c>
      <c r="P377" s="52" t="str">
        <f aca="false">IFERROR(VLOOKUP($A377,RA_result!$B$3:$N$62,9,0),"")</f>
        <v/>
      </c>
      <c r="Q377" s="52" t="str">
        <f aca="false">IFERROR(VLOOKUP($A377,RA_result!$B$3:$N$62,10,0),"")</f>
        <v/>
      </c>
      <c r="R377" s="58" t="s">
        <v>55</v>
      </c>
      <c r="S377" s="59" t="str">
        <f aca="false">IFERROR(VLOOKUP($A377,RA_result!$B$3:$N$62,4,0),"")</f>
        <v/>
      </c>
      <c r="T377" s="60" t="s">
        <v>56</v>
      </c>
      <c r="U377" s="59" t="str">
        <f aca="false">IFERROR(IF(VLOOKUP($A377,RA_result!$B$3:$N$62,6,0)="",S377*T377,VLOOKUP($A377,RA_result!$B$3:$N$62,6,0)),"")</f>
        <v/>
      </c>
      <c r="V377" s="61" t="s">
        <v>56</v>
      </c>
      <c r="W377" s="62" t="n">
        <f aca="false">IFERROR((S377*30%)/V377,0)</f>
        <v>0</v>
      </c>
      <c r="X377" s="63" t="n">
        <f aca="false">IFERROR(N377/W377,0)</f>
        <v>0</v>
      </c>
      <c r="Y377" s="68"/>
      <c r="Z377" s="57"/>
      <c r="AA377" s="69" t="str">
        <f aca="false">IF(OR(U377="",Y377="",Z377=""),"",IF(AND(U377&gt;Y377,-U377&lt;Z377),"Ok","Not Ok"))</f>
        <v/>
      </c>
      <c r="AB377" s="70"/>
    </row>
    <row r="378" customFormat="false" ht="12.8" hidden="false" customHeight="false" outlineLevel="0" collapsed="false">
      <c r="A378" s="48" t="n">
        <f aca="false">TB_audited!A361</f>
        <v>0</v>
      </c>
      <c r="B378" s="49"/>
      <c r="C378" s="50"/>
      <c r="D378" s="51" t="n">
        <f aca="false">TB_audited!B361</f>
        <v>0</v>
      </c>
      <c r="E378" s="52" t="n">
        <f aca="false">TB_audited!C361</f>
        <v>0</v>
      </c>
      <c r="F378" s="53" t="n">
        <f aca="false">TB_audited!D361</f>
        <v>0</v>
      </c>
      <c r="G378" s="54" t="n">
        <f aca="false">IF($D$8="Interim",TB_audited!G361,TB_audited!E361)</f>
        <v>0</v>
      </c>
      <c r="H378" s="55" t="str">
        <f aca="false">IFERROR(VLOOKUP($A378,RA_result!$B$3:$N$62,11,0),"")</f>
        <v/>
      </c>
      <c r="I378" s="55" t="str">
        <f aca="false">IFERROR(VLOOKUP($A378,RA_result!$B$3:$N$62,12,0),"")</f>
        <v/>
      </c>
      <c r="J378" s="55" t="str">
        <f aca="false">IFERROR(VLOOKUP($A378,RA_result!$B$3:$N$62,13,0),"")</f>
        <v/>
      </c>
      <c r="K378" s="56"/>
      <c r="L378" s="56"/>
      <c r="M378" s="57" t="n">
        <f aca="false">G378</f>
        <v>0</v>
      </c>
      <c r="N378" s="54" t="n">
        <f aca="false">G378-M378</f>
        <v>0</v>
      </c>
      <c r="O378" s="55" t="str">
        <f aca="false">IFERROR(VLOOKUP($A378,RA_result!$B$3:$N$62,7,0),"")</f>
        <v/>
      </c>
      <c r="P378" s="52" t="str">
        <f aca="false">IFERROR(VLOOKUP($A378,RA_result!$B$3:$N$62,9,0),"")</f>
        <v/>
      </c>
      <c r="Q378" s="52" t="str">
        <f aca="false">IFERROR(VLOOKUP($A378,RA_result!$B$3:$N$62,10,0),"")</f>
        <v/>
      </c>
      <c r="R378" s="58" t="s">
        <v>55</v>
      </c>
      <c r="S378" s="59" t="str">
        <f aca="false">IFERROR(VLOOKUP($A378,RA_result!$B$3:$N$62,4,0),"")</f>
        <v/>
      </c>
      <c r="T378" s="60" t="s">
        <v>56</v>
      </c>
      <c r="U378" s="59" t="str">
        <f aca="false">IFERROR(IF(VLOOKUP($A378,RA_result!$B$3:$N$62,6,0)="",S378*T378,VLOOKUP($A378,RA_result!$B$3:$N$62,6,0)),"")</f>
        <v/>
      </c>
      <c r="V378" s="61" t="s">
        <v>56</v>
      </c>
      <c r="W378" s="62" t="n">
        <f aca="false">IFERROR((S378*30%)/V378,0)</f>
        <v>0</v>
      </c>
      <c r="X378" s="63" t="n">
        <f aca="false">IFERROR(N378/W378,0)</f>
        <v>0</v>
      </c>
      <c r="Y378" s="68"/>
      <c r="Z378" s="57"/>
      <c r="AA378" s="69" t="str">
        <f aca="false">IF(OR(U378="",Y378="",Z378=""),"",IF(AND(U378&gt;Y378,-U378&lt;Z378),"Ok","Not Ok"))</f>
        <v/>
      </c>
      <c r="AB378" s="70"/>
    </row>
    <row r="379" customFormat="false" ht="12.8" hidden="false" customHeight="false" outlineLevel="0" collapsed="false">
      <c r="A379" s="48" t="n">
        <f aca="false">TB_audited!A362</f>
        <v>0</v>
      </c>
      <c r="B379" s="49"/>
      <c r="C379" s="50"/>
      <c r="D379" s="51" t="n">
        <f aca="false">TB_audited!B362</f>
        <v>0</v>
      </c>
      <c r="E379" s="52" t="n">
        <f aca="false">TB_audited!C362</f>
        <v>0</v>
      </c>
      <c r="F379" s="53" t="n">
        <f aca="false">TB_audited!D362</f>
        <v>0</v>
      </c>
      <c r="G379" s="54" t="n">
        <f aca="false">IF($D$8="Interim",TB_audited!G362,TB_audited!E362)</f>
        <v>0</v>
      </c>
      <c r="H379" s="55" t="str">
        <f aca="false">IFERROR(VLOOKUP($A379,RA_result!$B$3:$N$62,11,0),"")</f>
        <v/>
      </c>
      <c r="I379" s="55" t="str">
        <f aca="false">IFERROR(VLOOKUP($A379,RA_result!$B$3:$N$62,12,0),"")</f>
        <v/>
      </c>
      <c r="J379" s="55" t="str">
        <f aca="false">IFERROR(VLOOKUP($A379,RA_result!$B$3:$N$62,13,0),"")</f>
        <v/>
      </c>
      <c r="K379" s="56"/>
      <c r="L379" s="56"/>
      <c r="M379" s="57" t="n">
        <f aca="false">G379</f>
        <v>0</v>
      </c>
      <c r="N379" s="54" t="n">
        <f aca="false">G379-M379</f>
        <v>0</v>
      </c>
      <c r="O379" s="55" t="str">
        <f aca="false">IFERROR(VLOOKUP($A379,RA_result!$B$3:$N$62,7,0),"")</f>
        <v/>
      </c>
      <c r="P379" s="52" t="str">
        <f aca="false">IFERROR(VLOOKUP($A379,RA_result!$B$3:$N$62,9,0),"")</f>
        <v/>
      </c>
      <c r="Q379" s="52" t="str">
        <f aca="false">IFERROR(VLOOKUP($A379,RA_result!$B$3:$N$62,10,0),"")</f>
        <v/>
      </c>
      <c r="R379" s="58" t="s">
        <v>55</v>
      </c>
      <c r="S379" s="59" t="str">
        <f aca="false">IFERROR(VLOOKUP($A379,RA_result!$B$3:$N$62,4,0),"")</f>
        <v/>
      </c>
      <c r="T379" s="60" t="s">
        <v>56</v>
      </c>
      <c r="U379" s="59" t="str">
        <f aca="false">IFERROR(IF(VLOOKUP($A379,RA_result!$B$3:$N$62,6,0)="",S379*T379,VLOOKUP($A379,RA_result!$B$3:$N$62,6,0)),"")</f>
        <v/>
      </c>
      <c r="V379" s="61" t="s">
        <v>56</v>
      </c>
      <c r="W379" s="62" t="n">
        <f aca="false">IFERROR((S379*30%)/V379,0)</f>
        <v>0</v>
      </c>
      <c r="X379" s="63" t="n">
        <f aca="false">IFERROR(N379/W379,0)</f>
        <v>0</v>
      </c>
      <c r="Y379" s="68"/>
      <c r="Z379" s="57"/>
      <c r="AA379" s="69" t="str">
        <f aca="false">IF(OR(U379="",Y379="",Z379=""),"",IF(AND(U379&gt;Y379,-U379&lt;Z379),"Ok","Not Ok"))</f>
        <v/>
      </c>
      <c r="AB379" s="70"/>
    </row>
    <row r="380" customFormat="false" ht="12.8" hidden="false" customHeight="false" outlineLevel="0" collapsed="false">
      <c r="A380" s="48" t="n">
        <f aca="false">TB_audited!A363</f>
        <v>0</v>
      </c>
      <c r="B380" s="49"/>
      <c r="C380" s="50"/>
      <c r="D380" s="51" t="n">
        <f aca="false">TB_audited!B363</f>
        <v>0</v>
      </c>
      <c r="E380" s="52" t="n">
        <f aca="false">TB_audited!C363</f>
        <v>0</v>
      </c>
      <c r="F380" s="53" t="n">
        <f aca="false">TB_audited!D363</f>
        <v>0</v>
      </c>
      <c r="G380" s="54" t="n">
        <f aca="false">IF($D$8="Interim",TB_audited!G363,TB_audited!E363)</f>
        <v>0</v>
      </c>
      <c r="H380" s="55" t="str">
        <f aca="false">IFERROR(VLOOKUP($A380,RA_result!$B$3:$N$62,11,0),"")</f>
        <v/>
      </c>
      <c r="I380" s="55" t="str">
        <f aca="false">IFERROR(VLOOKUP($A380,RA_result!$B$3:$N$62,12,0),"")</f>
        <v/>
      </c>
      <c r="J380" s="55" t="str">
        <f aca="false">IFERROR(VLOOKUP($A380,RA_result!$B$3:$N$62,13,0),"")</f>
        <v/>
      </c>
      <c r="K380" s="56"/>
      <c r="L380" s="56"/>
      <c r="M380" s="57" t="n">
        <f aca="false">G380</f>
        <v>0</v>
      </c>
      <c r="N380" s="54" t="n">
        <f aca="false">G380-M380</f>
        <v>0</v>
      </c>
      <c r="O380" s="55" t="str">
        <f aca="false">IFERROR(VLOOKUP($A380,RA_result!$B$3:$N$62,7,0),"")</f>
        <v/>
      </c>
      <c r="P380" s="52" t="str">
        <f aca="false">IFERROR(VLOOKUP($A380,RA_result!$B$3:$N$62,9,0),"")</f>
        <v/>
      </c>
      <c r="Q380" s="52" t="str">
        <f aca="false">IFERROR(VLOOKUP($A380,RA_result!$B$3:$N$62,10,0),"")</f>
        <v/>
      </c>
      <c r="R380" s="58" t="s">
        <v>55</v>
      </c>
      <c r="S380" s="59" t="str">
        <f aca="false">IFERROR(VLOOKUP($A380,RA_result!$B$3:$N$62,4,0),"")</f>
        <v/>
      </c>
      <c r="T380" s="60" t="s">
        <v>56</v>
      </c>
      <c r="U380" s="59" t="str">
        <f aca="false">IFERROR(IF(VLOOKUP($A380,RA_result!$B$3:$N$62,6,0)="",S380*T380,VLOOKUP($A380,RA_result!$B$3:$N$62,6,0)),"")</f>
        <v/>
      </c>
      <c r="V380" s="61" t="s">
        <v>56</v>
      </c>
      <c r="W380" s="62" t="n">
        <f aca="false">IFERROR((S380*30%)/V380,0)</f>
        <v>0</v>
      </c>
      <c r="X380" s="63" t="n">
        <f aca="false">IFERROR(N380/W380,0)</f>
        <v>0</v>
      </c>
      <c r="Y380" s="68"/>
      <c r="Z380" s="57"/>
      <c r="AA380" s="69" t="str">
        <f aca="false">IF(OR(U380="",Y380="",Z380=""),"",IF(AND(U380&gt;Y380,-U380&lt;Z380),"Ok","Not Ok"))</f>
        <v/>
      </c>
      <c r="AB380" s="70"/>
    </row>
    <row r="381" customFormat="false" ht="12.8" hidden="false" customHeight="false" outlineLevel="0" collapsed="false">
      <c r="A381" s="48" t="n">
        <f aca="false">TB_audited!A364</f>
        <v>0</v>
      </c>
      <c r="B381" s="49"/>
      <c r="C381" s="50"/>
      <c r="D381" s="51" t="n">
        <f aca="false">TB_audited!B364</f>
        <v>0</v>
      </c>
      <c r="E381" s="52" t="n">
        <f aca="false">TB_audited!C364</f>
        <v>0</v>
      </c>
      <c r="F381" s="53" t="n">
        <f aca="false">TB_audited!D364</f>
        <v>0</v>
      </c>
      <c r="G381" s="54" t="n">
        <f aca="false">IF($D$8="Interim",TB_audited!G364,TB_audited!E364)</f>
        <v>0</v>
      </c>
      <c r="H381" s="55" t="str">
        <f aca="false">IFERROR(VLOOKUP($A381,RA_result!$B$3:$N$62,11,0),"")</f>
        <v/>
      </c>
      <c r="I381" s="55" t="str">
        <f aca="false">IFERROR(VLOOKUP($A381,RA_result!$B$3:$N$62,12,0),"")</f>
        <v/>
      </c>
      <c r="J381" s="55" t="str">
        <f aca="false">IFERROR(VLOOKUP($A381,RA_result!$B$3:$N$62,13,0),"")</f>
        <v/>
      </c>
      <c r="K381" s="56"/>
      <c r="L381" s="56"/>
      <c r="M381" s="57" t="n">
        <f aca="false">G381</f>
        <v>0</v>
      </c>
      <c r="N381" s="54" t="n">
        <f aca="false">G381-M381</f>
        <v>0</v>
      </c>
      <c r="O381" s="55" t="str">
        <f aca="false">IFERROR(VLOOKUP($A381,RA_result!$B$3:$N$62,7,0),"")</f>
        <v/>
      </c>
      <c r="P381" s="52" t="str">
        <f aca="false">IFERROR(VLOOKUP($A381,RA_result!$B$3:$N$62,9,0),"")</f>
        <v/>
      </c>
      <c r="Q381" s="52" t="str">
        <f aca="false">IFERROR(VLOOKUP($A381,RA_result!$B$3:$N$62,10,0),"")</f>
        <v/>
      </c>
      <c r="R381" s="58" t="s">
        <v>55</v>
      </c>
      <c r="S381" s="59" t="str">
        <f aca="false">IFERROR(VLOOKUP($A381,RA_result!$B$3:$N$62,4,0),"")</f>
        <v/>
      </c>
      <c r="T381" s="60" t="s">
        <v>56</v>
      </c>
      <c r="U381" s="59" t="str">
        <f aca="false">IFERROR(IF(VLOOKUP($A381,RA_result!$B$3:$N$62,6,0)="",S381*T381,VLOOKUP($A381,RA_result!$B$3:$N$62,6,0)),"")</f>
        <v/>
      </c>
      <c r="V381" s="61" t="s">
        <v>56</v>
      </c>
      <c r="W381" s="62" t="n">
        <f aca="false">IFERROR((S381*30%)/V381,0)</f>
        <v>0</v>
      </c>
      <c r="X381" s="63" t="n">
        <f aca="false">IFERROR(N381/W381,0)</f>
        <v>0</v>
      </c>
      <c r="Y381" s="68"/>
      <c r="Z381" s="57"/>
      <c r="AA381" s="69" t="str">
        <f aca="false">IF(OR(U381="",Y381="",Z381=""),"",IF(AND(U381&gt;Y381,-U381&lt;Z381),"Ok","Not Ok"))</f>
        <v/>
      </c>
      <c r="AB381" s="70"/>
    </row>
    <row r="382" customFormat="false" ht="12.8" hidden="false" customHeight="false" outlineLevel="0" collapsed="false">
      <c r="A382" s="48" t="n">
        <f aca="false">TB_audited!A365</f>
        <v>0</v>
      </c>
      <c r="B382" s="49"/>
      <c r="C382" s="50"/>
      <c r="D382" s="51" t="n">
        <f aca="false">TB_audited!B365</f>
        <v>0</v>
      </c>
      <c r="E382" s="52" t="n">
        <f aca="false">TB_audited!C365</f>
        <v>0</v>
      </c>
      <c r="F382" s="53" t="n">
        <f aca="false">TB_audited!D365</f>
        <v>0</v>
      </c>
      <c r="G382" s="54" t="n">
        <f aca="false">IF($D$8="Interim",TB_audited!G365,TB_audited!E365)</f>
        <v>0</v>
      </c>
      <c r="H382" s="55" t="str">
        <f aca="false">IFERROR(VLOOKUP($A382,RA_result!$B$3:$N$62,11,0),"")</f>
        <v/>
      </c>
      <c r="I382" s="55" t="str">
        <f aca="false">IFERROR(VLOOKUP($A382,RA_result!$B$3:$N$62,12,0),"")</f>
        <v/>
      </c>
      <c r="J382" s="55" t="str">
        <f aca="false">IFERROR(VLOOKUP($A382,RA_result!$B$3:$N$62,13,0),"")</f>
        <v/>
      </c>
      <c r="K382" s="56"/>
      <c r="L382" s="56"/>
      <c r="M382" s="57" t="n">
        <f aca="false">G382</f>
        <v>0</v>
      </c>
      <c r="N382" s="54" t="n">
        <f aca="false">G382-M382</f>
        <v>0</v>
      </c>
      <c r="O382" s="55" t="str">
        <f aca="false">IFERROR(VLOOKUP($A382,RA_result!$B$3:$N$62,7,0),"")</f>
        <v/>
      </c>
      <c r="P382" s="52" t="str">
        <f aca="false">IFERROR(VLOOKUP($A382,RA_result!$B$3:$N$62,9,0),"")</f>
        <v/>
      </c>
      <c r="Q382" s="52" t="str">
        <f aca="false">IFERROR(VLOOKUP($A382,RA_result!$B$3:$N$62,10,0),"")</f>
        <v/>
      </c>
      <c r="R382" s="58" t="s">
        <v>55</v>
      </c>
      <c r="S382" s="59" t="str">
        <f aca="false">IFERROR(VLOOKUP($A382,RA_result!$B$3:$N$62,4,0),"")</f>
        <v/>
      </c>
      <c r="T382" s="60" t="s">
        <v>56</v>
      </c>
      <c r="U382" s="59" t="str">
        <f aca="false">IFERROR(IF(VLOOKUP($A382,RA_result!$B$3:$N$62,6,0)="",S382*T382,VLOOKUP($A382,RA_result!$B$3:$N$62,6,0)),"")</f>
        <v/>
      </c>
      <c r="V382" s="61" t="s">
        <v>56</v>
      </c>
      <c r="W382" s="62" t="n">
        <f aca="false">IFERROR((S382*30%)/V382,0)</f>
        <v>0</v>
      </c>
      <c r="X382" s="63" t="n">
        <f aca="false">IFERROR(N382/W382,0)</f>
        <v>0</v>
      </c>
      <c r="Y382" s="68"/>
      <c r="Z382" s="57"/>
      <c r="AA382" s="69" t="str">
        <f aca="false">IF(OR(U382="",Y382="",Z382=""),"",IF(AND(U382&gt;Y382,-U382&lt;Z382),"Ok","Not Ok"))</f>
        <v/>
      </c>
      <c r="AB382" s="70"/>
    </row>
    <row r="383" customFormat="false" ht="12.8" hidden="false" customHeight="false" outlineLevel="0" collapsed="false">
      <c r="A383" s="48" t="n">
        <f aca="false">TB_audited!A366</f>
        <v>0</v>
      </c>
      <c r="B383" s="49"/>
      <c r="C383" s="50"/>
      <c r="D383" s="51" t="n">
        <f aca="false">TB_audited!B366</f>
        <v>0</v>
      </c>
      <c r="E383" s="52" t="n">
        <f aca="false">TB_audited!C366</f>
        <v>0</v>
      </c>
      <c r="F383" s="53" t="n">
        <f aca="false">TB_audited!D366</f>
        <v>0</v>
      </c>
      <c r="G383" s="54" t="n">
        <f aca="false">IF($D$8="Interim",TB_audited!G366,TB_audited!E366)</f>
        <v>0</v>
      </c>
      <c r="H383" s="55" t="str">
        <f aca="false">IFERROR(VLOOKUP($A383,RA_result!$B$3:$N$62,11,0),"")</f>
        <v/>
      </c>
      <c r="I383" s="55" t="str">
        <f aca="false">IFERROR(VLOOKUP($A383,RA_result!$B$3:$N$62,12,0),"")</f>
        <v/>
      </c>
      <c r="J383" s="55" t="str">
        <f aca="false">IFERROR(VLOOKUP($A383,RA_result!$B$3:$N$62,13,0),"")</f>
        <v/>
      </c>
      <c r="K383" s="56"/>
      <c r="L383" s="56"/>
      <c r="M383" s="57" t="n">
        <f aca="false">G383</f>
        <v>0</v>
      </c>
      <c r="N383" s="54" t="n">
        <f aca="false">G383-M383</f>
        <v>0</v>
      </c>
      <c r="O383" s="55" t="str">
        <f aca="false">IFERROR(VLOOKUP($A383,RA_result!$B$3:$N$62,7,0),"")</f>
        <v/>
      </c>
      <c r="P383" s="52" t="str">
        <f aca="false">IFERROR(VLOOKUP($A383,RA_result!$B$3:$N$62,9,0),"")</f>
        <v/>
      </c>
      <c r="Q383" s="52" t="str">
        <f aca="false">IFERROR(VLOOKUP($A383,RA_result!$B$3:$N$62,10,0),"")</f>
        <v/>
      </c>
      <c r="R383" s="58" t="s">
        <v>55</v>
      </c>
      <c r="S383" s="59" t="str">
        <f aca="false">IFERROR(VLOOKUP($A383,RA_result!$B$3:$N$62,4,0),"")</f>
        <v/>
      </c>
      <c r="T383" s="60" t="s">
        <v>56</v>
      </c>
      <c r="U383" s="59" t="str">
        <f aca="false">IFERROR(IF(VLOOKUP($A383,RA_result!$B$3:$N$62,6,0)="",S383*T383,VLOOKUP($A383,RA_result!$B$3:$N$62,6,0)),"")</f>
        <v/>
      </c>
      <c r="V383" s="61" t="s">
        <v>56</v>
      </c>
      <c r="W383" s="62" t="n">
        <f aca="false">IFERROR((S383*30%)/V383,0)</f>
        <v>0</v>
      </c>
      <c r="X383" s="63" t="n">
        <f aca="false">IFERROR(N383/W383,0)</f>
        <v>0</v>
      </c>
      <c r="Y383" s="68"/>
      <c r="Z383" s="57"/>
      <c r="AA383" s="69" t="str">
        <f aca="false">IF(OR(U383="",Y383="",Z383=""),"",IF(AND(U383&gt;Y383,-U383&lt;Z383),"Ok","Not Ok"))</f>
        <v/>
      </c>
      <c r="AB383" s="70"/>
    </row>
    <row r="384" customFormat="false" ht="12.8" hidden="false" customHeight="false" outlineLevel="0" collapsed="false">
      <c r="A384" s="48" t="n">
        <f aca="false">TB_audited!A367</f>
        <v>0</v>
      </c>
      <c r="B384" s="49"/>
      <c r="C384" s="50"/>
      <c r="D384" s="51" t="n">
        <f aca="false">TB_audited!B367</f>
        <v>0</v>
      </c>
      <c r="E384" s="52" t="n">
        <f aca="false">TB_audited!C367</f>
        <v>0</v>
      </c>
      <c r="F384" s="53" t="n">
        <f aca="false">TB_audited!D367</f>
        <v>0</v>
      </c>
      <c r="G384" s="54" t="n">
        <f aca="false">IF($D$8="Interim",TB_audited!G367,TB_audited!E367)</f>
        <v>0</v>
      </c>
      <c r="H384" s="55" t="str">
        <f aca="false">IFERROR(VLOOKUP($A384,RA_result!$B$3:$N$62,11,0),"")</f>
        <v/>
      </c>
      <c r="I384" s="55" t="str">
        <f aca="false">IFERROR(VLOOKUP($A384,RA_result!$B$3:$N$62,12,0),"")</f>
        <v/>
      </c>
      <c r="J384" s="55" t="str">
        <f aca="false">IFERROR(VLOOKUP($A384,RA_result!$B$3:$N$62,13,0),"")</f>
        <v/>
      </c>
      <c r="K384" s="56"/>
      <c r="L384" s="56"/>
      <c r="M384" s="57" t="n">
        <f aca="false">G384</f>
        <v>0</v>
      </c>
      <c r="N384" s="54" t="n">
        <f aca="false">G384-M384</f>
        <v>0</v>
      </c>
      <c r="O384" s="55" t="str">
        <f aca="false">IFERROR(VLOOKUP($A384,RA_result!$B$3:$N$62,7,0),"")</f>
        <v/>
      </c>
      <c r="P384" s="52" t="str">
        <f aca="false">IFERROR(VLOOKUP($A384,RA_result!$B$3:$N$62,9,0),"")</f>
        <v/>
      </c>
      <c r="Q384" s="52" t="str">
        <f aca="false">IFERROR(VLOOKUP($A384,RA_result!$B$3:$N$62,10,0),"")</f>
        <v/>
      </c>
      <c r="R384" s="58" t="s">
        <v>55</v>
      </c>
      <c r="S384" s="59" t="str">
        <f aca="false">IFERROR(VLOOKUP($A384,RA_result!$B$3:$N$62,4,0),"")</f>
        <v/>
      </c>
      <c r="T384" s="60" t="s">
        <v>56</v>
      </c>
      <c r="U384" s="59" t="str">
        <f aca="false">IFERROR(IF(VLOOKUP($A384,RA_result!$B$3:$N$62,6,0)="",S384*T384,VLOOKUP($A384,RA_result!$B$3:$N$62,6,0)),"")</f>
        <v/>
      </c>
      <c r="V384" s="61" t="s">
        <v>56</v>
      </c>
      <c r="W384" s="62" t="n">
        <f aca="false">IFERROR((S384*30%)/V384,0)</f>
        <v>0</v>
      </c>
      <c r="X384" s="63" t="n">
        <f aca="false">IFERROR(N384/W384,0)</f>
        <v>0</v>
      </c>
      <c r="Y384" s="68"/>
      <c r="Z384" s="57"/>
      <c r="AA384" s="69" t="str">
        <f aca="false">IF(OR(U384="",Y384="",Z384=""),"",IF(AND(U384&gt;Y384,-U384&lt;Z384),"Ok","Not Ok"))</f>
        <v/>
      </c>
      <c r="AB384" s="70"/>
    </row>
    <row r="385" customFormat="false" ht="12.8" hidden="false" customHeight="false" outlineLevel="0" collapsed="false">
      <c r="A385" s="48" t="n">
        <f aca="false">TB_audited!A368</f>
        <v>0</v>
      </c>
      <c r="B385" s="49"/>
      <c r="C385" s="50"/>
      <c r="D385" s="51" t="n">
        <f aca="false">TB_audited!B368</f>
        <v>0</v>
      </c>
      <c r="E385" s="52" t="n">
        <f aca="false">TB_audited!C368</f>
        <v>0</v>
      </c>
      <c r="F385" s="53" t="n">
        <f aca="false">TB_audited!D368</f>
        <v>0</v>
      </c>
      <c r="G385" s="54" t="n">
        <f aca="false">IF($D$8="Interim",TB_audited!G368,TB_audited!E368)</f>
        <v>0</v>
      </c>
      <c r="H385" s="55" t="str">
        <f aca="false">IFERROR(VLOOKUP($A385,RA_result!$B$3:$N$62,11,0),"")</f>
        <v/>
      </c>
      <c r="I385" s="55" t="str">
        <f aca="false">IFERROR(VLOOKUP($A385,RA_result!$B$3:$N$62,12,0),"")</f>
        <v/>
      </c>
      <c r="J385" s="55" t="str">
        <f aca="false">IFERROR(VLOOKUP($A385,RA_result!$B$3:$N$62,13,0),"")</f>
        <v/>
      </c>
      <c r="K385" s="56"/>
      <c r="L385" s="56"/>
      <c r="M385" s="57" t="n">
        <f aca="false">G385</f>
        <v>0</v>
      </c>
      <c r="N385" s="54" t="n">
        <f aca="false">G385-M385</f>
        <v>0</v>
      </c>
      <c r="O385" s="55" t="str">
        <f aca="false">IFERROR(VLOOKUP($A385,RA_result!$B$3:$N$62,7,0),"")</f>
        <v/>
      </c>
      <c r="P385" s="52" t="str">
        <f aca="false">IFERROR(VLOOKUP($A385,RA_result!$B$3:$N$62,9,0),"")</f>
        <v/>
      </c>
      <c r="Q385" s="52" t="str">
        <f aca="false">IFERROR(VLOOKUP($A385,RA_result!$B$3:$N$62,10,0),"")</f>
        <v/>
      </c>
      <c r="R385" s="58" t="s">
        <v>55</v>
      </c>
      <c r="S385" s="59" t="str">
        <f aca="false">IFERROR(VLOOKUP($A385,RA_result!$B$3:$N$62,4,0),"")</f>
        <v/>
      </c>
      <c r="T385" s="60" t="s">
        <v>56</v>
      </c>
      <c r="U385" s="59" t="str">
        <f aca="false">IFERROR(IF(VLOOKUP($A385,RA_result!$B$3:$N$62,6,0)="",S385*T385,VLOOKUP($A385,RA_result!$B$3:$N$62,6,0)),"")</f>
        <v/>
      </c>
      <c r="V385" s="61" t="s">
        <v>56</v>
      </c>
      <c r="W385" s="62" t="n">
        <f aca="false">IFERROR((S385*30%)/V385,0)</f>
        <v>0</v>
      </c>
      <c r="X385" s="63" t="n">
        <f aca="false">IFERROR(N385/W385,0)</f>
        <v>0</v>
      </c>
      <c r="Y385" s="68"/>
      <c r="Z385" s="57"/>
      <c r="AA385" s="69" t="str">
        <f aca="false">IF(OR(U385="",Y385="",Z385=""),"",IF(AND(U385&gt;Y385,-U385&lt;Z385),"Ok","Not Ok"))</f>
        <v/>
      </c>
      <c r="AB385" s="70"/>
    </row>
    <row r="386" customFormat="false" ht="12.8" hidden="false" customHeight="false" outlineLevel="0" collapsed="false">
      <c r="A386" s="48" t="n">
        <f aca="false">TB_audited!A369</f>
        <v>0</v>
      </c>
      <c r="B386" s="49"/>
      <c r="C386" s="50"/>
      <c r="D386" s="51" t="n">
        <f aca="false">TB_audited!B369</f>
        <v>0</v>
      </c>
      <c r="E386" s="52" t="n">
        <f aca="false">TB_audited!C369</f>
        <v>0</v>
      </c>
      <c r="F386" s="53" t="n">
        <f aca="false">TB_audited!D369</f>
        <v>0</v>
      </c>
      <c r="G386" s="54" t="n">
        <f aca="false">IF($D$8="Interim",TB_audited!G369,TB_audited!E369)</f>
        <v>0</v>
      </c>
      <c r="H386" s="55" t="str">
        <f aca="false">IFERROR(VLOOKUP($A386,RA_result!$B$3:$N$62,11,0),"")</f>
        <v/>
      </c>
      <c r="I386" s="55" t="str">
        <f aca="false">IFERROR(VLOOKUP($A386,RA_result!$B$3:$N$62,12,0),"")</f>
        <v/>
      </c>
      <c r="J386" s="55" t="str">
        <f aca="false">IFERROR(VLOOKUP($A386,RA_result!$B$3:$N$62,13,0),"")</f>
        <v/>
      </c>
      <c r="K386" s="56"/>
      <c r="L386" s="56"/>
      <c r="M386" s="57" t="n">
        <f aca="false">G386</f>
        <v>0</v>
      </c>
      <c r="N386" s="54" t="n">
        <f aca="false">G386-M386</f>
        <v>0</v>
      </c>
      <c r="O386" s="55" t="str">
        <f aca="false">IFERROR(VLOOKUP($A386,RA_result!$B$3:$N$62,7,0),"")</f>
        <v/>
      </c>
      <c r="P386" s="52" t="str">
        <f aca="false">IFERROR(VLOOKUP($A386,RA_result!$B$3:$N$62,9,0),"")</f>
        <v/>
      </c>
      <c r="Q386" s="52" t="str">
        <f aca="false">IFERROR(VLOOKUP($A386,RA_result!$B$3:$N$62,10,0),"")</f>
        <v/>
      </c>
      <c r="R386" s="58" t="s">
        <v>55</v>
      </c>
      <c r="S386" s="59" t="str">
        <f aca="false">IFERROR(VLOOKUP($A386,RA_result!$B$3:$N$62,4,0),"")</f>
        <v/>
      </c>
      <c r="T386" s="60" t="s">
        <v>56</v>
      </c>
      <c r="U386" s="59" t="str">
        <f aca="false">IFERROR(IF(VLOOKUP($A386,RA_result!$B$3:$N$62,6,0)="",S386*T386,VLOOKUP($A386,RA_result!$B$3:$N$62,6,0)),"")</f>
        <v/>
      </c>
      <c r="V386" s="61" t="s">
        <v>56</v>
      </c>
      <c r="W386" s="62" t="n">
        <f aca="false">IFERROR((S386*30%)/V386,0)</f>
        <v>0</v>
      </c>
      <c r="X386" s="63" t="n">
        <f aca="false">IFERROR(N386/W386,0)</f>
        <v>0</v>
      </c>
      <c r="Y386" s="68"/>
      <c r="Z386" s="57"/>
      <c r="AA386" s="69" t="str">
        <f aca="false">IF(OR(U386="",Y386="",Z386=""),"",IF(AND(U386&gt;Y386,-U386&lt;Z386),"Ok","Not Ok"))</f>
        <v/>
      </c>
      <c r="AB386" s="70"/>
    </row>
    <row r="387" customFormat="false" ht="12.8" hidden="false" customHeight="false" outlineLevel="0" collapsed="false">
      <c r="A387" s="48" t="n">
        <f aca="false">TB_audited!A370</f>
        <v>0</v>
      </c>
      <c r="B387" s="49"/>
      <c r="C387" s="50"/>
      <c r="D387" s="51" t="n">
        <f aca="false">TB_audited!B370</f>
        <v>0</v>
      </c>
      <c r="E387" s="52" t="n">
        <f aca="false">TB_audited!C370</f>
        <v>0</v>
      </c>
      <c r="F387" s="53" t="n">
        <f aca="false">TB_audited!D370</f>
        <v>0</v>
      </c>
      <c r="G387" s="54" t="n">
        <f aca="false">IF($D$8="Interim",TB_audited!G370,TB_audited!E370)</f>
        <v>0</v>
      </c>
      <c r="H387" s="55" t="str">
        <f aca="false">IFERROR(VLOOKUP($A387,RA_result!$B$3:$N$62,11,0),"")</f>
        <v/>
      </c>
      <c r="I387" s="55" t="str">
        <f aca="false">IFERROR(VLOOKUP($A387,RA_result!$B$3:$N$62,12,0),"")</f>
        <v/>
      </c>
      <c r="J387" s="55" t="str">
        <f aca="false">IFERROR(VLOOKUP($A387,RA_result!$B$3:$N$62,13,0),"")</f>
        <v/>
      </c>
      <c r="K387" s="56"/>
      <c r="L387" s="56"/>
      <c r="M387" s="57" t="n">
        <f aca="false">G387</f>
        <v>0</v>
      </c>
      <c r="N387" s="54" t="n">
        <f aca="false">G387-M387</f>
        <v>0</v>
      </c>
      <c r="O387" s="55" t="str">
        <f aca="false">IFERROR(VLOOKUP($A387,RA_result!$B$3:$N$62,7,0),"")</f>
        <v/>
      </c>
      <c r="P387" s="52" t="str">
        <f aca="false">IFERROR(VLOOKUP($A387,RA_result!$B$3:$N$62,9,0),"")</f>
        <v/>
      </c>
      <c r="Q387" s="52" t="str">
        <f aca="false">IFERROR(VLOOKUP($A387,RA_result!$B$3:$N$62,10,0),"")</f>
        <v/>
      </c>
      <c r="R387" s="58" t="s">
        <v>55</v>
      </c>
      <c r="S387" s="59" t="str">
        <f aca="false">IFERROR(VLOOKUP($A387,RA_result!$B$3:$N$62,4,0),"")</f>
        <v/>
      </c>
      <c r="T387" s="60" t="s">
        <v>56</v>
      </c>
      <c r="U387" s="59" t="str">
        <f aca="false">IFERROR(IF(VLOOKUP($A387,RA_result!$B$3:$N$62,6,0)="",S387*T387,VLOOKUP($A387,RA_result!$B$3:$N$62,6,0)),"")</f>
        <v/>
      </c>
      <c r="V387" s="61" t="s">
        <v>56</v>
      </c>
      <c r="W387" s="62" t="n">
        <f aca="false">IFERROR((S387*30%)/V387,0)</f>
        <v>0</v>
      </c>
      <c r="X387" s="63" t="n">
        <f aca="false">IFERROR(N387/W387,0)</f>
        <v>0</v>
      </c>
      <c r="Y387" s="68"/>
      <c r="Z387" s="57"/>
      <c r="AA387" s="69" t="str">
        <f aca="false">IF(OR(U387="",Y387="",Z387=""),"",IF(AND(U387&gt;Y387,-U387&lt;Z387),"Ok","Not Ok"))</f>
        <v/>
      </c>
      <c r="AB387" s="70"/>
    </row>
    <row r="388" customFormat="false" ht="12.8" hidden="false" customHeight="false" outlineLevel="0" collapsed="false">
      <c r="A388" s="48" t="n">
        <f aca="false">TB_audited!A371</f>
        <v>0</v>
      </c>
      <c r="B388" s="49"/>
      <c r="C388" s="50"/>
      <c r="D388" s="51" t="n">
        <f aca="false">TB_audited!B371</f>
        <v>0</v>
      </c>
      <c r="E388" s="52" t="n">
        <f aca="false">TB_audited!C371</f>
        <v>0</v>
      </c>
      <c r="F388" s="53" t="n">
        <f aca="false">TB_audited!D371</f>
        <v>0</v>
      </c>
      <c r="G388" s="54" t="n">
        <f aca="false">IF($D$8="Interim",TB_audited!G371,TB_audited!E371)</f>
        <v>0</v>
      </c>
      <c r="H388" s="55" t="str">
        <f aca="false">IFERROR(VLOOKUP($A388,RA_result!$B$3:$N$62,11,0),"")</f>
        <v/>
      </c>
      <c r="I388" s="55" t="str">
        <f aca="false">IFERROR(VLOOKUP($A388,RA_result!$B$3:$N$62,12,0),"")</f>
        <v/>
      </c>
      <c r="J388" s="55" t="str">
        <f aca="false">IFERROR(VLOOKUP($A388,RA_result!$B$3:$N$62,13,0),"")</f>
        <v/>
      </c>
      <c r="K388" s="56"/>
      <c r="L388" s="56"/>
      <c r="M388" s="57" t="n">
        <f aca="false">G388</f>
        <v>0</v>
      </c>
      <c r="N388" s="54" t="n">
        <f aca="false">G388-M388</f>
        <v>0</v>
      </c>
      <c r="O388" s="55" t="str">
        <f aca="false">IFERROR(VLOOKUP($A388,RA_result!$B$3:$N$62,7,0),"")</f>
        <v/>
      </c>
      <c r="P388" s="52" t="str">
        <f aca="false">IFERROR(VLOOKUP($A388,RA_result!$B$3:$N$62,9,0),"")</f>
        <v/>
      </c>
      <c r="Q388" s="52" t="str">
        <f aca="false">IFERROR(VLOOKUP($A388,RA_result!$B$3:$N$62,10,0),"")</f>
        <v/>
      </c>
      <c r="R388" s="58" t="s">
        <v>55</v>
      </c>
      <c r="S388" s="59" t="str">
        <f aca="false">IFERROR(VLOOKUP($A388,RA_result!$B$3:$N$62,4,0),"")</f>
        <v/>
      </c>
      <c r="T388" s="60" t="s">
        <v>56</v>
      </c>
      <c r="U388" s="59" t="str">
        <f aca="false">IFERROR(IF(VLOOKUP($A388,RA_result!$B$3:$N$62,6,0)="",S388*T388,VLOOKUP($A388,RA_result!$B$3:$N$62,6,0)),"")</f>
        <v/>
      </c>
      <c r="V388" s="61" t="s">
        <v>56</v>
      </c>
      <c r="W388" s="62" t="n">
        <f aca="false">IFERROR((S388*30%)/V388,0)</f>
        <v>0</v>
      </c>
      <c r="X388" s="63" t="n">
        <f aca="false">IFERROR(N388/W388,0)</f>
        <v>0</v>
      </c>
      <c r="Y388" s="68"/>
      <c r="Z388" s="57"/>
      <c r="AA388" s="69" t="str">
        <f aca="false">IF(OR(U388="",Y388="",Z388=""),"",IF(AND(U388&gt;Y388,-U388&lt;Z388),"Ok","Not Ok"))</f>
        <v/>
      </c>
      <c r="AB388" s="70"/>
    </row>
    <row r="389" customFormat="false" ht="12.8" hidden="false" customHeight="false" outlineLevel="0" collapsed="false">
      <c r="A389" s="48" t="n">
        <f aca="false">TB_audited!A372</f>
        <v>0</v>
      </c>
      <c r="B389" s="49"/>
      <c r="C389" s="50"/>
      <c r="D389" s="51" t="n">
        <f aca="false">TB_audited!B372</f>
        <v>0</v>
      </c>
      <c r="E389" s="52" t="n">
        <f aca="false">TB_audited!C372</f>
        <v>0</v>
      </c>
      <c r="F389" s="53" t="n">
        <f aca="false">TB_audited!D372</f>
        <v>0</v>
      </c>
      <c r="G389" s="54" t="n">
        <f aca="false">IF($D$8="Interim",TB_audited!G372,TB_audited!E372)</f>
        <v>0</v>
      </c>
      <c r="H389" s="55" t="str">
        <f aca="false">IFERROR(VLOOKUP($A389,RA_result!$B$3:$N$62,11,0),"")</f>
        <v/>
      </c>
      <c r="I389" s="55" t="str">
        <f aca="false">IFERROR(VLOOKUP($A389,RA_result!$B$3:$N$62,12,0),"")</f>
        <v/>
      </c>
      <c r="J389" s="55" t="str">
        <f aca="false">IFERROR(VLOOKUP($A389,RA_result!$B$3:$N$62,13,0),"")</f>
        <v/>
      </c>
      <c r="K389" s="56"/>
      <c r="L389" s="56"/>
      <c r="M389" s="57" t="n">
        <f aca="false">G389</f>
        <v>0</v>
      </c>
      <c r="N389" s="54" t="n">
        <f aca="false">G389-M389</f>
        <v>0</v>
      </c>
      <c r="O389" s="55" t="str">
        <f aca="false">IFERROR(VLOOKUP($A389,RA_result!$B$3:$N$62,7,0),"")</f>
        <v/>
      </c>
      <c r="P389" s="52" t="str">
        <f aca="false">IFERROR(VLOOKUP($A389,RA_result!$B$3:$N$62,9,0),"")</f>
        <v/>
      </c>
      <c r="Q389" s="52" t="str">
        <f aca="false">IFERROR(VLOOKUP($A389,RA_result!$B$3:$N$62,10,0),"")</f>
        <v/>
      </c>
      <c r="R389" s="58" t="s">
        <v>55</v>
      </c>
      <c r="S389" s="59" t="str">
        <f aca="false">IFERROR(VLOOKUP($A389,RA_result!$B$3:$N$62,4,0),"")</f>
        <v/>
      </c>
      <c r="T389" s="60" t="s">
        <v>56</v>
      </c>
      <c r="U389" s="59" t="str">
        <f aca="false">IFERROR(IF(VLOOKUP($A389,RA_result!$B$3:$N$62,6,0)="",S389*T389,VLOOKUP($A389,RA_result!$B$3:$N$62,6,0)),"")</f>
        <v/>
      </c>
      <c r="V389" s="61" t="s">
        <v>56</v>
      </c>
      <c r="W389" s="62" t="n">
        <f aca="false">IFERROR((S389*30%)/V389,0)</f>
        <v>0</v>
      </c>
      <c r="X389" s="63" t="n">
        <f aca="false">IFERROR(N389/W389,0)</f>
        <v>0</v>
      </c>
      <c r="Y389" s="68"/>
      <c r="Z389" s="57"/>
      <c r="AA389" s="69" t="str">
        <f aca="false">IF(OR(U389="",Y389="",Z389=""),"",IF(AND(U389&gt;Y389,-U389&lt;Z389),"Ok","Not Ok"))</f>
        <v/>
      </c>
      <c r="AB389" s="70"/>
    </row>
    <row r="390" customFormat="false" ht="12.8" hidden="false" customHeight="false" outlineLevel="0" collapsed="false">
      <c r="A390" s="48" t="n">
        <f aca="false">TB_audited!A373</f>
        <v>0</v>
      </c>
      <c r="B390" s="49"/>
      <c r="C390" s="50"/>
      <c r="D390" s="51" t="n">
        <f aca="false">TB_audited!B373</f>
        <v>0</v>
      </c>
      <c r="E390" s="52" t="n">
        <f aca="false">TB_audited!C373</f>
        <v>0</v>
      </c>
      <c r="F390" s="53" t="n">
        <f aca="false">TB_audited!D373</f>
        <v>0</v>
      </c>
      <c r="G390" s="54" t="n">
        <f aca="false">IF($D$8="Interim",TB_audited!G373,TB_audited!E373)</f>
        <v>0</v>
      </c>
      <c r="H390" s="55" t="str">
        <f aca="false">IFERROR(VLOOKUP($A390,RA_result!$B$3:$N$62,11,0),"")</f>
        <v/>
      </c>
      <c r="I390" s="55" t="str">
        <f aca="false">IFERROR(VLOOKUP($A390,RA_result!$B$3:$N$62,12,0),"")</f>
        <v/>
      </c>
      <c r="J390" s="55" t="str">
        <f aca="false">IFERROR(VLOOKUP($A390,RA_result!$B$3:$N$62,13,0),"")</f>
        <v/>
      </c>
      <c r="K390" s="56"/>
      <c r="L390" s="56"/>
      <c r="M390" s="57" t="n">
        <f aca="false">G390</f>
        <v>0</v>
      </c>
      <c r="N390" s="54" t="n">
        <f aca="false">G390-M390</f>
        <v>0</v>
      </c>
      <c r="O390" s="55" t="str">
        <f aca="false">IFERROR(VLOOKUP($A390,RA_result!$B$3:$N$62,7,0),"")</f>
        <v/>
      </c>
      <c r="P390" s="52" t="str">
        <f aca="false">IFERROR(VLOOKUP($A390,RA_result!$B$3:$N$62,9,0),"")</f>
        <v/>
      </c>
      <c r="Q390" s="52" t="str">
        <f aca="false">IFERROR(VLOOKUP($A390,RA_result!$B$3:$N$62,10,0),"")</f>
        <v/>
      </c>
      <c r="R390" s="58" t="s">
        <v>55</v>
      </c>
      <c r="S390" s="59" t="str">
        <f aca="false">IFERROR(VLOOKUP($A390,RA_result!$B$3:$N$62,4,0),"")</f>
        <v/>
      </c>
      <c r="T390" s="60" t="s">
        <v>56</v>
      </c>
      <c r="U390" s="59" t="str">
        <f aca="false">IFERROR(IF(VLOOKUP($A390,RA_result!$B$3:$N$62,6,0)="",S390*T390,VLOOKUP($A390,RA_result!$B$3:$N$62,6,0)),"")</f>
        <v/>
      </c>
      <c r="V390" s="61" t="s">
        <v>56</v>
      </c>
      <c r="W390" s="62" t="n">
        <f aca="false">IFERROR((S390*30%)/V390,0)</f>
        <v>0</v>
      </c>
      <c r="X390" s="63" t="n">
        <f aca="false">IFERROR(N390/W390,0)</f>
        <v>0</v>
      </c>
      <c r="Y390" s="68"/>
      <c r="Z390" s="57"/>
      <c r="AA390" s="69" t="str">
        <f aca="false">IF(OR(U390="",Y390="",Z390=""),"",IF(AND(U390&gt;Y390,-U390&lt;Z390),"Ok","Not Ok"))</f>
        <v/>
      </c>
      <c r="AB390" s="70"/>
    </row>
    <row r="391" customFormat="false" ht="12.8" hidden="false" customHeight="false" outlineLevel="0" collapsed="false">
      <c r="A391" s="48" t="n">
        <f aca="false">TB_audited!A374</f>
        <v>0</v>
      </c>
      <c r="B391" s="49"/>
      <c r="C391" s="50"/>
      <c r="D391" s="51" t="n">
        <f aca="false">TB_audited!B374</f>
        <v>0</v>
      </c>
      <c r="E391" s="52" t="n">
        <f aca="false">TB_audited!C374</f>
        <v>0</v>
      </c>
      <c r="F391" s="53" t="n">
        <f aca="false">TB_audited!D374</f>
        <v>0</v>
      </c>
      <c r="G391" s="54" t="n">
        <f aca="false">IF($D$8="Interim",TB_audited!G374,TB_audited!E374)</f>
        <v>0</v>
      </c>
      <c r="H391" s="55" t="str">
        <f aca="false">IFERROR(VLOOKUP($A391,RA_result!$B$3:$N$62,11,0),"")</f>
        <v/>
      </c>
      <c r="I391" s="55" t="str">
        <f aca="false">IFERROR(VLOOKUP($A391,RA_result!$B$3:$N$62,12,0),"")</f>
        <v/>
      </c>
      <c r="J391" s="55" t="str">
        <f aca="false">IFERROR(VLOOKUP($A391,RA_result!$B$3:$N$62,13,0),"")</f>
        <v/>
      </c>
      <c r="K391" s="56"/>
      <c r="L391" s="56"/>
      <c r="M391" s="57" t="n">
        <f aca="false">G391</f>
        <v>0</v>
      </c>
      <c r="N391" s="54" t="n">
        <f aca="false">G391-M391</f>
        <v>0</v>
      </c>
      <c r="O391" s="55" t="str">
        <f aca="false">IFERROR(VLOOKUP($A391,RA_result!$B$3:$N$62,7,0),"")</f>
        <v/>
      </c>
      <c r="P391" s="52" t="str">
        <f aca="false">IFERROR(VLOOKUP($A391,RA_result!$B$3:$N$62,9,0),"")</f>
        <v/>
      </c>
      <c r="Q391" s="52" t="str">
        <f aca="false">IFERROR(VLOOKUP($A391,RA_result!$B$3:$N$62,10,0),"")</f>
        <v/>
      </c>
      <c r="R391" s="58" t="s">
        <v>55</v>
      </c>
      <c r="S391" s="59" t="str">
        <f aca="false">IFERROR(VLOOKUP($A391,RA_result!$B$3:$N$62,4,0),"")</f>
        <v/>
      </c>
      <c r="T391" s="60" t="s">
        <v>56</v>
      </c>
      <c r="U391" s="59" t="str">
        <f aca="false">IFERROR(IF(VLOOKUP($A391,RA_result!$B$3:$N$62,6,0)="",S391*T391,VLOOKUP($A391,RA_result!$B$3:$N$62,6,0)),"")</f>
        <v/>
      </c>
      <c r="V391" s="61" t="s">
        <v>56</v>
      </c>
      <c r="W391" s="62" t="n">
        <f aca="false">IFERROR((S391*30%)/V391,0)</f>
        <v>0</v>
      </c>
      <c r="X391" s="63" t="n">
        <f aca="false">IFERROR(N391/W391,0)</f>
        <v>0</v>
      </c>
      <c r="Y391" s="68"/>
      <c r="Z391" s="57"/>
      <c r="AA391" s="69" t="str">
        <f aca="false">IF(OR(U391="",Y391="",Z391=""),"",IF(AND(U391&gt;Y391,-U391&lt;Z391),"Ok","Not Ok"))</f>
        <v/>
      </c>
      <c r="AB391" s="70"/>
    </row>
    <row r="392" customFormat="false" ht="12.8" hidden="false" customHeight="false" outlineLevel="0" collapsed="false">
      <c r="A392" s="48" t="n">
        <f aca="false">TB_audited!A375</f>
        <v>0</v>
      </c>
      <c r="B392" s="49"/>
      <c r="C392" s="50"/>
      <c r="D392" s="51" t="n">
        <f aca="false">TB_audited!B375</f>
        <v>0</v>
      </c>
      <c r="E392" s="52" t="n">
        <f aca="false">TB_audited!C375</f>
        <v>0</v>
      </c>
      <c r="F392" s="53" t="n">
        <f aca="false">TB_audited!D375</f>
        <v>0</v>
      </c>
      <c r="G392" s="54" t="n">
        <f aca="false">IF($D$8="Interim",TB_audited!G375,TB_audited!E375)</f>
        <v>0</v>
      </c>
      <c r="H392" s="55" t="str">
        <f aca="false">IFERROR(VLOOKUP($A392,RA_result!$B$3:$N$62,11,0),"")</f>
        <v/>
      </c>
      <c r="I392" s="55" t="str">
        <f aca="false">IFERROR(VLOOKUP($A392,RA_result!$B$3:$N$62,12,0),"")</f>
        <v/>
      </c>
      <c r="J392" s="55" t="str">
        <f aca="false">IFERROR(VLOOKUP($A392,RA_result!$B$3:$N$62,13,0),"")</f>
        <v/>
      </c>
      <c r="K392" s="56"/>
      <c r="L392" s="56"/>
      <c r="M392" s="57" t="n">
        <f aca="false">G392</f>
        <v>0</v>
      </c>
      <c r="N392" s="54" t="n">
        <f aca="false">G392-M392</f>
        <v>0</v>
      </c>
      <c r="O392" s="55" t="str">
        <f aca="false">IFERROR(VLOOKUP($A392,RA_result!$B$3:$N$62,7,0),"")</f>
        <v/>
      </c>
      <c r="P392" s="52" t="str">
        <f aca="false">IFERROR(VLOOKUP($A392,RA_result!$B$3:$N$62,9,0),"")</f>
        <v/>
      </c>
      <c r="Q392" s="52" t="str">
        <f aca="false">IFERROR(VLOOKUP($A392,RA_result!$B$3:$N$62,10,0),"")</f>
        <v/>
      </c>
      <c r="R392" s="58" t="s">
        <v>55</v>
      </c>
      <c r="S392" s="59" t="str">
        <f aca="false">IFERROR(VLOOKUP($A392,RA_result!$B$3:$N$62,4,0),"")</f>
        <v/>
      </c>
      <c r="T392" s="60" t="s">
        <v>56</v>
      </c>
      <c r="U392" s="59" t="str">
        <f aca="false">IFERROR(IF(VLOOKUP($A392,RA_result!$B$3:$N$62,6,0)="",S392*T392,VLOOKUP($A392,RA_result!$B$3:$N$62,6,0)),"")</f>
        <v/>
      </c>
      <c r="V392" s="61" t="s">
        <v>56</v>
      </c>
      <c r="W392" s="62" t="n">
        <f aca="false">IFERROR((S392*30%)/V392,0)</f>
        <v>0</v>
      </c>
      <c r="X392" s="63" t="n">
        <f aca="false">IFERROR(N392/W392,0)</f>
        <v>0</v>
      </c>
      <c r="Y392" s="68"/>
      <c r="Z392" s="57"/>
      <c r="AA392" s="69" t="str">
        <f aca="false">IF(OR(U392="",Y392="",Z392=""),"",IF(AND(U392&gt;Y392,-U392&lt;Z392),"Ok","Not Ok"))</f>
        <v/>
      </c>
      <c r="AB392" s="70"/>
    </row>
    <row r="393" customFormat="false" ht="12.8" hidden="false" customHeight="false" outlineLevel="0" collapsed="false">
      <c r="A393" s="48" t="n">
        <f aca="false">TB_audited!A376</f>
        <v>0</v>
      </c>
      <c r="B393" s="49"/>
      <c r="C393" s="50"/>
      <c r="D393" s="51" t="n">
        <f aca="false">TB_audited!B376</f>
        <v>0</v>
      </c>
      <c r="E393" s="52" t="n">
        <f aca="false">TB_audited!C376</f>
        <v>0</v>
      </c>
      <c r="F393" s="53" t="n">
        <f aca="false">TB_audited!D376</f>
        <v>0</v>
      </c>
      <c r="G393" s="54" t="n">
        <f aca="false">IF($D$8="Interim",TB_audited!G376,TB_audited!E376)</f>
        <v>0</v>
      </c>
      <c r="H393" s="55" t="str">
        <f aca="false">IFERROR(VLOOKUP($A393,RA_result!$B$3:$N$62,11,0),"")</f>
        <v/>
      </c>
      <c r="I393" s="55" t="str">
        <f aca="false">IFERROR(VLOOKUP($A393,RA_result!$B$3:$N$62,12,0),"")</f>
        <v/>
      </c>
      <c r="J393" s="55" t="str">
        <f aca="false">IFERROR(VLOOKUP($A393,RA_result!$B$3:$N$62,13,0),"")</f>
        <v/>
      </c>
      <c r="K393" s="56"/>
      <c r="L393" s="56"/>
      <c r="M393" s="57" t="n">
        <f aca="false">G393</f>
        <v>0</v>
      </c>
      <c r="N393" s="54" t="n">
        <f aca="false">G393-M393</f>
        <v>0</v>
      </c>
      <c r="O393" s="55" t="str">
        <f aca="false">IFERROR(VLOOKUP($A393,RA_result!$B$3:$N$62,7,0),"")</f>
        <v/>
      </c>
      <c r="P393" s="52" t="str">
        <f aca="false">IFERROR(VLOOKUP($A393,RA_result!$B$3:$N$62,9,0),"")</f>
        <v/>
      </c>
      <c r="Q393" s="52" t="str">
        <f aca="false">IFERROR(VLOOKUP($A393,RA_result!$B$3:$N$62,10,0),"")</f>
        <v/>
      </c>
      <c r="R393" s="58" t="s">
        <v>55</v>
      </c>
      <c r="S393" s="59" t="str">
        <f aca="false">IFERROR(VLOOKUP($A393,RA_result!$B$3:$N$62,4,0),"")</f>
        <v/>
      </c>
      <c r="T393" s="60" t="s">
        <v>56</v>
      </c>
      <c r="U393" s="59" t="str">
        <f aca="false">IFERROR(IF(VLOOKUP($A393,RA_result!$B$3:$N$62,6,0)="",S393*T393,VLOOKUP($A393,RA_result!$B$3:$N$62,6,0)),"")</f>
        <v/>
      </c>
      <c r="V393" s="61" t="s">
        <v>56</v>
      </c>
      <c r="W393" s="62" t="n">
        <f aca="false">IFERROR((S393*30%)/V393,0)</f>
        <v>0</v>
      </c>
      <c r="X393" s="63" t="n">
        <f aca="false">IFERROR(N393/W393,0)</f>
        <v>0</v>
      </c>
      <c r="Y393" s="68"/>
      <c r="Z393" s="57"/>
      <c r="AA393" s="69" t="str">
        <f aca="false">IF(OR(U393="",Y393="",Z393=""),"",IF(AND(U393&gt;Y393,-U393&lt;Z393),"Ok","Not Ok"))</f>
        <v/>
      </c>
      <c r="AB393" s="70"/>
    </row>
    <row r="394" customFormat="false" ht="12.8" hidden="false" customHeight="false" outlineLevel="0" collapsed="false">
      <c r="A394" s="48" t="n">
        <f aca="false">TB_audited!A377</f>
        <v>0</v>
      </c>
      <c r="B394" s="49"/>
      <c r="C394" s="50"/>
      <c r="D394" s="51" t="n">
        <f aca="false">TB_audited!B377</f>
        <v>0</v>
      </c>
      <c r="E394" s="52" t="n">
        <f aca="false">TB_audited!C377</f>
        <v>0</v>
      </c>
      <c r="F394" s="53" t="n">
        <f aca="false">TB_audited!D377</f>
        <v>0</v>
      </c>
      <c r="G394" s="54" t="n">
        <f aca="false">IF($D$8="Interim",TB_audited!G377,TB_audited!E377)</f>
        <v>0</v>
      </c>
      <c r="H394" s="55" t="str">
        <f aca="false">IFERROR(VLOOKUP($A394,RA_result!$B$3:$N$62,11,0),"")</f>
        <v/>
      </c>
      <c r="I394" s="55" t="str">
        <f aca="false">IFERROR(VLOOKUP($A394,RA_result!$B$3:$N$62,12,0),"")</f>
        <v/>
      </c>
      <c r="J394" s="55" t="str">
        <f aca="false">IFERROR(VLOOKUP($A394,RA_result!$B$3:$N$62,13,0),"")</f>
        <v/>
      </c>
      <c r="K394" s="56"/>
      <c r="L394" s="56"/>
      <c r="M394" s="57" t="n">
        <f aca="false">G394</f>
        <v>0</v>
      </c>
      <c r="N394" s="54" t="n">
        <f aca="false">G394-M394</f>
        <v>0</v>
      </c>
      <c r="O394" s="55" t="str">
        <f aca="false">IFERROR(VLOOKUP($A394,RA_result!$B$3:$N$62,7,0),"")</f>
        <v/>
      </c>
      <c r="P394" s="52" t="str">
        <f aca="false">IFERROR(VLOOKUP($A394,RA_result!$B$3:$N$62,9,0),"")</f>
        <v/>
      </c>
      <c r="Q394" s="52" t="str">
        <f aca="false">IFERROR(VLOOKUP($A394,RA_result!$B$3:$N$62,10,0),"")</f>
        <v/>
      </c>
      <c r="R394" s="58" t="s">
        <v>55</v>
      </c>
      <c r="S394" s="59" t="str">
        <f aca="false">IFERROR(VLOOKUP($A394,RA_result!$B$3:$N$62,4,0),"")</f>
        <v/>
      </c>
      <c r="T394" s="60" t="s">
        <v>56</v>
      </c>
      <c r="U394" s="59" t="str">
        <f aca="false">IFERROR(IF(VLOOKUP($A394,RA_result!$B$3:$N$62,6,0)="",S394*T394,VLOOKUP($A394,RA_result!$B$3:$N$62,6,0)),"")</f>
        <v/>
      </c>
      <c r="V394" s="61" t="s">
        <v>56</v>
      </c>
      <c r="W394" s="62" t="n">
        <f aca="false">IFERROR((S394*30%)/V394,0)</f>
        <v>0</v>
      </c>
      <c r="X394" s="63" t="n">
        <f aca="false">IFERROR(N394/W394,0)</f>
        <v>0</v>
      </c>
      <c r="Y394" s="68"/>
      <c r="Z394" s="57"/>
      <c r="AA394" s="69" t="str">
        <f aca="false">IF(OR(U394="",Y394="",Z394=""),"",IF(AND(U394&gt;Y394,-U394&lt;Z394),"Ok","Not Ok"))</f>
        <v/>
      </c>
      <c r="AB394" s="70"/>
    </row>
    <row r="395" customFormat="false" ht="12.8" hidden="false" customHeight="false" outlineLevel="0" collapsed="false">
      <c r="A395" s="48" t="n">
        <f aca="false">TB_audited!A378</f>
        <v>0</v>
      </c>
      <c r="B395" s="49"/>
      <c r="C395" s="50"/>
      <c r="D395" s="51" t="n">
        <f aca="false">TB_audited!B378</f>
        <v>0</v>
      </c>
      <c r="E395" s="52" t="n">
        <f aca="false">TB_audited!C378</f>
        <v>0</v>
      </c>
      <c r="F395" s="53" t="n">
        <f aca="false">TB_audited!D378</f>
        <v>0</v>
      </c>
      <c r="G395" s="54" t="n">
        <f aca="false">IF($D$8="Interim",TB_audited!G378,TB_audited!E378)</f>
        <v>0</v>
      </c>
      <c r="H395" s="55" t="str">
        <f aca="false">IFERROR(VLOOKUP($A395,RA_result!$B$3:$N$62,11,0),"")</f>
        <v/>
      </c>
      <c r="I395" s="55" t="str">
        <f aca="false">IFERROR(VLOOKUP($A395,RA_result!$B$3:$N$62,12,0),"")</f>
        <v/>
      </c>
      <c r="J395" s="55" t="str">
        <f aca="false">IFERROR(VLOOKUP($A395,RA_result!$B$3:$N$62,13,0),"")</f>
        <v/>
      </c>
      <c r="K395" s="56"/>
      <c r="L395" s="56"/>
      <c r="M395" s="57" t="n">
        <f aca="false">G395</f>
        <v>0</v>
      </c>
      <c r="N395" s="54" t="n">
        <f aca="false">G395-M395</f>
        <v>0</v>
      </c>
      <c r="O395" s="55" t="str">
        <f aca="false">IFERROR(VLOOKUP($A395,RA_result!$B$3:$N$62,7,0),"")</f>
        <v/>
      </c>
      <c r="P395" s="52" t="str">
        <f aca="false">IFERROR(VLOOKUP($A395,RA_result!$B$3:$N$62,9,0),"")</f>
        <v/>
      </c>
      <c r="Q395" s="52" t="str">
        <f aca="false">IFERROR(VLOOKUP($A395,RA_result!$B$3:$N$62,10,0),"")</f>
        <v/>
      </c>
      <c r="R395" s="58" t="s">
        <v>55</v>
      </c>
      <c r="S395" s="59" t="str">
        <f aca="false">IFERROR(VLOOKUP($A395,RA_result!$B$3:$N$62,4,0),"")</f>
        <v/>
      </c>
      <c r="T395" s="60" t="s">
        <v>56</v>
      </c>
      <c r="U395" s="59" t="str">
        <f aca="false">IFERROR(IF(VLOOKUP($A395,RA_result!$B$3:$N$62,6,0)="",S395*T395,VLOOKUP($A395,RA_result!$B$3:$N$62,6,0)),"")</f>
        <v/>
      </c>
      <c r="V395" s="61" t="s">
        <v>56</v>
      </c>
      <c r="W395" s="62" t="n">
        <f aca="false">IFERROR((S395*30%)/V395,0)</f>
        <v>0</v>
      </c>
      <c r="X395" s="63" t="n">
        <f aca="false">IFERROR(N395/W395,0)</f>
        <v>0</v>
      </c>
      <c r="Y395" s="68"/>
      <c r="Z395" s="57"/>
      <c r="AA395" s="69" t="str">
        <f aca="false">IF(OR(U395="",Y395="",Z395=""),"",IF(AND(U395&gt;Y395,-U395&lt;Z395),"Ok","Not Ok"))</f>
        <v/>
      </c>
      <c r="AB395" s="70"/>
    </row>
    <row r="396" customFormat="false" ht="12.8" hidden="false" customHeight="false" outlineLevel="0" collapsed="false">
      <c r="A396" s="48" t="n">
        <f aca="false">TB_audited!A379</f>
        <v>0</v>
      </c>
      <c r="B396" s="49"/>
      <c r="C396" s="50"/>
      <c r="D396" s="51" t="n">
        <f aca="false">TB_audited!B379</f>
        <v>0</v>
      </c>
      <c r="E396" s="52" t="n">
        <f aca="false">TB_audited!C379</f>
        <v>0</v>
      </c>
      <c r="F396" s="53" t="n">
        <f aca="false">TB_audited!D379</f>
        <v>0</v>
      </c>
      <c r="G396" s="54" t="n">
        <f aca="false">IF($D$8="Interim",TB_audited!G379,TB_audited!E379)</f>
        <v>0</v>
      </c>
      <c r="H396" s="55" t="str">
        <f aca="false">IFERROR(VLOOKUP($A396,RA_result!$B$3:$N$62,11,0),"")</f>
        <v/>
      </c>
      <c r="I396" s="55" t="str">
        <f aca="false">IFERROR(VLOOKUP($A396,RA_result!$B$3:$N$62,12,0),"")</f>
        <v/>
      </c>
      <c r="J396" s="55" t="str">
        <f aca="false">IFERROR(VLOOKUP($A396,RA_result!$B$3:$N$62,13,0),"")</f>
        <v/>
      </c>
      <c r="K396" s="56"/>
      <c r="L396" s="56"/>
      <c r="M396" s="57" t="n">
        <f aca="false">G396</f>
        <v>0</v>
      </c>
      <c r="N396" s="54" t="n">
        <f aca="false">G396-M396</f>
        <v>0</v>
      </c>
      <c r="O396" s="55" t="str">
        <f aca="false">IFERROR(VLOOKUP($A396,RA_result!$B$3:$N$62,7,0),"")</f>
        <v/>
      </c>
      <c r="P396" s="52" t="str">
        <f aca="false">IFERROR(VLOOKUP($A396,RA_result!$B$3:$N$62,9,0),"")</f>
        <v/>
      </c>
      <c r="Q396" s="52" t="str">
        <f aca="false">IFERROR(VLOOKUP($A396,RA_result!$B$3:$N$62,10,0),"")</f>
        <v/>
      </c>
      <c r="R396" s="58" t="s">
        <v>55</v>
      </c>
      <c r="S396" s="59" t="str">
        <f aca="false">IFERROR(VLOOKUP($A396,RA_result!$B$3:$N$62,4,0),"")</f>
        <v/>
      </c>
      <c r="T396" s="60" t="s">
        <v>56</v>
      </c>
      <c r="U396" s="59" t="str">
        <f aca="false">IFERROR(IF(VLOOKUP($A396,RA_result!$B$3:$N$62,6,0)="",S396*T396,VLOOKUP($A396,RA_result!$B$3:$N$62,6,0)),"")</f>
        <v/>
      </c>
      <c r="V396" s="61" t="s">
        <v>56</v>
      </c>
      <c r="W396" s="62" t="n">
        <f aca="false">IFERROR((S396*30%)/V396,0)</f>
        <v>0</v>
      </c>
      <c r="X396" s="63" t="n">
        <f aca="false">IFERROR(N396/W396,0)</f>
        <v>0</v>
      </c>
      <c r="Y396" s="68"/>
      <c r="Z396" s="57"/>
      <c r="AA396" s="69" t="str">
        <f aca="false">IF(OR(U396="",Y396="",Z396=""),"",IF(AND(U396&gt;Y396,-U396&lt;Z396),"Ok","Not Ok"))</f>
        <v/>
      </c>
      <c r="AB396" s="70"/>
    </row>
    <row r="397" customFormat="false" ht="12.8" hidden="false" customHeight="false" outlineLevel="0" collapsed="false">
      <c r="A397" s="48" t="n">
        <f aca="false">TB_audited!A380</f>
        <v>0</v>
      </c>
      <c r="B397" s="49"/>
      <c r="C397" s="50"/>
      <c r="D397" s="51" t="n">
        <f aca="false">TB_audited!B380</f>
        <v>0</v>
      </c>
      <c r="E397" s="52" t="n">
        <f aca="false">TB_audited!C380</f>
        <v>0</v>
      </c>
      <c r="F397" s="53" t="n">
        <f aca="false">TB_audited!D380</f>
        <v>0</v>
      </c>
      <c r="G397" s="54" t="n">
        <f aca="false">IF($D$8="Interim",TB_audited!G380,TB_audited!E380)</f>
        <v>0</v>
      </c>
      <c r="H397" s="55" t="str">
        <f aca="false">IFERROR(VLOOKUP($A397,RA_result!$B$3:$N$62,11,0),"")</f>
        <v/>
      </c>
      <c r="I397" s="55" t="str">
        <f aca="false">IFERROR(VLOOKUP($A397,RA_result!$B$3:$N$62,12,0),"")</f>
        <v/>
      </c>
      <c r="J397" s="55" t="str">
        <f aca="false">IFERROR(VLOOKUP($A397,RA_result!$B$3:$N$62,13,0),"")</f>
        <v/>
      </c>
      <c r="K397" s="56"/>
      <c r="L397" s="56"/>
      <c r="M397" s="57" t="n">
        <f aca="false">G397</f>
        <v>0</v>
      </c>
      <c r="N397" s="54" t="n">
        <f aca="false">G397-M397</f>
        <v>0</v>
      </c>
      <c r="O397" s="55" t="str">
        <f aca="false">IFERROR(VLOOKUP($A397,RA_result!$B$3:$N$62,7,0),"")</f>
        <v/>
      </c>
      <c r="P397" s="52" t="str">
        <f aca="false">IFERROR(VLOOKUP($A397,RA_result!$B$3:$N$62,9,0),"")</f>
        <v/>
      </c>
      <c r="Q397" s="52" t="str">
        <f aca="false">IFERROR(VLOOKUP($A397,RA_result!$B$3:$N$62,10,0),"")</f>
        <v/>
      </c>
      <c r="R397" s="58" t="s">
        <v>55</v>
      </c>
      <c r="S397" s="59" t="str">
        <f aca="false">IFERROR(VLOOKUP($A397,RA_result!$B$3:$N$62,4,0),"")</f>
        <v/>
      </c>
      <c r="T397" s="60" t="s">
        <v>56</v>
      </c>
      <c r="U397" s="59" t="str">
        <f aca="false">IFERROR(IF(VLOOKUP($A397,RA_result!$B$3:$N$62,6,0)="",S397*T397,VLOOKUP($A397,RA_result!$B$3:$N$62,6,0)),"")</f>
        <v/>
      </c>
      <c r="V397" s="61" t="s">
        <v>56</v>
      </c>
      <c r="W397" s="62" t="n">
        <f aca="false">IFERROR((S397*30%)/V397,0)</f>
        <v>0</v>
      </c>
      <c r="X397" s="63" t="n">
        <f aca="false">IFERROR(N397/W397,0)</f>
        <v>0</v>
      </c>
      <c r="Y397" s="68"/>
      <c r="Z397" s="57"/>
      <c r="AA397" s="69" t="str">
        <f aca="false">IF(OR(U397="",Y397="",Z397=""),"",IF(AND(U397&gt;Y397,-U397&lt;Z397),"Ok","Not Ok"))</f>
        <v/>
      </c>
      <c r="AB397" s="70"/>
    </row>
    <row r="398" customFormat="false" ht="12.8" hidden="false" customHeight="false" outlineLevel="0" collapsed="false">
      <c r="A398" s="48" t="n">
        <f aca="false">TB_audited!A381</f>
        <v>0</v>
      </c>
      <c r="B398" s="49"/>
      <c r="C398" s="50"/>
      <c r="D398" s="51" t="n">
        <f aca="false">TB_audited!B381</f>
        <v>0</v>
      </c>
      <c r="E398" s="52" t="n">
        <f aca="false">TB_audited!C381</f>
        <v>0</v>
      </c>
      <c r="F398" s="53" t="n">
        <f aca="false">TB_audited!D381</f>
        <v>0</v>
      </c>
      <c r="G398" s="54" t="n">
        <f aca="false">IF($D$8="Interim",TB_audited!G381,TB_audited!E381)</f>
        <v>0</v>
      </c>
      <c r="H398" s="55" t="str">
        <f aca="false">IFERROR(VLOOKUP($A398,RA_result!$B$3:$N$62,11,0),"")</f>
        <v/>
      </c>
      <c r="I398" s="55" t="str">
        <f aca="false">IFERROR(VLOOKUP($A398,RA_result!$B$3:$N$62,12,0),"")</f>
        <v/>
      </c>
      <c r="J398" s="55" t="str">
        <f aca="false">IFERROR(VLOOKUP($A398,RA_result!$B$3:$N$62,13,0),"")</f>
        <v/>
      </c>
      <c r="K398" s="56"/>
      <c r="L398" s="56"/>
      <c r="M398" s="57" t="n">
        <f aca="false">G398</f>
        <v>0</v>
      </c>
      <c r="N398" s="54" t="n">
        <f aca="false">G398-M398</f>
        <v>0</v>
      </c>
      <c r="O398" s="55" t="str">
        <f aca="false">IFERROR(VLOOKUP($A398,RA_result!$B$3:$N$62,7,0),"")</f>
        <v/>
      </c>
      <c r="P398" s="52" t="str">
        <f aca="false">IFERROR(VLOOKUP($A398,RA_result!$B$3:$N$62,9,0),"")</f>
        <v/>
      </c>
      <c r="Q398" s="52" t="str">
        <f aca="false">IFERROR(VLOOKUP($A398,RA_result!$B$3:$N$62,10,0),"")</f>
        <v/>
      </c>
      <c r="R398" s="58" t="s">
        <v>55</v>
      </c>
      <c r="S398" s="59" t="str">
        <f aca="false">IFERROR(VLOOKUP($A398,RA_result!$B$3:$N$62,4,0),"")</f>
        <v/>
      </c>
      <c r="T398" s="60" t="s">
        <v>56</v>
      </c>
      <c r="U398" s="59" t="str">
        <f aca="false">IFERROR(IF(VLOOKUP($A398,RA_result!$B$3:$N$62,6,0)="",S398*T398,VLOOKUP($A398,RA_result!$B$3:$N$62,6,0)),"")</f>
        <v/>
      </c>
      <c r="V398" s="61" t="s">
        <v>56</v>
      </c>
      <c r="W398" s="62" t="n">
        <f aca="false">IFERROR((S398*30%)/V398,0)</f>
        <v>0</v>
      </c>
      <c r="X398" s="63" t="n">
        <f aca="false">IFERROR(N398/W398,0)</f>
        <v>0</v>
      </c>
      <c r="Y398" s="68"/>
      <c r="Z398" s="57"/>
      <c r="AA398" s="69" t="str">
        <f aca="false">IF(OR(U398="",Y398="",Z398=""),"",IF(AND(U398&gt;Y398,-U398&lt;Z398),"Ok","Not Ok"))</f>
        <v/>
      </c>
      <c r="AB398" s="70"/>
    </row>
    <row r="399" customFormat="false" ht="12.8" hidden="false" customHeight="false" outlineLevel="0" collapsed="false">
      <c r="A399" s="48" t="n">
        <f aca="false">TB_audited!A382</f>
        <v>0</v>
      </c>
      <c r="B399" s="49"/>
      <c r="C399" s="50"/>
      <c r="D399" s="51" t="n">
        <f aca="false">TB_audited!B382</f>
        <v>0</v>
      </c>
      <c r="E399" s="52" t="n">
        <f aca="false">TB_audited!C382</f>
        <v>0</v>
      </c>
      <c r="F399" s="53" t="n">
        <f aca="false">TB_audited!D382</f>
        <v>0</v>
      </c>
      <c r="G399" s="54" t="n">
        <f aca="false">IF($D$8="Interim",TB_audited!G382,TB_audited!E382)</f>
        <v>0</v>
      </c>
      <c r="H399" s="55" t="str">
        <f aca="false">IFERROR(VLOOKUP($A399,RA_result!$B$3:$N$62,11,0),"")</f>
        <v/>
      </c>
      <c r="I399" s="55" t="str">
        <f aca="false">IFERROR(VLOOKUP($A399,RA_result!$B$3:$N$62,12,0),"")</f>
        <v/>
      </c>
      <c r="J399" s="55" t="str">
        <f aca="false">IFERROR(VLOOKUP($A399,RA_result!$B$3:$N$62,13,0),"")</f>
        <v/>
      </c>
      <c r="K399" s="56"/>
      <c r="L399" s="56"/>
      <c r="M399" s="57" t="n">
        <f aca="false">G399</f>
        <v>0</v>
      </c>
      <c r="N399" s="54" t="n">
        <f aca="false">G399-M399</f>
        <v>0</v>
      </c>
      <c r="O399" s="55" t="str">
        <f aca="false">IFERROR(VLOOKUP($A399,RA_result!$B$3:$N$62,7,0),"")</f>
        <v/>
      </c>
      <c r="P399" s="52" t="str">
        <f aca="false">IFERROR(VLOOKUP($A399,RA_result!$B$3:$N$62,9,0),"")</f>
        <v/>
      </c>
      <c r="Q399" s="52" t="str">
        <f aca="false">IFERROR(VLOOKUP($A399,RA_result!$B$3:$N$62,10,0),"")</f>
        <v/>
      </c>
      <c r="R399" s="58" t="s">
        <v>55</v>
      </c>
      <c r="S399" s="59" t="str">
        <f aca="false">IFERROR(VLOOKUP($A399,RA_result!$B$3:$N$62,4,0),"")</f>
        <v/>
      </c>
      <c r="T399" s="60" t="s">
        <v>56</v>
      </c>
      <c r="U399" s="59" t="str">
        <f aca="false">IFERROR(IF(VLOOKUP($A399,RA_result!$B$3:$N$62,6,0)="",S399*T399,VLOOKUP($A399,RA_result!$B$3:$N$62,6,0)),"")</f>
        <v/>
      </c>
      <c r="V399" s="61" t="s">
        <v>56</v>
      </c>
      <c r="W399" s="62" t="n">
        <f aca="false">IFERROR((S399*30%)/V399,0)</f>
        <v>0</v>
      </c>
      <c r="X399" s="63" t="n">
        <f aca="false">IFERROR(N399/W399,0)</f>
        <v>0</v>
      </c>
      <c r="Y399" s="68"/>
      <c r="Z399" s="57"/>
      <c r="AA399" s="69" t="str">
        <f aca="false">IF(OR(U399="",Y399="",Z399=""),"",IF(AND(U399&gt;Y399,-U399&lt;Z399),"Ok","Not Ok"))</f>
        <v/>
      </c>
      <c r="AB399" s="70"/>
    </row>
    <row r="400" customFormat="false" ht="12.8" hidden="false" customHeight="false" outlineLevel="0" collapsed="false">
      <c r="A400" s="48" t="n">
        <f aca="false">TB_audited!A383</f>
        <v>0</v>
      </c>
      <c r="B400" s="49"/>
      <c r="C400" s="50"/>
      <c r="D400" s="51" t="n">
        <f aca="false">TB_audited!B383</f>
        <v>0</v>
      </c>
      <c r="E400" s="52" t="n">
        <f aca="false">TB_audited!C383</f>
        <v>0</v>
      </c>
      <c r="F400" s="53" t="n">
        <f aca="false">TB_audited!D383</f>
        <v>0</v>
      </c>
      <c r="G400" s="54" t="n">
        <f aca="false">IF($D$8="Interim",TB_audited!G383,TB_audited!E383)</f>
        <v>0</v>
      </c>
      <c r="H400" s="55" t="str">
        <f aca="false">IFERROR(VLOOKUP($A400,RA_result!$B$3:$N$62,11,0),"")</f>
        <v/>
      </c>
      <c r="I400" s="55" t="str">
        <f aca="false">IFERROR(VLOOKUP($A400,RA_result!$B$3:$N$62,12,0),"")</f>
        <v/>
      </c>
      <c r="J400" s="55" t="str">
        <f aca="false">IFERROR(VLOOKUP($A400,RA_result!$B$3:$N$62,13,0),"")</f>
        <v/>
      </c>
      <c r="K400" s="56"/>
      <c r="L400" s="56"/>
      <c r="M400" s="57" t="n">
        <f aca="false">G400</f>
        <v>0</v>
      </c>
      <c r="N400" s="54" t="n">
        <f aca="false">G400-M400</f>
        <v>0</v>
      </c>
      <c r="O400" s="55" t="str">
        <f aca="false">IFERROR(VLOOKUP($A400,RA_result!$B$3:$N$62,7,0),"")</f>
        <v/>
      </c>
      <c r="P400" s="52" t="str">
        <f aca="false">IFERROR(VLOOKUP($A400,RA_result!$B$3:$N$62,9,0),"")</f>
        <v/>
      </c>
      <c r="Q400" s="52" t="str">
        <f aca="false">IFERROR(VLOOKUP($A400,RA_result!$B$3:$N$62,10,0),"")</f>
        <v/>
      </c>
      <c r="R400" s="58" t="s">
        <v>55</v>
      </c>
      <c r="S400" s="59" t="str">
        <f aca="false">IFERROR(VLOOKUP($A400,RA_result!$B$3:$N$62,4,0),"")</f>
        <v/>
      </c>
      <c r="T400" s="60" t="s">
        <v>56</v>
      </c>
      <c r="U400" s="59" t="str">
        <f aca="false">IFERROR(IF(VLOOKUP($A400,RA_result!$B$3:$N$62,6,0)="",S400*T400,VLOOKUP($A400,RA_result!$B$3:$N$62,6,0)),"")</f>
        <v/>
      </c>
      <c r="V400" s="61" t="s">
        <v>56</v>
      </c>
      <c r="W400" s="62" t="n">
        <f aca="false">IFERROR((S400*30%)/V400,0)</f>
        <v>0</v>
      </c>
      <c r="X400" s="63" t="n">
        <f aca="false">IFERROR(N400/W400,0)</f>
        <v>0</v>
      </c>
      <c r="Y400" s="68"/>
      <c r="Z400" s="57"/>
      <c r="AA400" s="69" t="str">
        <f aca="false">IF(OR(U400="",Y400="",Z400=""),"",IF(AND(U400&gt;Y400,-U400&lt;Z400),"Ok","Not Ok"))</f>
        <v/>
      </c>
      <c r="AB400" s="70"/>
    </row>
    <row r="401" customFormat="false" ht="12.8" hidden="false" customHeight="false" outlineLevel="0" collapsed="false">
      <c r="A401" s="48" t="n">
        <f aca="false">TB_audited!A384</f>
        <v>0</v>
      </c>
      <c r="B401" s="49"/>
      <c r="C401" s="50"/>
      <c r="D401" s="51" t="n">
        <f aca="false">TB_audited!B384</f>
        <v>0</v>
      </c>
      <c r="E401" s="52" t="n">
        <f aca="false">TB_audited!C384</f>
        <v>0</v>
      </c>
      <c r="F401" s="53" t="n">
        <f aca="false">TB_audited!D384</f>
        <v>0</v>
      </c>
      <c r="G401" s="54" t="n">
        <f aca="false">IF($D$8="Interim",TB_audited!G384,TB_audited!E384)</f>
        <v>0</v>
      </c>
      <c r="H401" s="55" t="str">
        <f aca="false">IFERROR(VLOOKUP($A401,RA_result!$B$3:$N$62,11,0),"")</f>
        <v/>
      </c>
      <c r="I401" s="55" t="str">
        <f aca="false">IFERROR(VLOOKUP($A401,RA_result!$B$3:$N$62,12,0),"")</f>
        <v/>
      </c>
      <c r="J401" s="55" t="str">
        <f aca="false">IFERROR(VLOOKUP($A401,RA_result!$B$3:$N$62,13,0),"")</f>
        <v/>
      </c>
      <c r="K401" s="56"/>
      <c r="L401" s="56"/>
      <c r="M401" s="57" t="n">
        <f aca="false">G401</f>
        <v>0</v>
      </c>
      <c r="N401" s="54" t="n">
        <f aca="false">G401-M401</f>
        <v>0</v>
      </c>
      <c r="O401" s="55" t="str">
        <f aca="false">IFERROR(VLOOKUP($A401,RA_result!$B$3:$N$62,7,0),"")</f>
        <v/>
      </c>
      <c r="P401" s="52" t="str">
        <f aca="false">IFERROR(VLOOKUP($A401,RA_result!$B$3:$N$62,9,0),"")</f>
        <v/>
      </c>
      <c r="Q401" s="52" t="str">
        <f aca="false">IFERROR(VLOOKUP($A401,RA_result!$B$3:$N$62,10,0),"")</f>
        <v/>
      </c>
      <c r="R401" s="58" t="s">
        <v>55</v>
      </c>
      <c r="S401" s="59" t="str">
        <f aca="false">IFERROR(VLOOKUP($A401,RA_result!$B$3:$N$62,4,0),"")</f>
        <v/>
      </c>
      <c r="T401" s="60" t="s">
        <v>56</v>
      </c>
      <c r="U401" s="59" t="str">
        <f aca="false">IFERROR(IF(VLOOKUP($A401,RA_result!$B$3:$N$62,6,0)="",S401*T401,VLOOKUP($A401,RA_result!$B$3:$N$62,6,0)),"")</f>
        <v/>
      </c>
      <c r="V401" s="61" t="s">
        <v>56</v>
      </c>
      <c r="W401" s="62" t="n">
        <f aca="false">IFERROR((S401*30%)/V401,0)</f>
        <v>0</v>
      </c>
      <c r="X401" s="63" t="n">
        <f aca="false">IFERROR(N401/W401,0)</f>
        <v>0</v>
      </c>
      <c r="Y401" s="68"/>
      <c r="Z401" s="57"/>
      <c r="AA401" s="69" t="str">
        <f aca="false">IF(OR(U401="",Y401="",Z401=""),"",IF(AND(U401&gt;Y401,-U401&lt;Z401),"Ok","Not Ok"))</f>
        <v/>
      </c>
      <c r="AB401" s="70"/>
    </row>
    <row r="402" customFormat="false" ht="12.8" hidden="false" customHeight="false" outlineLevel="0" collapsed="false">
      <c r="A402" s="48" t="n">
        <f aca="false">TB_audited!A385</f>
        <v>0</v>
      </c>
      <c r="B402" s="49"/>
      <c r="C402" s="50"/>
      <c r="D402" s="51" t="n">
        <f aca="false">TB_audited!B385</f>
        <v>0</v>
      </c>
      <c r="E402" s="52" t="n">
        <f aca="false">TB_audited!C385</f>
        <v>0</v>
      </c>
      <c r="F402" s="53" t="n">
        <f aca="false">TB_audited!D385</f>
        <v>0</v>
      </c>
      <c r="G402" s="54" t="n">
        <f aca="false">IF($D$8="Interim",TB_audited!G385,TB_audited!E385)</f>
        <v>0</v>
      </c>
      <c r="H402" s="55" t="str">
        <f aca="false">IFERROR(VLOOKUP($A402,RA_result!$B$3:$N$62,11,0),"")</f>
        <v/>
      </c>
      <c r="I402" s="55" t="str">
        <f aca="false">IFERROR(VLOOKUP($A402,RA_result!$B$3:$N$62,12,0),"")</f>
        <v/>
      </c>
      <c r="J402" s="55" t="str">
        <f aca="false">IFERROR(VLOOKUP($A402,RA_result!$B$3:$N$62,13,0),"")</f>
        <v/>
      </c>
      <c r="K402" s="56"/>
      <c r="L402" s="56"/>
      <c r="M402" s="57" t="n">
        <f aca="false">G402</f>
        <v>0</v>
      </c>
      <c r="N402" s="54" t="n">
        <f aca="false">G402-M402</f>
        <v>0</v>
      </c>
      <c r="O402" s="55" t="str">
        <f aca="false">IFERROR(VLOOKUP($A402,RA_result!$B$3:$N$62,7,0),"")</f>
        <v/>
      </c>
      <c r="P402" s="52" t="str">
        <f aca="false">IFERROR(VLOOKUP($A402,RA_result!$B$3:$N$62,9,0),"")</f>
        <v/>
      </c>
      <c r="Q402" s="52" t="str">
        <f aca="false">IFERROR(VLOOKUP($A402,RA_result!$B$3:$N$62,10,0),"")</f>
        <v/>
      </c>
      <c r="R402" s="58" t="s">
        <v>55</v>
      </c>
      <c r="S402" s="59" t="str">
        <f aca="false">IFERROR(VLOOKUP($A402,RA_result!$B$3:$N$62,4,0),"")</f>
        <v/>
      </c>
      <c r="T402" s="60" t="s">
        <v>56</v>
      </c>
      <c r="U402" s="59" t="str">
        <f aca="false">IFERROR(IF(VLOOKUP($A402,RA_result!$B$3:$N$62,6,0)="",S402*T402,VLOOKUP($A402,RA_result!$B$3:$N$62,6,0)),"")</f>
        <v/>
      </c>
      <c r="V402" s="61" t="s">
        <v>56</v>
      </c>
      <c r="W402" s="62" t="n">
        <f aca="false">IFERROR((S402*30%)/V402,0)</f>
        <v>0</v>
      </c>
      <c r="X402" s="63" t="n">
        <f aca="false">IFERROR(N402/W402,0)</f>
        <v>0</v>
      </c>
      <c r="Y402" s="68"/>
      <c r="Z402" s="57"/>
      <c r="AA402" s="69" t="str">
        <f aca="false">IF(OR(U402="",Y402="",Z402=""),"",IF(AND(U402&gt;Y402,-U402&lt;Z402),"Ok","Not Ok"))</f>
        <v/>
      </c>
      <c r="AB402" s="70"/>
    </row>
    <row r="403" customFormat="false" ht="12.8" hidden="false" customHeight="false" outlineLevel="0" collapsed="false">
      <c r="A403" s="48" t="n">
        <f aca="false">TB_audited!A386</f>
        <v>0</v>
      </c>
      <c r="B403" s="49"/>
      <c r="C403" s="50"/>
      <c r="D403" s="51" t="n">
        <f aca="false">TB_audited!B386</f>
        <v>0</v>
      </c>
      <c r="E403" s="52" t="n">
        <f aca="false">TB_audited!C386</f>
        <v>0</v>
      </c>
      <c r="F403" s="53" t="n">
        <f aca="false">TB_audited!D386</f>
        <v>0</v>
      </c>
      <c r="G403" s="54" t="n">
        <f aca="false">IF($D$8="Interim",TB_audited!G386,TB_audited!E386)</f>
        <v>0</v>
      </c>
      <c r="H403" s="55" t="str">
        <f aca="false">IFERROR(VLOOKUP($A403,RA_result!$B$3:$N$62,11,0),"")</f>
        <v/>
      </c>
      <c r="I403" s="55" t="str">
        <f aca="false">IFERROR(VLOOKUP($A403,RA_result!$B$3:$N$62,12,0),"")</f>
        <v/>
      </c>
      <c r="J403" s="55" t="str">
        <f aca="false">IFERROR(VLOOKUP($A403,RA_result!$B$3:$N$62,13,0),"")</f>
        <v/>
      </c>
      <c r="K403" s="56"/>
      <c r="L403" s="56"/>
      <c r="M403" s="57" t="n">
        <f aca="false">G403</f>
        <v>0</v>
      </c>
      <c r="N403" s="54" t="n">
        <f aca="false">G403-M403</f>
        <v>0</v>
      </c>
      <c r="O403" s="55" t="str">
        <f aca="false">IFERROR(VLOOKUP($A403,RA_result!$B$3:$N$62,7,0),"")</f>
        <v/>
      </c>
      <c r="P403" s="52" t="str">
        <f aca="false">IFERROR(VLOOKUP($A403,RA_result!$B$3:$N$62,9,0),"")</f>
        <v/>
      </c>
      <c r="Q403" s="52" t="str">
        <f aca="false">IFERROR(VLOOKUP($A403,RA_result!$B$3:$N$62,10,0),"")</f>
        <v/>
      </c>
      <c r="R403" s="58" t="s">
        <v>55</v>
      </c>
      <c r="S403" s="59" t="str">
        <f aca="false">IFERROR(VLOOKUP($A403,RA_result!$B$3:$N$62,4,0),"")</f>
        <v/>
      </c>
      <c r="T403" s="60" t="s">
        <v>56</v>
      </c>
      <c r="U403" s="59" t="str">
        <f aca="false">IFERROR(IF(VLOOKUP($A403,RA_result!$B$3:$N$62,6,0)="",S403*T403,VLOOKUP($A403,RA_result!$B$3:$N$62,6,0)),"")</f>
        <v/>
      </c>
      <c r="V403" s="61" t="s">
        <v>56</v>
      </c>
      <c r="W403" s="62" t="n">
        <f aca="false">IFERROR((S403*30%)/V403,0)</f>
        <v>0</v>
      </c>
      <c r="X403" s="63" t="n">
        <f aca="false">IFERROR(N403/W403,0)</f>
        <v>0</v>
      </c>
      <c r="Y403" s="68"/>
      <c r="Z403" s="57"/>
      <c r="AA403" s="69" t="str">
        <f aca="false">IF(OR(U403="",Y403="",Z403=""),"",IF(AND(U403&gt;Y403,-U403&lt;Z403),"Ok","Not Ok"))</f>
        <v/>
      </c>
      <c r="AB403" s="70"/>
    </row>
    <row r="404" customFormat="false" ht="12.8" hidden="false" customHeight="false" outlineLevel="0" collapsed="false">
      <c r="A404" s="48" t="n">
        <f aca="false">TB_audited!A387</f>
        <v>0</v>
      </c>
      <c r="B404" s="49"/>
      <c r="C404" s="50"/>
      <c r="D404" s="51" t="n">
        <f aca="false">TB_audited!B387</f>
        <v>0</v>
      </c>
      <c r="E404" s="52" t="n">
        <f aca="false">TB_audited!C387</f>
        <v>0</v>
      </c>
      <c r="F404" s="53" t="n">
        <f aca="false">TB_audited!D387</f>
        <v>0</v>
      </c>
      <c r="G404" s="54" t="n">
        <f aca="false">IF($D$8="Interim",TB_audited!G387,TB_audited!E387)</f>
        <v>0</v>
      </c>
      <c r="H404" s="55" t="str">
        <f aca="false">IFERROR(VLOOKUP($A404,RA_result!$B$3:$N$62,11,0),"")</f>
        <v/>
      </c>
      <c r="I404" s="55" t="str">
        <f aca="false">IFERROR(VLOOKUP($A404,RA_result!$B$3:$N$62,12,0),"")</f>
        <v/>
      </c>
      <c r="J404" s="55" t="str">
        <f aca="false">IFERROR(VLOOKUP($A404,RA_result!$B$3:$N$62,13,0),"")</f>
        <v/>
      </c>
      <c r="K404" s="56"/>
      <c r="L404" s="56"/>
      <c r="M404" s="57" t="n">
        <f aca="false">G404</f>
        <v>0</v>
      </c>
      <c r="N404" s="54" t="n">
        <f aca="false">G404-M404</f>
        <v>0</v>
      </c>
      <c r="O404" s="55" t="str">
        <f aca="false">IFERROR(VLOOKUP($A404,RA_result!$B$3:$N$62,7,0),"")</f>
        <v/>
      </c>
      <c r="P404" s="52" t="str">
        <f aca="false">IFERROR(VLOOKUP($A404,RA_result!$B$3:$N$62,9,0),"")</f>
        <v/>
      </c>
      <c r="Q404" s="52" t="str">
        <f aca="false">IFERROR(VLOOKUP($A404,RA_result!$B$3:$N$62,10,0),"")</f>
        <v/>
      </c>
      <c r="R404" s="58" t="s">
        <v>55</v>
      </c>
      <c r="S404" s="59" t="str">
        <f aca="false">IFERROR(VLOOKUP($A404,RA_result!$B$3:$N$62,4,0),"")</f>
        <v/>
      </c>
      <c r="T404" s="60" t="s">
        <v>56</v>
      </c>
      <c r="U404" s="59" t="str">
        <f aca="false">IFERROR(IF(VLOOKUP($A404,RA_result!$B$3:$N$62,6,0)="",S404*T404,VLOOKUP($A404,RA_result!$B$3:$N$62,6,0)),"")</f>
        <v/>
      </c>
      <c r="V404" s="61" t="s">
        <v>56</v>
      </c>
      <c r="W404" s="62" t="n">
        <f aca="false">IFERROR((S404*30%)/V404,0)</f>
        <v>0</v>
      </c>
      <c r="X404" s="63" t="n">
        <f aca="false">IFERROR(N404/W404,0)</f>
        <v>0</v>
      </c>
      <c r="Y404" s="68"/>
      <c r="Z404" s="57"/>
      <c r="AA404" s="69" t="str">
        <f aca="false">IF(OR(U404="",Y404="",Z404=""),"",IF(AND(U404&gt;Y404,-U404&lt;Z404),"Ok","Not Ok"))</f>
        <v/>
      </c>
      <c r="AB404" s="70"/>
    </row>
    <row r="405" customFormat="false" ht="12.8" hidden="false" customHeight="false" outlineLevel="0" collapsed="false">
      <c r="A405" s="48" t="n">
        <f aca="false">TB_audited!A388</f>
        <v>0</v>
      </c>
      <c r="B405" s="49"/>
      <c r="C405" s="50"/>
      <c r="D405" s="51" t="n">
        <f aca="false">TB_audited!B388</f>
        <v>0</v>
      </c>
      <c r="E405" s="52" t="n">
        <f aca="false">TB_audited!C388</f>
        <v>0</v>
      </c>
      <c r="F405" s="53" t="n">
        <f aca="false">TB_audited!D388</f>
        <v>0</v>
      </c>
      <c r="G405" s="54" t="n">
        <f aca="false">IF($D$8="Interim",TB_audited!G388,TB_audited!E388)</f>
        <v>0</v>
      </c>
      <c r="H405" s="55" t="str">
        <f aca="false">IFERROR(VLOOKUP($A405,RA_result!$B$3:$N$62,11,0),"")</f>
        <v/>
      </c>
      <c r="I405" s="55" t="str">
        <f aca="false">IFERROR(VLOOKUP($A405,RA_result!$B$3:$N$62,12,0),"")</f>
        <v/>
      </c>
      <c r="J405" s="55" t="str">
        <f aca="false">IFERROR(VLOOKUP($A405,RA_result!$B$3:$N$62,13,0),"")</f>
        <v/>
      </c>
      <c r="K405" s="56"/>
      <c r="L405" s="56"/>
      <c r="M405" s="57" t="n">
        <f aca="false">G405</f>
        <v>0</v>
      </c>
      <c r="N405" s="54" t="n">
        <f aca="false">G405-M405</f>
        <v>0</v>
      </c>
      <c r="O405" s="55" t="str">
        <f aca="false">IFERROR(VLOOKUP($A405,RA_result!$B$3:$N$62,7,0),"")</f>
        <v/>
      </c>
      <c r="P405" s="52" t="str">
        <f aca="false">IFERROR(VLOOKUP($A405,RA_result!$B$3:$N$62,9,0),"")</f>
        <v/>
      </c>
      <c r="Q405" s="52" t="str">
        <f aca="false">IFERROR(VLOOKUP($A405,RA_result!$B$3:$N$62,10,0),"")</f>
        <v/>
      </c>
      <c r="R405" s="58" t="s">
        <v>55</v>
      </c>
      <c r="S405" s="59" t="str">
        <f aca="false">IFERROR(VLOOKUP($A405,RA_result!$B$3:$N$62,4,0),"")</f>
        <v/>
      </c>
      <c r="T405" s="60" t="s">
        <v>56</v>
      </c>
      <c r="U405" s="59" t="str">
        <f aca="false">IFERROR(IF(VLOOKUP($A405,RA_result!$B$3:$N$62,6,0)="",S405*T405,VLOOKUP($A405,RA_result!$B$3:$N$62,6,0)),"")</f>
        <v/>
      </c>
      <c r="V405" s="61" t="s">
        <v>56</v>
      </c>
      <c r="W405" s="62" t="n">
        <f aca="false">IFERROR((S405*30%)/V405,0)</f>
        <v>0</v>
      </c>
      <c r="X405" s="63" t="n">
        <f aca="false">IFERROR(N405/W405,0)</f>
        <v>0</v>
      </c>
      <c r="Y405" s="68"/>
      <c r="Z405" s="57"/>
      <c r="AA405" s="69" t="str">
        <f aca="false">IF(OR(U405="",Y405="",Z405=""),"",IF(AND(U405&gt;Y405,-U405&lt;Z405),"Ok","Not Ok"))</f>
        <v/>
      </c>
      <c r="AB405" s="70"/>
    </row>
    <row r="406" customFormat="false" ht="12.8" hidden="false" customHeight="false" outlineLevel="0" collapsed="false">
      <c r="A406" s="48" t="n">
        <f aca="false">TB_audited!A389</f>
        <v>0</v>
      </c>
      <c r="B406" s="49"/>
      <c r="C406" s="50"/>
      <c r="D406" s="51" t="n">
        <f aca="false">TB_audited!B389</f>
        <v>0</v>
      </c>
      <c r="E406" s="52" t="n">
        <f aca="false">TB_audited!C389</f>
        <v>0</v>
      </c>
      <c r="F406" s="53" t="n">
        <f aca="false">TB_audited!D389</f>
        <v>0</v>
      </c>
      <c r="G406" s="54" t="n">
        <f aca="false">IF($D$8="Interim",TB_audited!G389,TB_audited!E389)</f>
        <v>0</v>
      </c>
      <c r="H406" s="55" t="str">
        <f aca="false">IFERROR(VLOOKUP($A406,RA_result!$B$3:$N$62,11,0),"")</f>
        <v/>
      </c>
      <c r="I406" s="55" t="str">
        <f aca="false">IFERROR(VLOOKUP($A406,RA_result!$B$3:$N$62,12,0),"")</f>
        <v/>
      </c>
      <c r="J406" s="55" t="str">
        <f aca="false">IFERROR(VLOOKUP($A406,RA_result!$B$3:$N$62,13,0),"")</f>
        <v/>
      </c>
      <c r="K406" s="56"/>
      <c r="L406" s="56"/>
      <c r="M406" s="57" t="n">
        <f aca="false">G406</f>
        <v>0</v>
      </c>
      <c r="N406" s="54" t="n">
        <f aca="false">G406-M406</f>
        <v>0</v>
      </c>
      <c r="O406" s="55" t="str">
        <f aca="false">IFERROR(VLOOKUP($A406,RA_result!$B$3:$N$62,7,0),"")</f>
        <v/>
      </c>
      <c r="P406" s="52" t="str">
        <f aca="false">IFERROR(VLOOKUP($A406,RA_result!$B$3:$N$62,9,0),"")</f>
        <v/>
      </c>
      <c r="Q406" s="52" t="str">
        <f aca="false">IFERROR(VLOOKUP($A406,RA_result!$B$3:$N$62,10,0),"")</f>
        <v/>
      </c>
      <c r="R406" s="58" t="s">
        <v>55</v>
      </c>
      <c r="S406" s="59" t="str">
        <f aca="false">IFERROR(VLOOKUP($A406,RA_result!$B$3:$N$62,4,0),"")</f>
        <v/>
      </c>
      <c r="T406" s="60" t="s">
        <v>56</v>
      </c>
      <c r="U406" s="59" t="str">
        <f aca="false">IFERROR(IF(VLOOKUP($A406,RA_result!$B$3:$N$62,6,0)="",S406*T406,VLOOKUP($A406,RA_result!$B$3:$N$62,6,0)),"")</f>
        <v/>
      </c>
      <c r="V406" s="61" t="s">
        <v>56</v>
      </c>
      <c r="W406" s="62" t="n">
        <f aca="false">IFERROR((S406*30%)/V406,0)</f>
        <v>0</v>
      </c>
      <c r="X406" s="63" t="n">
        <f aca="false">IFERROR(N406/W406,0)</f>
        <v>0</v>
      </c>
      <c r="Y406" s="68"/>
      <c r="Z406" s="57"/>
      <c r="AA406" s="69" t="str">
        <f aca="false">IF(OR(U406="",Y406="",Z406=""),"",IF(AND(U406&gt;Y406,-U406&lt;Z406),"Ok","Not Ok"))</f>
        <v/>
      </c>
      <c r="AB406" s="70"/>
    </row>
    <row r="407" customFormat="false" ht="12.8" hidden="false" customHeight="false" outlineLevel="0" collapsed="false">
      <c r="A407" s="48" t="n">
        <f aca="false">TB_audited!A390</f>
        <v>0</v>
      </c>
      <c r="B407" s="49"/>
      <c r="C407" s="50"/>
      <c r="D407" s="51" t="n">
        <f aca="false">TB_audited!B390</f>
        <v>0</v>
      </c>
      <c r="E407" s="52" t="n">
        <f aca="false">TB_audited!C390</f>
        <v>0</v>
      </c>
      <c r="F407" s="53" t="n">
        <f aca="false">TB_audited!D390</f>
        <v>0</v>
      </c>
      <c r="G407" s="54" t="n">
        <f aca="false">IF($D$8="Interim",TB_audited!G390,TB_audited!E390)</f>
        <v>0</v>
      </c>
      <c r="H407" s="55" t="str">
        <f aca="false">IFERROR(VLOOKUP($A407,RA_result!$B$3:$N$62,11,0),"")</f>
        <v/>
      </c>
      <c r="I407" s="55" t="str">
        <f aca="false">IFERROR(VLOOKUP($A407,RA_result!$B$3:$N$62,12,0),"")</f>
        <v/>
      </c>
      <c r="J407" s="55" t="str">
        <f aca="false">IFERROR(VLOOKUP($A407,RA_result!$B$3:$N$62,13,0),"")</f>
        <v/>
      </c>
      <c r="K407" s="56"/>
      <c r="L407" s="56"/>
      <c r="M407" s="57" t="n">
        <f aca="false">G407</f>
        <v>0</v>
      </c>
      <c r="N407" s="54" t="n">
        <f aca="false">G407-M407</f>
        <v>0</v>
      </c>
      <c r="O407" s="55" t="str">
        <f aca="false">IFERROR(VLOOKUP($A407,RA_result!$B$3:$N$62,7,0),"")</f>
        <v/>
      </c>
      <c r="P407" s="52" t="str">
        <f aca="false">IFERROR(VLOOKUP($A407,RA_result!$B$3:$N$62,9,0),"")</f>
        <v/>
      </c>
      <c r="Q407" s="52" t="str">
        <f aca="false">IFERROR(VLOOKUP($A407,RA_result!$B$3:$N$62,10,0),"")</f>
        <v/>
      </c>
      <c r="R407" s="58" t="s">
        <v>55</v>
      </c>
      <c r="S407" s="59" t="str">
        <f aca="false">IFERROR(VLOOKUP($A407,RA_result!$B$3:$N$62,4,0),"")</f>
        <v/>
      </c>
      <c r="T407" s="60" t="s">
        <v>56</v>
      </c>
      <c r="U407" s="59" t="str">
        <f aca="false">IFERROR(IF(VLOOKUP($A407,RA_result!$B$3:$N$62,6,0)="",S407*T407,VLOOKUP($A407,RA_result!$B$3:$N$62,6,0)),"")</f>
        <v/>
      </c>
      <c r="V407" s="61" t="s">
        <v>56</v>
      </c>
      <c r="W407" s="62" t="n">
        <f aca="false">IFERROR((S407*30%)/V407,0)</f>
        <v>0</v>
      </c>
      <c r="X407" s="63" t="n">
        <f aca="false">IFERROR(N407/W407,0)</f>
        <v>0</v>
      </c>
      <c r="Y407" s="68"/>
      <c r="Z407" s="57"/>
      <c r="AA407" s="69" t="str">
        <f aca="false">IF(OR(U407="",Y407="",Z407=""),"",IF(AND(U407&gt;Y407,-U407&lt;Z407),"Ok","Not Ok"))</f>
        <v/>
      </c>
      <c r="AB407" s="70"/>
    </row>
    <row r="408" customFormat="false" ht="12.8" hidden="false" customHeight="false" outlineLevel="0" collapsed="false">
      <c r="A408" s="48" t="n">
        <f aca="false">TB_audited!A391</f>
        <v>0</v>
      </c>
      <c r="B408" s="49"/>
      <c r="C408" s="50"/>
      <c r="D408" s="51" t="n">
        <f aca="false">TB_audited!B391</f>
        <v>0</v>
      </c>
      <c r="E408" s="52" t="n">
        <f aca="false">TB_audited!C391</f>
        <v>0</v>
      </c>
      <c r="F408" s="53" t="n">
        <f aca="false">TB_audited!D391</f>
        <v>0</v>
      </c>
      <c r="G408" s="54" t="n">
        <f aca="false">IF($D$8="Interim",TB_audited!G391,TB_audited!E391)</f>
        <v>0</v>
      </c>
      <c r="H408" s="55" t="str">
        <f aca="false">IFERROR(VLOOKUP($A408,RA_result!$B$3:$N$62,11,0),"")</f>
        <v/>
      </c>
      <c r="I408" s="55" t="str">
        <f aca="false">IFERROR(VLOOKUP($A408,RA_result!$B$3:$N$62,12,0),"")</f>
        <v/>
      </c>
      <c r="J408" s="55" t="str">
        <f aca="false">IFERROR(VLOOKUP($A408,RA_result!$B$3:$N$62,13,0),"")</f>
        <v/>
      </c>
      <c r="K408" s="56"/>
      <c r="L408" s="56"/>
      <c r="M408" s="57" t="n">
        <f aca="false">G408</f>
        <v>0</v>
      </c>
      <c r="N408" s="54" t="n">
        <f aca="false">G408-M408</f>
        <v>0</v>
      </c>
      <c r="O408" s="55" t="str">
        <f aca="false">IFERROR(VLOOKUP($A408,RA_result!$B$3:$N$62,7,0),"")</f>
        <v/>
      </c>
      <c r="P408" s="52" t="str">
        <f aca="false">IFERROR(VLOOKUP($A408,RA_result!$B$3:$N$62,9,0),"")</f>
        <v/>
      </c>
      <c r="Q408" s="52" t="str">
        <f aca="false">IFERROR(VLOOKUP($A408,RA_result!$B$3:$N$62,10,0),"")</f>
        <v/>
      </c>
      <c r="R408" s="58" t="s">
        <v>55</v>
      </c>
      <c r="S408" s="59" t="str">
        <f aca="false">IFERROR(VLOOKUP($A408,RA_result!$B$3:$N$62,4,0),"")</f>
        <v/>
      </c>
      <c r="T408" s="60" t="s">
        <v>56</v>
      </c>
      <c r="U408" s="59" t="str">
        <f aca="false">IFERROR(IF(VLOOKUP($A408,RA_result!$B$3:$N$62,6,0)="",S408*T408,VLOOKUP($A408,RA_result!$B$3:$N$62,6,0)),"")</f>
        <v/>
      </c>
      <c r="V408" s="61" t="s">
        <v>56</v>
      </c>
      <c r="W408" s="62" t="n">
        <f aca="false">IFERROR((S408*30%)/V408,0)</f>
        <v>0</v>
      </c>
      <c r="X408" s="63" t="n">
        <f aca="false">IFERROR(N408/W408,0)</f>
        <v>0</v>
      </c>
      <c r="Y408" s="68"/>
      <c r="Z408" s="57"/>
      <c r="AA408" s="69" t="str">
        <f aca="false">IF(OR(U408="",Y408="",Z408=""),"",IF(AND(U408&gt;Y408,-U408&lt;Z408),"Ok","Not Ok"))</f>
        <v/>
      </c>
      <c r="AB408" s="70"/>
    </row>
    <row r="409" customFormat="false" ht="12.8" hidden="false" customHeight="false" outlineLevel="0" collapsed="false">
      <c r="A409" s="48" t="n">
        <f aca="false">TB_audited!A392</f>
        <v>0</v>
      </c>
      <c r="B409" s="49"/>
      <c r="C409" s="50"/>
      <c r="D409" s="51" t="n">
        <f aca="false">TB_audited!B392</f>
        <v>0</v>
      </c>
      <c r="E409" s="52" t="n">
        <f aca="false">TB_audited!C392</f>
        <v>0</v>
      </c>
      <c r="F409" s="53" t="n">
        <f aca="false">TB_audited!D392</f>
        <v>0</v>
      </c>
      <c r="G409" s="54" t="n">
        <f aca="false">IF($D$8="Interim",TB_audited!G392,TB_audited!E392)</f>
        <v>0</v>
      </c>
      <c r="H409" s="55" t="str">
        <f aca="false">IFERROR(VLOOKUP($A409,RA_result!$B$3:$N$62,11,0),"")</f>
        <v/>
      </c>
      <c r="I409" s="55" t="str">
        <f aca="false">IFERROR(VLOOKUP($A409,RA_result!$B$3:$N$62,12,0),"")</f>
        <v/>
      </c>
      <c r="J409" s="55" t="str">
        <f aca="false">IFERROR(VLOOKUP($A409,RA_result!$B$3:$N$62,13,0),"")</f>
        <v/>
      </c>
      <c r="K409" s="56"/>
      <c r="L409" s="56"/>
      <c r="M409" s="57" t="n">
        <f aca="false">G409</f>
        <v>0</v>
      </c>
      <c r="N409" s="54" t="n">
        <f aca="false">G409-M409</f>
        <v>0</v>
      </c>
      <c r="O409" s="55" t="str">
        <f aca="false">IFERROR(VLOOKUP($A409,RA_result!$B$3:$N$62,7,0),"")</f>
        <v/>
      </c>
      <c r="P409" s="52" t="str">
        <f aca="false">IFERROR(VLOOKUP($A409,RA_result!$B$3:$N$62,9,0),"")</f>
        <v/>
      </c>
      <c r="Q409" s="52" t="str">
        <f aca="false">IFERROR(VLOOKUP($A409,RA_result!$B$3:$N$62,10,0),"")</f>
        <v/>
      </c>
      <c r="R409" s="58" t="s">
        <v>55</v>
      </c>
      <c r="S409" s="59" t="str">
        <f aca="false">IFERROR(VLOOKUP($A409,RA_result!$B$3:$N$62,4,0),"")</f>
        <v/>
      </c>
      <c r="T409" s="60" t="s">
        <v>56</v>
      </c>
      <c r="U409" s="59" t="str">
        <f aca="false">IFERROR(IF(VLOOKUP($A409,RA_result!$B$3:$N$62,6,0)="",S409*T409,VLOOKUP($A409,RA_result!$B$3:$N$62,6,0)),"")</f>
        <v/>
      </c>
      <c r="V409" s="61" t="s">
        <v>56</v>
      </c>
      <c r="W409" s="62" t="n">
        <f aca="false">IFERROR((S409*30%)/V409,0)</f>
        <v>0</v>
      </c>
      <c r="X409" s="63" t="n">
        <f aca="false">IFERROR(N409/W409,0)</f>
        <v>0</v>
      </c>
      <c r="Y409" s="68"/>
      <c r="Z409" s="57"/>
      <c r="AA409" s="69" t="str">
        <f aca="false">IF(OR(U409="",Y409="",Z409=""),"",IF(AND(U409&gt;Y409,-U409&lt;Z409),"Ok","Not Ok"))</f>
        <v/>
      </c>
      <c r="AB409" s="70"/>
    </row>
    <row r="410" customFormat="false" ht="12.8" hidden="false" customHeight="false" outlineLevel="0" collapsed="false">
      <c r="A410" s="48" t="n">
        <f aca="false">TB_audited!A393</f>
        <v>0</v>
      </c>
      <c r="B410" s="49"/>
      <c r="C410" s="50"/>
      <c r="D410" s="51" t="n">
        <f aca="false">TB_audited!B393</f>
        <v>0</v>
      </c>
      <c r="E410" s="52" t="n">
        <f aca="false">TB_audited!C393</f>
        <v>0</v>
      </c>
      <c r="F410" s="53" t="n">
        <f aca="false">TB_audited!D393</f>
        <v>0</v>
      </c>
      <c r="G410" s="54" t="n">
        <f aca="false">IF($D$8="Interim",TB_audited!G393,TB_audited!E393)</f>
        <v>0</v>
      </c>
      <c r="H410" s="55" t="str">
        <f aca="false">IFERROR(VLOOKUP($A410,RA_result!$B$3:$N$62,11,0),"")</f>
        <v/>
      </c>
      <c r="I410" s="55" t="str">
        <f aca="false">IFERROR(VLOOKUP($A410,RA_result!$B$3:$N$62,12,0),"")</f>
        <v/>
      </c>
      <c r="J410" s="55" t="str">
        <f aca="false">IFERROR(VLOOKUP($A410,RA_result!$B$3:$N$62,13,0),"")</f>
        <v/>
      </c>
      <c r="K410" s="56"/>
      <c r="L410" s="56"/>
      <c r="M410" s="57" t="n">
        <f aca="false">G410</f>
        <v>0</v>
      </c>
      <c r="N410" s="54" t="n">
        <f aca="false">G410-M410</f>
        <v>0</v>
      </c>
      <c r="O410" s="55" t="str">
        <f aca="false">IFERROR(VLOOKUP($A410,RA_result!$B$3:$N$62,7,0),"")</f>
        <v/>
      </c>
      <c r="P410" s="52" t="str">
        <f aca="false">IFERROR(VLOOKUP($A410,RA_result!$B$3:$N$62,9,0),"")</f>
        <v/>
      </c>
      <c r="Q410" s="52" t="str">
        <f aca="false">IFERROR(VLOOKUP($A410,RA_result!$B$3:$N$62,10,0),"")</f>
        <v/>
      </c>
      <c r="R410" s="58" t="s">
        <v>55</v>
      </c>
      <c r="S410" s="59" t="str">
        <f aca="false">IFERROR(VLOOKUP($A410,RA_result!$B$3:$N$62,4,0),"")</f>
        <v/>
      </c>
      <c r="T410" s="60" t="s">
        <v>56</v>
      </c>
      <c r="U410" s="59" t="str">
        <f aca="false">IFERROR(IF(VLOOKUP($A410,RA_result!$B$3:$N$62,6,0)="",S410*T410,VLOOKUP($A410,RA_result!$B$3:$N$62,6,0)),"")</f>
        <v/>
      </c>
      <c r="V410" s="61" t="s">
        <v>56</v>
      </c>
      <c r="W410" s="62" t="n">
        <f aca="false">IFERROR((S410*30%)/V410,0)</f>
        <v>0</v>
      </c>
      <c r="X410" s="63" t="n">
        <f aca="false">IFERROR(N410/W410,0)</f>
        <v>0</v>
      </c>
      <c r="Y410" s="68"/>
      <c r="Z410" s="57"/>
      <c r="AA410" s="69" t="str">
        <f aca="false">IF(OR(U410="",Y410="",Z410=""),"",IF(AND(U410&gt;Y410,-U410&lt;Z410),"Ok","Not Ok"))</f>
        <v/>
      </c>
      <c r="AB410" s="70"/>
    </row>
    <row r="411" customFormat="false" ht="12.8" hidden="false" customHeight="false" outlineLevel="0" collapsed="false">
      <c r="A411" s="48" t="n">
        <f aca="false">TB_audited!A394</f>
        <v>0</v>
      </c>
      <c r="B411" s="49"/>
      <c r="C411" s="50"/>
      <c r="D411" s="51" t="n">
        <f aca="false">TB_audited!B394</f>
        <v>0</v>
      </c>
      <c r="E411" s="52" t="n">
        <f aca="false">TB_audited!C394</f>
        <v>0</v>
      </c>
      <c r="F411" s="53" t="n">
        <f aca="false">TB_audited!D394</f>
        <v>0</v>
      </c>
      <c r="G411" s="54" t="n">
        <f aca="false">IF($D$8="Interim",TB_audited!G394,TB_audited!E394)</f>
        <v>0</v>
      </c>
      <c r="H411" s="55" t="str">
        <f aca="false">IFERROR(VLOOKUP($A411,RA_result!$B$3:$N$62,11,0),"")</f>
        <v/>
      </c>
      <c r="I411" s="55" t="str">
        <f aca="false">IFERROR(VLOOKUP($A411,RA_result!$B$3:$N$62,12,0),"")</f>
        <v/>
      </c>
      <c r="J411" s="55" t="str">
        <f aca="false">IFERROR(VLOOKUP($A411,RA_result!$B$3:$N$62,13,0),"")</f>
        <v/>
      </c>
      <c r="K411" s="56"/>
      <c r="L411" s="56"/>
      <c r="M411" s="57" t="n">
        <f aca="false">G411</f>
        <v>0</v>
      </c>
      <c r="N411" s="54" t="n">
        <f aca="false">G411-M411</f>
        <v>0</v>
      </c>
      <c r="O411" s="55" t="str">
        <f aca="false">IFERROR(VLOOKUP($A411,RA_result!$B$3:$N$62,7,0),"")</f>
        <v/>
      </c>
      <c r="P411" s="52" t="str">
        <f aca="false">IFERROR(VLOOKUP($A411,RA_result!$B$3:$N$62,9,0),"")</f>
        <v/>
      </c>
      <c r="Q411" s="52" t="str">
        <f aca="false">IFERROR(VLOOKUP($A411,RA_result!$B$3:$N$62,10,0),"")</f>
        <v/>
      </c>
      <c r="R411" s="58" t="s">
        <v>55</v>
      </c>
      <c r="S411" s="59" t="str">
        <f aca="false">IFERROR(VLOOKUP($A411,RA_result!$B$3:$N$62,4,0),"")</f>
        <v/>
      </c>
      <c r="T411" s="60" t="s">
        <v>56</v>
      </c>
      <c r="U411" s="59" t="str">
        <f aca="false">IFERROR(IF(VLOOKUP($A411,RA_result!$B$3:$N$62,6,0)="",S411*T411,VLOOKUP($A411,RA_result!$B$3:$N$62,6,0)),"")</f>
        <v/>
      </c>
      <c r="V411" s="61" t="s">
        <v>56</v>
      </c>
      <c r="W411" s="62" t="n">
        <f aca="false">IFERROR((S411*30%)/V411,0)</f>
        <v>0</v>
      </c>
      <c r="X411" s="63" t="n">
        <f aca="false">IFERROR(N411/W411,0)</f>
        <v>0</v>
      </c>
      <c r="Y411" s="68"/>
      <c r="Z411" s="57"/>
      <c r="AA411" s="69" t="str">
        <f aca="false">IF(OR(U411="",Y411="",Z411=""),"",IF(AND(U411&gt;Y411,-U411&lt;Z411),"Ok","Not Ok"))</f>
        <v/>
      </c>
      <c r="AB411" s="70"/>
    </row>
    <row r="412" customFormat="false" ht="12.8" hidden="false" customHeight="false" outlineLevel="0" collapsed="false">
      <c r="A412" s="48" t="n">
        <f aca="false">TB_audited!A395</f>
        <v>0</v>
      </c>
      <c r="B412" s="49"/>
      <c r="C412" s="50"/>
      <c r="D412" s="51" t="n">
        <f aca="false">TB_audited!B395</f>
        <v>0</v>
      </c>
      <c r="E412" s="52" t="n">
        <f aca="false">TB_audited!C395</f>
        <v>0</v>
      </c>
      <c r="F412" s="53" t="n">
        <f aca="false">TB_audited!D395</f>
        <v>0</v>
      </c>
      <c r="G412" s="54" t="n">
        <f aca="false">IF($D$8="Interim",TB_audited!G395,TB_audited!E395)</f>
        <v>0</v>
      </c>
      <c r="H412" s="55" t="str">
        <f aca="false">IFERROR(VLOOKUP($A412,RA_result!$B$3:$N$62,11,0),"")</f>
        <v/>
      </c>
      <c r="I412" s="55" t="str">
        <f aca="false">IFERROR(VLOOKUP($A412,RA_result!$B$3:$N$62,12,0),"")</f>
        <v/>
      </c>
      <c r="J412" s="55" t="str">
        <f aca="false">IFERROR(VLOOKUP($A412,RA_result!$B$3:$N$62,13,0),"")</f>
        <v/>
      </c>
      <c r="K412" s="56"/>
      <c r="L412" s="56"/>
      <c r="M412" s="57" t="n">
        <f aca="false">G412</f>
        <v>0</v>
      </c>
      <c r="N412" s="54" t="n">
        <f aca="false">G412-M412</f>
        <v>0</v>
      </c>
      <c r="O412" s="55" t="str">
        <f aca="false">IFERROR(VLOOKUP($A412,RA_result!$B$3:$N$62,7,0),"")</f>
        <v/>
      </c>
      <c r="P412" s="52" t="str">
        <f aca="false">IFERROR(VLOOKUP($A412,RA_result!$B$3:$N$62,9,0),"")</f>
        <v/>
      </c>
      <c r="Q412" s="52" t="str">
        <f aca="false">IFERROR(VLOOKUP($A412,RA_result!$B$3:$N$62,10,0),"")</f>
        <v/>
      </c>
      <c r="R412" s="58" t="s">
        <v>55</v>
      </c>
      <c r="S412" s="59" t="str">
        <f aca="false">IFERROR(VLOOKUP($A412,RA_result!$B$3:$N$62,4,0),"")</f>
        <v/>
      </c>
      <c r="T412" s="60" t="s">
        <v>56</v>
      </c>
      <c r="U412" s="59" t="str">
        <f aca="false">IFERROR(IF(VLOOKUP($A412,RA_result!$B$3:$N$62,6,0)="",S412*T412,VLOOKUP($A412,RA_result!$B$3:$N$62,6,0)),"")</f>
        <v/>
      </c>
      <c r="V412" s="61" t="s">
        <v>56</v>
      </c>
      <c r="W412" s="62" t="n">
        <f aca="false">IFERROR((S412*30%)/V412,0)</f>
        <v>0</v>
      </c>
      <c r="X412" s="63" t="n">
        <f aca="false">IFERROR(N412/W412,0)</f>
        <v>0</v>
      </c>
      <c r="Y412" s="68"/>
      <c r="Z412" s="57"/>
      <c r="AA412" s="69" t="str">
        <f aca="false">IF(OR(U412="",Y412="",Z412=""),"",IF(AND(U412&gt;Y412,-U412&lt;Z412),"Ok","Not Ok"))</f>
        <v/>
      </c>
      <c r="AB412" s="70"/>
    </row>
    <row r="413" customFormat="false" ht="12.8" hidden="false" customHeight="false" outlineLevel="0" collapsed="false">
      <c r="A413" s="48" t="n">
        <f aca="false">TB_audited!A396</f>
        <v>0</v>
      </c>
      <c r="B413" s="49"/>
      <c r="C413" s="50"/>
      <c r="D413" s="51" t="n">
        <f aca="false">TB_audited!B396</f>
        <v>0</v>
      </c>
      <c r="E413" s="52" t="n">
        <f aca="false">TB_audited!C396</f>
        <v>0</v>
      </c>
      <c r="F413" s="53" t="n">
        <f aca="false">TB_audited!D396</f>
        <v>0</v>
      </c>
      <c r="G413" s="54" t="n">
        <f aca="false">IF($D$8="Interim",TB_audited!G396,TB_audited!E396)</f>
        <v>0</v>
      </c>
      <c r="H413" s="55" t="str">
        <f aca="false">IFERROR(VLOOKUP($A413,RA_result!$B$3:$N$62,11,0),"")</f>
        <v/>
      </c>
      <c r="I413" s="55" t="str">
        <f aca="false">IFERROR(VLOOKUP($A413,RA_result!$B$3:$N$62,12,0),"")</f>
        <v/>
      </c>
      <c r="J413" s="55" t="str">
        <f aca="false">IFERROR(VLOOKUP($A413,RA_result!$B$3:$N$62,13,0),"")</f>
        <v/>
      </c>
      <c r="K413" s="56"/>
      <c r="L413" s="56"/>
      <c r="M413" s="57" t="n">
        <f aca="false">G413</f>
        <v>0</v>
      </c>
      <c r="N413" s="54" t="n">
        <f aca="false">G413-M413</f>
        <v>0</v>
      </c>
      <c r="O413" s="55" t="str">
        <f aca="false">IFERROR(VLOOKUP($A413,RA_result!$B$3:$N$62,7,0),"")</f>
        <v/>
      </c>
      <c r="P413" s="52" t="str">
        <f aca="false">IFERROR(VLOOKUP($A413,RA_result!$B$3:$N$62,9,0),"")</f>
        <v/>
      </c>
      <c r="Q413" s="52" t="str">
        <f aca="false">IFERROR(VLOOKUP($A413,RA_result!$B$3:$N$62,10,0),"")</f>
        <v/>
      </c>
      <c r="R413" s="58" t="s">
        <v>55</v>
      </c>
      <c r="S413" s="59" t="str">
        <f aca="false">IFERROR(VLOOKUP($A413,RA_result!$B$3:$N$62,4,0),"")</f>
        <v/>
      </c>
      <c r="T413" s="60" t="s">
        <v>56</v>
      </c>
      <c r="U413" s="59" t="str">
        <f aca="false">IFERROR(IF(VLOOKUP($A413,RA_result!$B$3:$N$62,6,0)="",S413*T413,VLOOKUP($A413,RA_result!$B$3:$N$62,6,0)),"")</f>
        <v/>
      </c>
      <c r="V413" s="61" t="s">
        <v>56</v>
      </c>
      <c r="W413" s="62" t="n">
        <f aca="false">IFERROR((S413*30%)/V413,0)</f>
        <v>0</v>
      </c>
      <c r="X413" s="63" t="n">
        <f aca="false">IFERROR(N413/W413,0)</f>
        <v>0</v>
      </c>
      <c r="Y413" s="68"/>
      <c r="Z413" s="57"/>
      <c r="AA413" s="69" t="str">
        <f aca="false">IF(OR(U413="",Y413="",Z413=""),"",IF(AND(U413&gt;Y413,-U413&lt;Z413),"Ok","Not Ok"))</f>
        <v/>
      </c>
      <c r="AB413" s="70"/>
    </row>
    <row r="414" customFormat="false" ht="12.8" hidden="false" customHeight="false" outlineLevel="0" collapsed="false">
      <c r="A414" s="48" t="n">
        <f aca="false">TB_audited!A397</f>
        <v>0</v>
      </c>
      <c r="B414" s="49"/>
      <c r="C414" s="50"/>
      <c r="D414" s="51" t="n">
        <f aca="false">TB_audited!B397</f>
        <v>0</v>
      </c>
      <c r="E414" s="52" t="n">
        <f aca="false">TB_audited!C397</f>
        <v>0</v>
      </c>
      <c r="F414" s="53" t="n">
        <f aca="false">TB_audited!D397</f>
        <v>0</v>
      </c>
      <c r="G414" s="54" t="n">
        <f aca="false">IF($D$8="Interim",TB_audited!G397,TB_audited!E397)</f>
        <v>0</v>
      </c>
      <c r="H414" s="55" t="str">
        <f aca="false">IFERROR(VLOOKUP($A414,RA_result!$B$3:$N$62,11,0),"")</f>
        <v/>
      </c>
      <c r="I414" s="55" t="str">
        <f aca="false">IFERROR(VLOOKUP($A414,RA_result!$B$3:$N$62,12,0),"")</f>
        <v/>
      </c>
      <c r="J414" s="55" t="str">
        <f aca="false">IFERROR(VLOOKUP($A414,RA_result!$B$3:$N$62,13,0),"")</f>
        <v/>
      </c>
      <c r="K414" s="56"/>
      <c r="L414" s="56"/>
      <c r="M414" s="57" t="n">
        <f aca="false">G414</f>
        <v>0</v>
      </c>
      <c r="N414" s="54" t="n">
        <f aca="false">G414-M414</f>
        <v>0</v>
      </c>
      <c r="O414" s="55" t="str">
        <f aca="false">IFERROR(VLOOKUP($A414,RA_result!$B$3:$N$62,7,0),"")</f>
        <v/>
      </c>
      <c r="P414" s="52" t="str">
        <f aca="false">IFERROR(VLOOKUP($A414,RA_result!$B$3:$N$62,9,0),"")</f>
        <v/>
      </c>
      <c r="Q414" s="52" t="str">
        <f aca="false">IFERROR(VLOOKUP($A414,RA_result!$B$3:$N$62,10,0),"")</f>
        <v/>
      </c>
      <c r="R414" s="58" t="s">
        <v>55</v>
      </c>
      <c r="S414" s="59" t="str">
        <f aca="false">IFERROR(VLOOKUP($A414,RA_result!$B$3:$N$62,4,0),"")</f>
        <v/>
      </c>
      <c r="T414" s="60" t="s">
        <v>56</v>
      </c>
      <c r="U414" s="59" t="str">
        <f aca="false">IFERROR(IF(VLOOKUP($A414,RA_result!$B$3:$N$62,6,0)="",S414*T414,VLOOKUP($A414,RA_result!$B$3:$N$62,6,0)),"")</f>
        <v/>
      </c>
      <c r="V414" s="61" t="s">
        <v>56</v>
      </c>
      <c r="W414" s="62" t="n">
        <f aca="false">IFERROR((S414*30%)/V414,0)</f>
        <v>0</v>
      </c>
      <c r="X414" s="63" t="n">
        <f aca="false">IFERROR(N414/W414,0)</f>
        <v>0</v>
      </c>
      <c r="Y414" s="68"/>
      <c r="Z414" s="57"/>
      <c r="AA414" s="69" t="str">
        <f aca="false">IF(OR(U414="",Y414="",Z414=""),"",IF(AND(U414&gt;Y414,-U414&lt;Z414),"Ok","Not Ok"))</f>
        <v/>
      </c>
      <c r="AB414" s="70"/>
    </row>
    <row r="415" customFormat="false" ht="12.8" hidden="false" customHeight="false" outlineLevel="0" collapsed="false">
      <c r="A415" s="48" t="n">
        <f aca="false">TB_audited!A398</f>
        <v>0</v>
      </c>
      <c r="B415" s="49"/>
      <c r="C415" s="50"/>
      <c r="D415" s="51" t="n">
        <f aca="false">TB_audited!B398</f>
        <v>0</v>
      </c>
      <c r="E415" s="52" t="n">
        <f aca="false">TB_audited!C398</f>
        <v>0</v>
      </c>
      <c r="F415" s="53" t="n">
        <f aca="false">TB_audited!D398</f>
        <v>0</v>
      </c>
      <c r="G415" s="54" t="n">
        <f aca="false">IF($D$8="Interim",TB_audited!G398,TB_audited!E398)</f>
        <v>0</v>
      </c>
      <c r="H415" s="55" t="str">
        <f aca="false">IFERROR(VLOOKUP($A415,RA_result!$B$3:$N$62,11,0),"")</f>
        <v/>
      </c>
      <c r="I415" s="55" t="str">
        <f aca="false">IFERROR(VLOOKUP($A415,RA_result!$B$3:$N$62,12,0),"")</f>
        <v/>
      </c>
      <c r="J415" s="55" t="str">
        <f aca="false">IFERROR(VLOOKUP($A415,RA_result!$B$3:$N$62,13,0),"")</f>
        <v/>
      </c>
      <c r="K415" s="56"/>
      <c r="L415" s="56"/>
      <c r="M415" s="57" t="n">
        <f aca="false">G415</f>
        <v>0</v>
      </c>
      <c r="N415" s="54" t="n">
        <f aca="false">G415-M415</f>
        <v>0</v>
      </c>
      <c r="O415" s="55" t="str">
        <f aca="false">IFERROR(VLOOKUP($A415,RA_result!$B$3:$N$62,7,0),"")</f>
        <v/>
      </c>
      <c r="P415" s="52" t="str">
        <f aca="false">IFERROR(VLOOKUP($A415,RA_result!$B$3:$N$62,9,0),"")</f>
        <v/>
      </c>
      <c r="Q415" s="52" t="str">
        <f aca="false">IFERROR(VLOOKUP($A415,RA_result!$B$3:$N$62,10,0),"")</f>
        <v/>
      </c>
      <c r="R415" s="58" t="s">
        <v>55</v>
      </c>
      <c r="S415" s="59" t="str">
        <f aca="false">IFERROR(VLOOKUP($A415,RA_result!$B$3:$N$62,4,0),"")</f>
        <v/>
      </c>
      <c r="T415" s="60" t="s">
        <v>56</v>
      </c>
      <c r="U415" s="59" t="str">
        <f aca="false">IFERROR(IF(VLOOKUP($A415,RA_result!$B$3:$N$62,6,0)="",S415*T415,VLOOKUP($A415,RA_result!$B$3:$N$62,6,0)),"")</f>
        <v/>
      </c>
      <c r="V415" s="61" t="s">
        <v>56</v>
      </c>
      <c r="W415" s="62" t="n">
        <f aca="false">IFERROR((S415*30%)/V415,0)</f>
        <v>0</v>
      </c>
      <c r="X415" s="63" t="n">
        <f aca="false">IFERROR(N415/W415,0)</f>
        <v>0</v>
      </c>
      <c r="Y415" s="68"/>
      <c r="Z415" s="57"/>
      <c r="AA415" s="69" t="str">
        <f aca="false">IF(OR(U415="",Y415="",Z415=""),"",IF(AND(U415&gt;Y415,-U415&lt;Z415),"Ok","Not Ok"))</f>
        <v/>
      </c>
      <c r="AB415" s="70"/>
    </row>
    <row r="416" customFormat="false" ht="12.8" hidden="false" customHeight="false" outlineLevel="0" collapsed="false">
      <c r="A416" s="48" t="n">
        <f aca="false">TB_audited!A399</f>
        <v>0</v>
      </c>
      <c r="B416" s="49"/>
      <c r="C416" s="50"/>
      <c r="D416" s="51" t="n">
        <f aca="false">TB_audited!B399</f>
        <v>0</v>
      </c>
      <c r="E416" s="52" t="n">
        <f aca="false">TB_audited!C399</f>
        <v>0</v>
      </c>
      <c r="F416" s="53" t="n">
        <f aca="false">TB_audited!D399</f>
        <v>0</v>
      </c>
      <c r="G416" s="54" t="n">
        <f aca="false">IF($D$8="Interim",TB_audited!G399,TB_audited!E399)</f>
        <v>0</v>
      </c>
      <c r="H416" s="55" t="str">
        <f aca="false">IFERROR(VLOOKUP($A416,RA_result!$B$3:$N$62,11,0),"")</f>
        <v/>
      </c>
      <c r="I416" s="55" t="str">
        <f aca="false">IFERROR(VLOOKUP($A416,RA_result!$B$3:$N$62,12,0),"")</f>
        <v/>
      </c>
      <c r="J416" s="55" t="str">
        <f aca="false">IFERROR(VLOOKUP($A416,RA_result!$B$3:$N$62,13,0),"")</f>
        <v/>
      </c>
      <c r="K416" s="56"/>
      <c r="L416" s="56"/>
      <c r="M416" s="57" t="n">
        <f aca="false">G416</f>
        <v>0</v>
      </c>
      <c r="N416" s="54" t="n">
        <f aca="false">G416-M416</f>
        <v>0</v>
      </c>
      <c r="O416" s="55" t="str">
        <f aca="false">IFERROR(VLOOKUP($A416,RA_result!$B$3:$N$62,7,0),"")</f>
        <v/>
      </c>
      <c r="P416" s="52" t="str">
        <f aca="false">IFERROR(VLOOKUP($A416,RA_result!$B$3:$N$62,9,0),"")</f>
        <v/>
      </c>
      <c r="Q416" s="52" t="str">
        <f aca="false">IFERROR(VLOOKUP($A416,RA_result!$B$3:$N$62,10,0),"")</f>
        <v/>
      </c>
      <c r="R416" s="58" t="s">
        <v>55</v>
      </c>
      <c r="S416" s="59" t="str">
        <f aca="false">IFERROR(VLOOKUP($A416,RA_result!$B$3:$N$62,4,0),"")</f>
        <v/>
      </c>
      <c r="T416" s="60" t="s">
        <v>56</v>
      </c>
      <c r="U416" s="59" t="str">
        <f aca="false">IFERROR(IF(VLOOKUP($A416,RA_result!$B$3:$N$62,6,0)="",S416*T416,VLOOKUP($A416,RA_result!$B$3:$N$62,6,0)),"")</f>
        <v/>
      </c>
      <c r="V416" s="61" t="s">
        <v>56</v>
      </c>
      <c r="W416" s="62" t="n">
        <f aca="false">IFERROR((S416*30%)/V416,0)</f>
        <v>0</v>
      </c>
      <c r="X416" s="63" t="n">
        <f aca="false">IFERROR(N416/W416,0)</f>
        <v>0</v>
      </c>
      <c r="Y416" s="68"/>
      <c r="Z416" s="57"/>
      <c r="AA416" s="69" t="str">
        <f aca="false">IF(OR(U416="",Y416="",Z416=""),"",IF(AND(U416&gt;Y416,-U416&lt;Z416),"Ok","Not Ok"))</f>
        <v/>
      </c>
      <c r="AB416" s="70"/>
    </row>
    <row r="417" customFormat="false" ht="12.8" hidden="false" customHeight="false" outlineLevel="0" collapsed="false">
      <c r="A417" s="48" t="n">
        <f aca="false">TB_audited!A400</f>
        <v>0</v>
      </c>
      <c r="B417" s="49"/>
      <c r="C417" s="50"/>
      <c r="D417" s="51" t="n">
        <f aca="false">TB_audited!B400</f>
        <v>0</v>
      </c>
      <c r="E417" s="52" t="n">
        <f aca="false">TB_audited!C400</f>
        <v>0</v>
      </c>
      <c r="F417" s="53" t="n">
        <f aca="false">TB_audited!D400</f>
        <v>0</v>
      </c>
      <c r="G417" s="54" t="n">
        <f aca="false">IF($D$8="Interim",TB_audited!G400,TB_audited!E400)</f>
        <v>0</v>
      </c>
      <c r="H417" s="55" t="str">
        <f aca="false">IFERROR(VLOOKUP($A417,RA_result!$B$3:$N$62,11,0),"")</f>
        <v/>
      </c>
      <c r="I417" s="55" t="str">
        <f aca="false">IFERROR(VLOOKUP($A417,RA_result!$B$3:$N$62,12,0),"")</f>
        <v/>
      </c>
      <c r="J417" s="55" t="str">
        <f aca="false">IFERROR(VLOOKUP($A417,RA_result!$B$3:$N$62,13,0),"")</f>
        <v/>
      </c>
      <c r="K417" s="56"/>
      <c r="L417" s="56"/>
      <c r="M417" s="57" t="n">
        <f aca="false">G417</f>
        <v>0</v>
      </c>
      <c r="N417" s="54" t="n">
        <f aca="false">G417-M417</f>
        <v>0</v>
      </c>
      <c r="O417" s="55" t="str">
        <f aca="false">IFERROR(VLOOKUP($A417,RA_result!$B$3:$N$62,7,0),"")</f>
        <v/>
      </c>
      <c r="P417" s="52" t="str">
        <f aca="false">IFERROR(VLOOKUP($A417,RA_result!$B$3:$N$62,9,0),"")</f>
        <v/>
      </c>
      <c r="Q417" s="52" t="str">
        <f aca="false">IFERROR(VLOOKUP($A417,RA_result!$B$3:$N$62,10,0),"")</f>
        <v/>
      </c>
      <c r="R417" s="58" t="s">
        <v>55</v>
      </c>
      <c r="S417" s="59" t="str">
        <f aca="false">IFERROR(VLOOKUP($A417,RA_result!$B$3:$N$62,4,0),"")</f>
        <v/>
      </c>
      <c r="T417" s="60" t="s">
        <v>56</v>
      </c>
      <c r="U417" s="59" t="str">
        <f aca="false">IFERROR(IF(VLOOKUP($A417,RA_result!$B$3:$N$62,6,0)="",S417*T417,VLOOKUP($A417,RA_result!$B$3:$N$62,6,0)),"")</f>
        <v/>
      </c>
      <c r="V417" s="61" t="s">
        <v>56</v>
      </c>
      <c r="W417" s="62" t="n">
        <f aca="false">IFERROR((S417*30%)/V417,0)</f>
        <v>0</v>
      </c>
      <c r="X417" s="63" t="n">
        <f aca="false">IFERROR(N417/W417,0)</f>
        <v>0</v>
      </c>
      <c r="Y417" s="68"/>
      <c r="Z417" s="57"/>
      <c r="AA417" s="69" t="str">
        <f aca="false">IF(OR(U417="",Y417="",Z417=""),"",IF(AND(U417&gt;Y417,-U417&lt;Z417),"Ok","Not Ok"))</f>
        <v/>
      </c>
      <c r="AB417" s="70"/>
    </row>
    <row r="418" customFormat="false" ht="12.8" hidden="false" customHeight="false" outlineLevel="0" collapsed="false">
      <c r="A418" s="48" t="n">
        <f aca="false">TB_audited!A401</f>
        <v>0</v>
      </c>
      <c r="B418" s="49"/>
      <c r="C418" s="50"/>
      <c r="D418" s="51" t="n">
        <f aca="false">TB_audited!B401</f>
        <v>0</v>
      </c>
      <c r="E418" s="52" t="n">
        <f aca="false">TB_audited!C401</f>
        <v>0</v>
      </c>
      <c r="F418" s="53" t="n">
        <f aca="false">TB_audited!D401</f>
        <v>0</v>
      </c>
      <c r="G418" s="54" t="n">
        <f aca="false">IF($D$8="Interim",TB_audited!G401,TB_audited!E401)</f>
        <v>0</v>
      </c>
      <c r="H418" s="55" t="str">
        <f aca="false">IFERROR(VLOOKUP($A418,RA_result!$B$3:$N$62,11,0),"")</f>
        <v/>
      </c>
      <c r="I418" s="55" t="str">
        <f aca="false">IFERROR(VLOOKUP($A418,RA_result!$B$3:$N$62,12,0),"")</f>
        <v/>
      </c>
      <c r="J418" s="55" t="str">
        <f aca="false">IFERROR(VLOOKUP($A418,RA_result!$B$3:$N$62,13,0),"")</f>
        <v/>
      </c>
      <c r="K418" s="56"/>
      <c r="L418" s="56"/>
      <c r="M418" s="57" t="n">
        <f aca="false">G418</f>
        <v>0</v>
      </c>
      <c r="N418" s="54" t="n">
        <f aca="false">G418-M418</f>
        <v>0</v>
      </c>
      <c r="O418" s="55" t="str">
        <f aca="false">IFERROR(VLOOKUP($A418,RA_result!$B$3:$N$62,7,0),"")</f>
        <v/>
      </c>
      <c r="P418" s="52" t="str">
        <f aca="false">IFERROR(VLOOKUP($A418,RA_result!$B$3:$N$62,9,0),"")</f>
        <v/>
      </c>
      <c r="Q418" s="52" t="str">
        <f aca="false">IFERROR(VLOOKUP($A418,RA_result!$B$3:$N$62,10,0),"")</f>
        <v/>
      </c>
      <c r="R418" s="58" t="s">
        <v>55</v>
      </c>
      <c r="S418" s="59" t="str">
        <f aca="false">IFERROR(VLOOKUP($A418,RA_result!$B$3:$N$62,4,0),"")</f>
        <v/>
      </c>
      <c r="T418" s="60" t="s">
        <v>56</v>
      </c>
      <c r="U418" s="59" t="str">
        <f aca="false">IFERROR(IF(VLOOKUP($A418,RA_result!$B$3:$N$62,6,0)="",S418*T418,VLOOKUP($A418,RA_result!$B$3:$N$62,6,0)),"")</f>
        <v/>
      </c>
      <c r="V418" s="61" t="s">
        <v>56</v>
      </c>
      <c r="W418" s="62" t="n">
        <f aca="false">IFERROR((S418*30%)/V418,0)</f>
        <v>0</v>
      </c>
      <c r="X418" s="63" t="n">
        <f aca="false">IFERROR(N418/W418,0)</f>
        <v>0</v>
      </c>
      <c r="Y418" s="68"/>
      <c r="Z418" s="57"/>
      <c r="AA418" s="69" t="str">
        <f aca="false">IF(OR(U418="",Y418="",Z418=""),"",IF(AND(U418&gt;Y418,-U418&lt;Z418),"Ok","Not Ok"))</f>
        <v/>
      </c>
      <c r="AB418" s="70"/>
    </row>
    <row r="419" customFormat="false" ht="12.8" hidden="false" customHeight="false" outlineLevel="0" collapsed="false">
      <c r="A419" s="48" t="n">
        <f aca="false">TB_audited!A402</f>
        <v>0</v>
      </c>
      <c r="B419" s="49"/>
      <c r="C419" s="50"/>
      <c r="D419" s="51" t="n">
        <f aca="false">TB_audited!B402</f>
        <v>0</v>
      </c>
      <c r="E419" s="52" t="n">
        <f aca="false">TB_audited!C402</f>
        <v>0</v>
      </c>
      <c r="F419" s="53" t="n">
        <f aca="false">TB_audited!D402</f>
        <v>0</v>
      </c>
      <c r="G419" s="54" t="n">
        <f aca="false">IF($D$8="Interim",TB_audited!G402,TB_audited!E402)</f>
        <v>0</v>
      </c>
      <c r="H419" s="55" t="str">
        <f aca="false">IFERROR(VLOOKUP($A419,RA_result!$B$3:$N$62,11,0),"")</f>
        <v/>
      </c>
      <c r="I419" s="55" t="str">
        <f aca="false">IFERROR(VLOOKUP($A419,RA_result!$B$3:$N$62,12,0),"")</f>
        <v/>
      </c>
      <c r="J419" s="55" t="str">
        <f aca="false">IFERROR(VLOOKUP($A419,RA_result!$B$3:$N$62,13,0),"")</f>
        <v/>
      </c>
      <c r="K419" s="56"/>
      <c r="L419" s="56"/>
      <c r="M419" s="57" t="n">
        <f aca="false">G419</f>
        <v>0</v>
      </c>
      <c r="N419" s="54" t="n">
        <f aca="false">G419-M419</f>
        <v>0</v>
      </c>
      <c r="O419" s="55" t="str">
        <f aca="false">IFERROR(VLOOKUP($A419,RA_result!$B$3:$N$62,7,0),"")</f>
        <v/>
      </c>
      <c r="P419" s="52" t="str">
        <f aca="false">IFERROR(VLOOKUP($A419,RA_result!$B$3:$N$62,9,0),"")</f>
        <v/>
      </c>
      <c r="Q419" s="52" t="str">
        <f aca="false">IFERROR(VLOOKUP($A419,RA_result!$B$3:$N$62,10,0),"")</f>
        <v/>
      </c>
      <c r="R419" s="58" t="s">
        <v>55</v>
      </c>
      <c r="S419" s="59" t="str">
        <f aca="false">IFERROR(VLOOKUP($A419,RA_result!$B$3:$N$62,4,0),"")</f>
        <v/>
      </c>
      <c r="T419" s="60" t="s">
        <v>56</v>
      </c>
      <c r="U419" s="59" t="str">
        <f aca="false">IFERROR(IF(VLOOKUP($A419,RA_result!$B$3:$N$62,6,0)="",S419*T419,VLOOKUP($A419,RA_result!$B$3:$N$62,6,0)),"")</f>
        <v/>
      </c>
      <c r="V419" s="61" t="s">
        <v>56</v>
      </c>
      <c r="W419" s="62" t="n">
        <f aca="false">IFERROR((S419*30%)/V419,0)</f>
        <v>0</v>
      </c>
      <c r="X419" s="63" t="n">
        <f aca="false">IFERROR(N419/W419,0)</f>
        <v>0</v>
      </c>
      <c r="Y419" s="68"/>
      <c r="Z419" s="57"/>
      <c r="AA419" s="69" t="str">
        <f aca="false">IF(OR(U419="",Y419="",Z419=""),"",IF(AND(U419&gt;Y419,-U419&lt;Z419),"Ok","Not Ok"))</f>
        <v/>
      </c>
      <c r="AB419" s="70"/>
    </row>
    <row r="420" customFormat="false" ht="12.8" hidden="false" customHeight="false" outlineLevel="0" collapsed="false">
      <c r="A420" s="48" t="n">
        <f aca="false">TB_audited!A403</f>
        <v>0</v>
      </c>
      <c r="B420" s="49"/>
      <c r="C420" s="50"/>
      <c r="D420" s="51" t="n">
        <f aca="false">TB_audited!B403</f>
        <v>0</v>
      </c>
      <c r="E420" s="52" t="n">
        <f aca="false">TB_audited!C403</f>
        <v>0</v>
      </c>
      <c r="F420" s="53" t="n">
        <f aca="false">TB_audited!D403</f>
        <v>0</v>
      </c>
      <c r="G420" s="54" t="n">
        <f aca="false">IF($D$8="Interim",TB_audited!G403,TB_audited!E403)</f>
        <v>0</v>
      </c>
      <c r="H420" s="55" t="str">
        <f aca="false">IFERROR(VLOOKUP($A420,RA_result!$B$3:$N$62,11,0),"")</f>
        <v/>
      </c>
      <c r="I420" s="55" t="str">
        <f aca="false">IFERROR(VLOOKUP($A420,RA_result!$B$3:$N$62,12,0),"")</f>
        <v/>
      </c>
      <c r="J420" s="55" t="str">
        <f aca="false">IFERROR(VLOOKUP($A420,RA_result!$B$3:$N$62,13,0),"")</f>
        <v/>
      </c>
      <c r="K420" s="56"/>
      <c r="L420" s="56"/>
      <c r="M420" s="57" t="n">
        <f aca="false">G420</f>
        <v>0</v>
      </c>
      <c r="N420" s="54" t="n">
        <f aca="false">G420-M420</f>
        <v>0</v>
      </c>
      <c r="O420" s="55" t="str">
        <f aca="false">IFERROR(VLOOKUP($A420,RA_result!$B$3:$N$62,7,0),"")</f>
        <v/>
      </c>
      <c r="P420" s="52" t="str">
        <f aca="false">IFERROR(VLOOKUP($A420,RA_result!$B$3:$N$62,9,0),"")</f>
        <v/>
      </c>
      <c r="Q420" s="52" t="str">
        <f aca="false">IFERROR(VLOOKUP($A420,RA_result!$B$3:$N$62,10,0),"")</f>
        <v/>
      </c>
      <c r="R420" s="58" t="s">
        <v>55</v>
      </c>
      <c r="S420" s="59" t="str">
        <f aca="false">IFERROR(VLOOKUP($A420,RA_result!$B$3:$N$62,4,0),"")</f>
        <v/>
      </c>
      <c r="T420" s="60" t="s">
        <v>56</v>
      </c>
      <c r="U420" s="59" t="str">
        <f aca="false">IFERROR(IF(VLOOKUP($A420,RA_result!$B$3:$N$62,6,0)="",S420*T420,VLOOKUP($A420,RA_result!$B$3:$N$62,6,0)),"")</f>
        <v/>
      </c>
      <c r="V420" s="61" t="s">
        <v>56</v>
      </c>
      <c r="W420" s="62" t="n">
        <f aca="false">IFERROR((S420*30%)/V420,0)</f>
        <v>0</v>
      </c>
      <c r="X420" s="63" t="n">
        <f aca="false">IFERROR(N420/W420,0)</f>
        <v>0</v>
      </c>
      <c r="Y420" s="68"/>
      <c r="Z420" s="57"/>
      <c r="AA420" s="69" t="str">
        <f aca="false">IF(OR(U420="",Y420="",Z420=""),"",IF(AND(U420&gt;Y420,-U420&lt;Z420),"Ok","Not Ok"))</f>
        <v/>
      </c>
      <c r="AB420" s="70"/>
    </row>
    <row r="421" customFormat="false" ht="12.8" hidden="false" customHeight="false" outlineLevel="0" collapsed="false">
      <c r="A421" s="48" t="n">
        <f aca="false">TB_audited!A404</f>
        <v>0</v>
      </c>
      <c r="B421" s="49"/>
      <c r="C421" s="50"/>
      <c r="D421" s="51" t="n">
        <f aca="false">TB_audited!B404</f>
        <v>0</v>
      </c>
      <c r="E421" s="52" t="n">
        <f aca="false">TB_audited!C404</f>
        <v>0</v>
      </c>
      <c r="F421" s="53" t="n">
        <f aca="false">TB_audited!D404</f>
        <v>0</v>
      </c>
      <c r="G421" s="54" t="n">
        <f aca="false">IF($D$8="Interim",TB_audited!G404,TB_audited!E404)</f>
        <v>0</v>
      </c>
      <c r="H421" s="55" t="str">
        <f aca="false">IFERROR(VLOOKUP($A421,RA_result!$B$3:$N$62,11,0),"")</f>
        <v/>
      </c>
      <c r="I421" s="55" t="str">
        <f aca="false">IFERROR(VLOOKUP($A421,RA_result!$B$3:$N$62,12,0),"")</f>
        <v/>
      </c>
      <c r="J421" s="55" t="str">
        <f aca="false">IFERROR(VLOOKUP($A421,RA_result!$B$3:$N$62,13,0),"")</f>
        <v/>
      </c>
      <c r="K421" s="56"/>
      <c r="L421" s="56"/>
      <c r="M421" s="57" t="n">
        <f aca="false">G421</f>
        <v>0</v>
      </c>
      <c r="N421" s="54" t="n">
        <f aca="false">G421-M421</f>
        <v>0</v>
      </c>
      <c r="O421" s="55" t="str">
        <f aca="false">IFERROR(VLOOKUP($A421,RA_result!$B$3:$N$62,7,0),"")</f>
        <v/>
      </c>
      <c r="P421" s="52" t="str">
        <f aca="false">IFERROR(VLOOKUP($A421,RA_result!$B$3:$N$62,9,0),"")</f>
        <v/>
      </c>
      <c r="Q421" s="52" t="str">
        <f aca="false">IFERROR(VLOOKUP($A421,RA_result!$B$3:$N$62,10,0),"")</f>
        <v/>
      </c>
      <c r="R421" s="58" t="s">
        <v>55</v>
      </c>
      <c r="S421" s="59" t="str">
        <f aca="false">IFERROR(VLOOKUP($A421,RA_result!$B$3:$N$62,4,0),"")</f>
        <v/>
      </c>
      <c r="T421" s="60" t="s">
        <v>56</v>
      </c>
      <c r="U421" s="59" t="str">
        <f aca="false">IFERROR(IF(VLOOKUP($A421,RA_result!$B$3:$N$62,6,0)="",S421*T421,VLOOKUP($A421,RA_result!$B$3:$N$62,6,0)),"")</f>
        <v/>
      </c>
      <c r="V421" s="61" t="s">
        <v>56</v>
      </c>
      <c r="W421" s="62" t="n">
        <f aca="false">IFERROR((S421*30%)/V421,0)</f>
        <v>0</v>
      </c>
      <c r="X421" s="63" t="n">
        <f aca="false">IFERROR(N421/W421,0)</f>
        <v>0</v>
      </c>
      <c r="Y421" s="68"/>
      <c r="Z421" s="57"/>
      <c r="AA421" s="69" t="str">
        <f aca="false">IF(OR(U421="",Y421="",Z421=""),"",IF(AND(U421&gt;Y421,-U421&lt;Z421),"Ok","Not Ok"))</f>
        <v/>
      </c>
      <c r="AB421" s="70"/>
    </row>
    <row r="422" customFormat="false" ht="12.8" hidden="false" customHeight="false" outlineLevel="0" collapsed="false">
      <c r="A422" s="48" t="n">
        <f aca="false">TB_audited!A405</f>
        <v>0</v>
      </c>
      <c r="B422" s="49"/>
      <c r="C422" s="50"/>
      <c r="D422" s="51" t="n">
        <f aca="false">TB_audited!B405</f>
        <v>0</v>
      </c>
      <c r="E422" s="52" t="n">
        <f aca="false">TB_audited!C405</f>
        <v>0</v>
      </c>
      <c r="F422" s="53" t="n">
        <f aca="false">TB_audited!D405</f>
        <v>0</v>
      </c>
      <c r="G422" s="54" t="n">
        <f aca="false">IF($D$8="Interim",TB_audited!G405,TB_audited!E405)</f>
        <v>0</v>
      </c>
      <c r="H422" s="55" t="str">
        <f aca="false">IFERROR(VLOOKUP($A422,RA_result!$B$3:$N$62,11,0),"")</f>
        <v/>
      </c>
      <c r="I422" s="55" t="str">
        <f aca="false">IFERROR(VLOOKUP($A422,RA_result!$B$3:$N$62,12,0),"")</f>
        <v/>
      </c>
      <c r="J422" s="55" t="str">
        <f aca="false">IFERROR(VLOOKUP($A422,RA_result!$B$3:$N$62,13,0),"")</f>
        <v/>
      </c>
      <c r="K422" s="56"/>
      <c r="L422" s="56"/>
      <c r="M422" s="57" t="n">
        <f aca="false">G422</f>
        <v>0</v>
      </c>
      <c r="N422" s="54" t="n">
        <f aca="false">G422-M422</f>
        <v>0</v>
      </c>
      <c r="O422" s="55" t="str">
        <f aca="false">IFERROR(VLOOKUP($A422,RA_result!$B$3:$N$62,7,0),"")</f>
        <v/>
      </c>
      <c r="P422" s="52" t="str">
        <f aca="false">IFERROR(VLOOKUP($A422,RA_result!$B$3:$N$62,9,0),"")</f>
        <v/>
      </c>
      <c r="Q422" s="52" t="str">
        <f aca="false">IFERROR(VLOOKUP($A422,RA_result!$B$3:$N$62,10,0),"")</f>
        <v/>
      </c>
      <c r="R422" s="58" t="s">
        <v>55</v>
      </c>
      <c r="S422" s="59" t="str">
        <f aca="false">IFERROR(VLOOKUP($A422,RA_result!$B$3:$N$62,4,0),"")</f>
        <v/>
      </c>
      <c r="T422" s="60" t="s">
        <v>56</v>
      </c>
      <c r="U422" s="59" t="str">
        <f aca="false">IFERROR(IF(VLOOKUP($A422,RA_result!$B$3:$N$62,6,0)="",S422*T422,VLOOKUP($A422,RA_result!$B$3:$N$62,6,0)),"")</f>
        <v/>
      </c>
      <c r="V422" s="61" t="s">
        <v>56</v>
      </c>
      <c r="W422" s="62" t="n">
        <f aca="false">IFERROR((S422*30%)/V422,0)</f>
        <v>0</v>
      </c>
      <c r="X422" s="63" t="n">
        <f aca="false">IFERROR(N422/W422,0)</f>
        <v>0</v>
      </c>
      <c r="Y422" s="68"/>
      <c r="Z422" s="57"/>
      <c r="AA422" s="69" t="str">
        <f aca="false">IF(OR(U422="",Y422="",Z422=""),"",IF(AND(U422&gt;Y422,-U422&lt;Z422),"Ok","Not Ok"))</f>
        <v/>
      </c>
      <c r="AB422" s="70"/>
    </row>
    <row r="423" customFormat="false" ht="12.8" hidden="false" customHeight="false" outlineLevel="0" collapsed="false">
      <c r="A423" s="48" t="n">
        <f aca="false">TB_audited!A406</f>
        <v>0</v>
      </c>
      <c r="B423" s="49"/>
      <c r="C423" s="50"/>
      <c r="D423" s="51" t="n">
        <f aca="false">TB_audited!B406</f>
        <v>0</v>
      </c>
      <c r="E423" s="52" t="n">
        <f aca="false">TB_audited!C406</f>
        <v>0</v>
      </c>
      <c r="F423" s="53" t="n">
        <f aca="false">TB_audited!D406</f>
        <v>0</v>
      </c>
      <c r="G423" s="54" t="n">
        <f aca="false">IF($D$8="Interim",TB_audited!G406,TB_audited!E406)</f>
        <v>0</v>
      </c>
      <c r="H423" s="55" t="str">
        <f aca="false">IFERROR(VLOOKUP($A423,RA_result!$B$3:$N$62,11,0),"")</f>
        <v/>
      </c>
      <c r="I423" s="55" t="str">
        <f aca="false">IFERROR(VLOOKUP($A423,RA_result!$B$3:$N$62,12,0),"")</f>
        <v/>
      </c>
      <c r="J423" s="55" t="str">
        <f aca="false">IFERROR(VLOOKUP($A423,RA_result!$B$3:$N$62,13,0),"")</f>
        <v/>
      </c>
      <c r="K423" s="56"/>
      <c r="L423" s="56"/>
      <c r="M423" s="57" t="n">
        <f aca="false">G423</f>
        <v>0</v>
      </c>
      <c r="N423" s="54" t="n">
        <f aca="false">G423-M423</f>
        <v>0</v>
      </c>
      <c r="O423" s="55" t="str">
        <f aca="false">IFERROR(VLOOKUP($A423,RA_result!$B$3:$N$62,7,0),"")</f>
        <v/>
      </c>
      <c r="P423" s="52" t="str">
        <f aca="false">IFERROR(VLOOKUP($A423,RA_result!$B$3:$N$62,9,0),"")</f>
        <v/>
      </c>
      <c r="Q423" s="52" t="str">
        <f aca="false">IFERROR(VLOOKUP($A423,RA_result!$B$3:$N$62,10,0),"")</f>
        <v/>
      </c>
      <c r="R423" s="58" t="s">
        <v>55</v>
      </c>
      <c r="S423" s="59" t="str">
        <f aca="false">IFERROR(VLOOKUP($A423,RA_result!$B$3:$N$62,4,0),"")</f>
        <v/>
      </c>
      <c r="T423" s="60" t="s">
        <v>56</v>
      </c>
      <c r="U423" s="59" t="str">
        <f aca="false">IFERROR(IF(VLOOKUP($A423,RA_result!$B$3:$N$62,6,0)="",S423*T423,VLOOKUP($A423,RA_result!$B$3:$N$62,6,0)),"")</f>
        <v/>
      </c>
      <c r="V423" s="61" t="s">
        <v>56</v>
      </c>
      <c r="W423" s="62" t="n">
        <f aca="false">IFERROR((S423*30%)/V423,0)</f>
        <v>0</v>
      </c>
      <c r="X423" s="63" t="n">
        <f aca="false">IFERROR(N423/W423,0)</f>
        <v>0</v>
      </c>
      <c r="Y423" s="68"/>
      <c r="Z423" s="57"/>
      <c r="AA423" s="69" t="str">
        <f aca="false">IF(OR(U423="",Y423="",Z423=""),"",IF(AND(U423&gt;Y423,-U423&lt;Z423),"Ok","Not Ok"))</f>
        <v/>
      </c>
      <c r="AB423" s="70"/>
    </row>
    <row r="424" customFormat="false" ht="12.8" hidden="false" customHeight="false" outlineLevel="0" collapsed="false">
      <c r="A424" s="48" t="n">
        <f aca="false">TB_audited!A407</f>
        <v>0</v>
      </c>
      <c r="B424" s="49"/>
      <c r="C424" s="50"/>
      <c r="D424" s="51" t="n">
        <f aca="false">TB_audited!B407</f>
        <v>0</v>
      </c>
      <c r="E424" s="52" t="n">
        <f aca="false">TB_audited!C407</f>
        <v>0</v>
      </c>
      <c r="F424" s="53" t="n">
        <f aca="false">TB_audited!D407</f>
        <v>0</v>
      </c>
      <c r="G424" s="54" t="n">
        <f aca="false">IF($D$8="Interim",TB_audited!G407,TB_audited!E407)</f>
        <v>0</v>
      </c>
      <c r="H424" s="55" t="str">
        <f aca="false">IFERROR(VLOOKUP($A424,RA_result!$B$3:$N$62,11,0),"")</f>
        <v/>
      </c>
      <c r="I424" s="55" t="str">
        <f aca="false">IFERROR(VLOOKUP($A424,RA_result!$B$3:$N$62,12,0),"")</f>
        <v/>
      </c>
      <c r="J424" s="55" t="str">
        <f aca="false">IFERROR(VLOOKUP($A424,RA_result!$B$3:$N$62,13,0),"")</f>
        <v/>
      </c>
      <c r="K424" s="56"/>
      <c r="L424" s="56"/>
      <c r="M424" s="57" t="n">
        <f aca="false">G424</f>
        <v>0</v>
      </c>
      <c r="N424" s="54" t="n">
        <f aca="false">G424-M424</f>
        <v>0</v>
      </c>
      <c r="O424" s="55" t="str">
        <f aca="false">IFERROR(VLOOKUP($A424,RA_result!$B$3:$N$62,7,0),"")</f>
        <v/>
      </c>
      <c r="P424" s="52" t="str">
        <f aca="false">IFERROR(VLOOKUP($A424,RA_result!$B$3:$N$62,9,0),"")</f>
        <v/>
      </c>
      <c r="Q424" s="52" t="str">
        <f aca="false">IFERROR(VLOOKUP($A424,RA_result!$B$3:$N$62,10,0),"")</f>
        <v/>
      </c>
      <c r="R424" s="58" t="s">
        <v>55</v>
      </c>
      <c r="S424" s="59" t="str">
        <f aca="false">IFERROR(VLOOKUP($A424,RA_result!$B$3:$N$62,4,0),"")</f>
        <v/>
      </c>
      <c r="T424" s="60" t="s">
        <v>56</v>
      </c>
      <c r="U424" s="59" t="str">
        <f aca="false">IFERROR(IF(VLOOKUP($A424,RA_result!$B$3:$N$62,6,0)="",S424*T424,VLOOKUP($A424,RA_result!$B$3:$N$62,6,0)),"")</f>
        <v/>
      </c>
      <c r="V424" s="61" t="s">
        <v>56</v>
      </c>
      <c r="W424" s="62" t="n">
        <f aca="false">IFERROR((S424*30%)/V424,0)</f>
        <v>0</v>
      </c>
      <c r="X424" s="63" t="n">
        <f aca="false">IFERROR(N424/W424,0)</f>
        <v>0</v>
      </c>
      <c r="Y424" s="68"/>
      <c r="Z424" s="57"/>
      <c r="AA424" s="69" t="str">
        <f aca="false">IF(OR(U424="",Y424="",Z424=""),"",IF(AND(U424&gt;Y424,-U424&lt;Z424),"Ok","Not Ok"))</f>
        <v/>
      </c>
      <c r="AB424" s="70"/>
    </row>
    <row r="425" customFormat="false" ht="12.8" hidden="false" customHeight="false" outlineLevel="0" collapsed="false">
      <c r="A425" s="48" t="n">
        <f aca="false">TB_audited!A408</f>
        <v>0</v>
      </c>
      <c r="B425" s="49"/>
      <c r="C425" s="50"/>
      <c r="D425" s="51" t="n">
        <f aca="false">TB_audited!B408</f>
        <v>0</v>
      </c>
      <c r="E425" s="52" t="n">
        <f aca="false">TB_audited!C408</f>
        <v>0</v>
      </c>
      <c r="F425" s="53" t="n">
        <f aca="false">TB_audited!D408</f>
        <v>0</v>
      </c>
      <c r="G425" s="54" t="n">
        <f aca="false">IF($D$8="Interim",TB_audited!G408,TB_audited!E408)</f>
        <v>0</v>
      </c>
      <c r="H425" s="55" t="str">
        <f aca="false">IFERROR(VLOOKUP($A425,RA_result!$B$3:$N$62,11,0),"")</f>
        <v/>
      </c>
      <c r="I425" s="55" t="str">
        <f aca="false">IFERROR(VLOOKUP($A425,RA_result!$B$3:$N$62,12,0),"")</f>
        <v/>
      </c>
      <c r="J425" s="55" t="str">
        <f aca="false">IFERROR(VLOOKUP($A425,RA_result!$B$3:$N$62,13,0),"")</f>
        <v/>
      </c>
      <c r="K425" s="56"/>
      <c r="L425" s="56"/>
      <c r="M425" s="57" t="n">
        <f aca="false">G425</f>
        <v>0</v>
      </c>
      <c r="N425" s="54" t="n">
        <f aca="false">G425-M425</f>
        <v>0</v>
      </c>
      <c r="O425" s="55" t="str">
        <f aca="false">IFERROR(VLOOKUP($A425,RA_result!$B$3:$N$62,7,0),"")</f>
        <v/>
      </c>
      <c r="P425" s="52" t="str">
        <f aca="false">IFERROR(VLOOKUP($A425,RA_result!$B$3:$N$62,9,0),"")</f>
        <v/>
      </c>
      <c r="Q425" s="52" t="str">
        <f aca="false">IFERROR(VLOOKUP($A425,RA_result!$B$3:$N$62,10,0),"")</f>
        <v/>
      </c>
      <c r="R425" s="58" t="s">
        <v>55</v>
      </c>
      <c r="S425" s="59" t="str">
        <f aca="false">IFERROR(VLOOKUP($A425,RA_result!$B$3:$N$62,4,0),"")</f>
        <v/>
      </c>
      <c r="T425" s="60" t="s">
        <v>56</v>
      </c>
      <c r="U425" s="59" t="str">
        <f aca="false">IFERROR(IF(VLOOKUP($A425,RA_result!$B$3:$N$62,6,0)="",S425*T425,VLOOKUP($A425,RA_result!$B$3:$N$62,6,0)),"")</f>
        <v/>
      </c>
      <c r="V425" s="61" t="s">
        <v>56</v>
      </c>
      <c r="W425" s="62" t="n">
        <f aca="false">IFERROR((S425*30%)/V425,0)</f>
        <v>0</v>
      </c>
      <c r="X425" s="63" t="n">
        <f aca="false">IFERROR(N425/W425,0)</f>
        <v>0</v>
      </c>
      <c r="Y425" s="68"/>
      <c r="Z425" s="57"/>
      <c r="AA425" s="69" t="str">
        <f aca="false">IF(OR(U425="",Y425="",Z425=""),"",IF(AND(U425&gt;Y425,-U425&lt;Z425),"Ok","Not Ok"))</f>
        <v/>
      </c>
      <c r="AB425" s="70"/>
    </row>
    <row r="426" customFormat="false" ht="12.8" hidden="false" customHeight="false" outlineLevel="0" collapsed="false">
      <c r="A426" s="48" t="n">
        <f aca="false">TB_audited!A409</f>
        <v>0</v>
      </c>
      <c r="B426" s="49"/>
      <c r="C426" s="50"/>
      <c r="D426" s="51" t="n">
        <f aca="false">TB_audited!B409</f>
        <v>0</v>
      </c>
      <c r="E426" s="52" t="n">
        <f aca="false">TB_audited!C409</f>
        <v>0</v>
      </c>
      <c r="F426" s="53" t="n">
        <f aca="false">TB_audited!D409</f>
        <v>0</v>
      </c>
      <c r="G426" s="54" t="n">
        <f aca="false">IF($D$8="Interim",TB_audited!G409,TB_audited!E409)</f>
        <v>0</v>
      </c>
      <c r="H426" s="55" t="str">
        <f aca="false">IFERROR(VLOOKUP($A426,RA_result!$B$3:$N$62,11,0),"")</f>
        <v/>
      </c>
      <c r="I426" s="55" t="str">
        <f aca="false">IFERROR(VLOOKUP($A426,RA_result!$B$3:$N$62,12,0),"")</f>
        <v/>
      </c>
      <c r="J426" s="55" t="str">
        <f aca="false">IFERROR(VLOOKUP($A426,RA_result!$B$3:$N$62,13,0),"")</f>
        <v/>
      </c>
      <c r="K426" s="56"/>
      <c r="L426" s="56"/>
      <c r="M426" s="57" t="n">
        <f aca="false">G426</f>
        <v>0</v>
      </c>
      <c r="N426" s="54" t="n">
        <f aca="false">G426-M426</f>
        <v>0</v>
      </c>
      <c r="O426" s="55" t="str">
        <f aca="false">IFERROR(VLOOKUP($A426,RA_result!$B$3:$N$62,7,0),"")</f>
        <v/>
      </c>
      <c r="P426" s="52" t="str">
        <f aca="false">IFERROR(VLOOKUP($A426,RA_result!$B$3:$N$62,9,0),"")</f>
        <v/>
      </c>
      <c r="Q426" s="52" t="str">
        <f aca="false">IFERROR(VLOOKUP($A426,RA_result!$B$3:$N$62,10,0),"")</f>
        <v/>
      </c>
      <c r="R426" s="58" t="s">
        <v>55</v>
      </c>
      <c r="S426" s="59" t="str">
        <f aca="false">IFERROR(VLOOKUP($A426,RA_result!$B$3:$N$62,4,0),"")</f>
        <v/>
      </c>
      <c r="T426" s="60" t="s">
        <v>56</v>
      </c>
      <c r="U426" s="59" t="str">
        <f aca="false">IFERROR(IF(VLOOKUP($A426,RA_result!$B$3:$N$62,6,0)="",S426*T426,VLOOKUP($A426,RA_result!$B$3:$N$62,6,0)),"")</f>
        <v/>
      </c>
      <c r="V426" s="61" t="s">
        <v>56</v>
      </c>
      <c r="W426" s="62" t="n">
        <f aca="false">IFERROR((S426*30%)/V426,0)</f>
        <v>0</v>
      </c>
      <c r="X426" s="63" t="n">
        <f aca="false">IFERROR(N426/W426,0)</f>
        <v>0</v>
      </c>
      <c r="Y426" s="68"/>
      <c r="Z426" s="57"/>
      <c r="AA426" s="69" t="str">
        <f aca="false">IF(OR(U426="",Y426="",Z426=""),"",IF(AND(U426&gt;Y426,-U426&lt;Z426),"Ok","Not Ok"))</f>
        <v/>
      </c>
      <c r="AB426" s="70"/>
    </row>
    <row r="427" customFormat="false" ht="12.8" hidden="false" customHeight="false" outlineLevel="0" collapsed="false">
      <c r="A427" s="48" t="n">
        <f aca="false">TB_audited!A410</f>
        <v>0</v>
      </c>
      <c r="B427" s="49"/>
      <c r="C427" s="50"/>
      <c r="D427" s="51" t="n">
        <f aca="false">TB_audited!B410</f>
        <v>0</v>
      </c>
      <c r="E427" s="52" t="n">
        <f aca="false">TB_audited!C410</f>
        <v>0</v>
      </c>
      <c r="F427" s="53" t="n">
        <f aca="false">TB_audited!D410</f>
        <v>0</v>
      </c>
      <c r="G427" s="54" t="n">
        <f aca="false">IF($D$8="Interim",TB_audited!G410,TB_audited!E410)</f>
        <v>0</v>
      </c>
      <c r="H427" s="55" t="str">
        <f aca="false">IFERROR(VLOOKUP($A427,RA_result!$B$3:$N$62,11,0),"")</f>
        <v/>
      </c>
      <c r="I427" s="55" t="str">
        <f aca="false">IFERROR(VLOOKUP($A427,RA_result!$B$3:$N$62,12,0),"")</f>
        <v/>
      </c>
      <c r="J427" s="55" t="str">
        <f aca="false">IFERROR(VLOOKUP($A427,RA_result!$B$3:$N$62,13,0),"")</f>
        <v/>
      </c>
      <c r="K427" s="56"/>
      <c r="L427" s="56"/>
      <c r="M427" s="57" t="n">
        <f aca="false">G427</f>
        <v>0</v>
      </c>
      <c r="N427" s="54" t="n">
        <f aca="false">G427-M427</f>
        <v>0</v>
      </c>
      <c r="O427" s="55" t="str">
        <f aca="false">IFERROR(VLOOKUP($A427,RA_result!$B$3:$N$62,7,0),"")</f>
        <v/>
      </c>
      <c r="P427" s="52" t="str">
        <f aca="false">IFERROR(VLOOKUP($A427,RA_result!$B$3:$N$62,9,0),"")</f>
        <v/>
      </c>
      <c r="Q427" s="52" t="str">
        <f aca="false">IFERROR(VLOOKUP($A427,RA_result!$B$3:$N$62,10,0),"")</f>
        <v/>
      </c>
      <c r="R427" s="58" t="s">
        <v>55</v>
      </c>
      <c r="S427" s="59" t="str">
        <f aca="false">IFERROR(VLOOKUP($A427,RA_result!$B$3:$N$62,4,0),"")</f>
        <v/>
      </c>
      <c r="T427" s="60" t="s">
        <v>56</v>
      </c>
      <c r="U427" s="59" t="str">
        <f aca="false">IFERROR(IF(VLOOKUP($A427,RA_result!$B$3:$N$62,6,0)="",S427*T427,VLOOKUP($A427,RA_result!$B$3:$N$62,6,0)),"")</f>
        <v/>
      </c>
      <c r="V427" s="61" t="s">
        <v>56</v>
      </c>
      <c r="W427" s="62" t="n">
        <f aca="false">IFERROR((S427*30%)/V427,0)</f>
        <v>0</v>
      </c>
      <c r="X427" s="63" t="n">
        <f aca="false">IFERROR(N427/W427,0)</f>
        <v>0</v>
      </c>
      <c r="Y427" s="68"/>
      <c r="Z427" s="57"/>
      <c r="AA427" s="69" t="str">
        <f aca="false">IF(OR(U427="",Y427="",Z427=""),"",IF(AND(U427&gt;Y427,-U427&lt;Z427),"Ok","Not Ok"))</f>
        <v/>
      </c>
      <c r="AB427" s="70"/>
    </row>
    <row r="428" customFormat="false" ht="12.8" hidden="false" customHeight="false" outlineLevel="0" collapsed="false">
      <c r="A428" s="48" t="n">
        <f aca="false">TB_audited!A411</f>
        <v>0</v>
      </c>
      <c r="B428" s="49"/>
      <c r="C428" s="50"/>
      <c r="D428" s="51" t="n">
        <f aca="false">TB_audited!B411</f>
        <v>0</v>
      </c>
      <c r="E428" s="52" t="n">
        <f aca="false">TB_audited!C411</f>
        <v>0</v>
      </c>
      <c r="F428" s="53" t="n">
        <f aca="false">TB_audited!D411</f>
        <v>0</v>
      </c>
      <c r="G428" s="54" t="n">
        <f aca="false">IF($D$8="Interim",TB_audited!G411,TB_audited!E411)</f>
        <v>0</v>
      </c>
      <c r="H428" s="55" t="str">
        <f aca="false">IFERROR(VLOOKUP($A428,RA_result!$B$3:$N$62,11,0),"")</f>
        <v/>
      </c>
      <c r="I428" s="55" t="str">
        <f aca="false">IFERROR(VLOOKUP($A428,RA_result!$B$3:$N$62,12,0),"")</f>
        <v/>
      </c>
      <c r="J428" s="55" t="str">
        <f aca="false">IFERROR(VLOOKUP($A428,RA_result!$B$3:$N$62,13,0),"")</f>
        <v/>
      </c>
      <c r="K428" s="56"/>
      <c r="L428" s="56"/>
      <c r="M428" s="57" t="n">
        <f aca="false">G428</f>
        <v>0</v>
      </c>
      <c r="N428" s="54" t="n">
        <f aca="false">G428-M428</f>
        <v>0</v>
      </c>
      <c r="O428" s="55" t="str">
        <f aca="false">IFERROR(VLOOKUP($A428,RA_result!$B$3:$N$62,7,0),"")</f>
        <v/>
      </c>
      <c r="P428" s="52" t="str">
        <f aca="false">IFERROR(VLOOKUP($A428,RA_result!$B$3:$N$62,9,0),"")</f>
        <v/>
      </c>
      <c r="Q428" s="52" t="str">
        <f aca="false">IFERROR(VLOOKUP($A428,RA_result!$B$3:$N$62,10,0),"")</f>
        <v/>
      </c>
      <c r="R428" s="58" t="s">
        <v>55</v>
      </c>
      <c r="S428" s="59" t="str">
        <f aca="false">IFERROR(VLOOKUP($A428,RA_result!$B$3:$N$62,4,0),"")</f>
        <v/>
      </c>
      <c r="T428" s="60" t="s">
        <v>56</v>
      </c>
      <c r="U428" s="59" t="str">
        <f aca="false">IFERROR(IF(VLOOKUP($A428,RA_result!$B$3:$N$62,6,0)="",S428*T428,VLOOKUP($A428,RA_result!$B$3:$N$62,6,0)),"")</f>
        <v/>
      </c>
      <c r="V428" s="61" t="s">
        <v>56</v>
      </c>
      <c r="W428" s="62" t="n">
        <f aca="false">IFERROR((S428*30%)/V428,0)</f>
        <v>0</v>
      </c>
      <c r="X428" s="63" t="n">
        <f aca="false">IFERROR(N428/W428,0)</f>
        <v>0</v>
      </c>
      <c r="Y428" s="68"/>
      <c r="Z428" s="57"/>
      <c r="AA428" s="69" t="str">
        <f aca="false">IF(OR(U428="",Y428="",Z428=""),"",IF(AND(U428&gt;Y428,-U428&lt;Z428),"Ok","Not Ok"))</f>
        <v/>
      </c>
      <c r="AB428" s="70"/>
    </row>
    <row r="429" customFormat="false" ht="12.8" hidden="false" customHeight="false" outlineLevel="0" collapsed="false">
      <c r="A429" s="48" t="n">
        <f aca="false">TB_audited!A412</f>
        <v>0</v>
      </c>
      <c r="B429" s="49"/>
      <c r="C429" s="50"/>
      <c r="D429" s="51" t="n">
        <f aca="false">TB_audited!B412</f>
        <v>0</v>
      </c>
      <c r="E429" s="52" t="n">
        <f aca="false">TB_audited!C412</f>
        <v>0</v>
      </c>
      <c r="F429" s="53" t="n">
        <f aca="false">TB_audited!D412</f>
        <v>0</v>
      </c>
      <c r="G429" s="54" t="n">
        <f aca="false">IF($D$8="Interim",TB_audited!G412,TB_audited!E412)</f>
        <v>0</v>
      </c>
      <c r="H429" s="55" t="str">
        <f aca="false">IFERROR(VLOOKUP($A429,RA_result!$B$3:$N$62,11,0),"")</f>
        <v/>
      </c>
      <c r="I429" s="55" t="str">
        <f aca="false">IFERROR(VLOOKUP($A429,RA_result!$B$3:$N$62,12,0),"")</f>
        <v/>
      </c>
      <c r="J429" s="55" t="str">
        <f aca="false">IFERROR(VLOOKUP($A429,RA_result!$B$3:$N$62,13,0),"")</f>
        <v/>
      </c>
      <c r="K429" s="56"/>
      <c r="L429" s="56"/>
      <c r="M429" s="57" t="n">
        <f aca="false">G429</f>
        <v>0</v>
      </c>
      <c r="N429" s="54" t="n">
        <f aca="false">G429-M429</f>
        <v>0</v>
      </c>
      <c r="O429" s="55" t="str">
        <f aca="false">IFERROR(VLOOKUP($A429,RA_result!$B$3:$N$62,7,0),"")</f>
        <v/>
      </c>
      <c r="P429" s="52" t="str">
        <f aca="false">IFERROR(VLOOKUP($A429,RA_result!$B$3:$N$62,9,0),"")</f>
        <v/>
      </c>
      <c r="Q429" s="52" t="str">
        <f aca="false">IFERROR(VLOOKUP($A429,RA_result!$B$3:$N$62,10,0),"")</f>
        <v/>
      </c>
      <c r="R429" s="58" t="s">
        <v>55</v>
      </c>
      <c r="S429" s="59" t="str">
        <f aca="false">IFERROR(VLOOKUP($A429,RA_result!$B$3:$N$62,4,0),"")</f>
        <v/>
      </c>
      <c r="T429" s="60" t="s">
        <v>56</v>
      </c>
      <c r="U429" s="59" t="str">
        <f aca="false">IFERROR(IF(VLOOKUP($A429,RA_result!$B$3:$N$62,6,0)="",S429*T429,VLOOKUP($A429,RA_result!$B$3:$N$62,6,0)),"")</f>
        <v/>
      </c>
      <c r="V429" s="61" t="s">
        <v>56</v>
      </c>
      <c r="W429" s="62" t="n">
        <f aca="false">IFERROR((S429*30%)/V429,0)</f>
        <v>0</v>
      </c>
      <c r="X429" s="63" t="n">
        <f aca="false">IFERROR(N429/W429,0)</f>
        <v>0</v>
      </c>
      <c r="Y429" s="68"/>
      <c r="Z429" s="57"/>
      <c r="AA429" s="69" t="str">
        <f aca="false">IF(OR(U429="",Y429="",Z429=""),"",IF(AND(U429&gt;Y429,-U429&lt;Z429),"Ok","Not Ok"))</f>
        <v/>
      </c>
      <c r="AB429" s="70"/>
    </row>
    <row r="430" customFormat="false" ht="12.8" hidden="false" customHeight="false" outlineLevel="0" collapsed="false">
      <c r="A430" s="48" t="n">
        <f aca="false">TB_audited!A413</f>
        <v>0</v>
      </c>
      <c r="B430" s="49"/>
      <c r="C430" s="50"/>
      <c r="D430" s="51" t="n">
        <f aca="false">TB_audited!B413</f>
        <v>0</v>
      </c>
      <c r="E430" s="52" t="n">
        <f aca="false">TB_audited!C413</f>
        <v>0</v>
      </c>
      <c r="F430" s="53" t="n">
        <f aca="false">TB_audited!D413</f>
        <v>0</v>
      </c>
      <c r="G430" s="54" t="n">
        <f aca="false">IF($D$8="Interim",TB_audited!G413,TB_audited!E413)</f>
        <v>0</v>
      </c>
      <c r="H430" s="55" t="str">
        <f aca="false">IFERROR(VLOOKUP($A430,RA_result!$B$3:$N$62,11,0),"")</f>
        <v/>
      </c>
      <c r="I430" s="55" t="str">
        <f aca="false">IFERROR(VLOOKUP($A430,RA_result!$B$3:$N$62,12,0),"")</f>
        <v/>
      </c>
      <c r="J430" s="55" t="str">
        <f aca="false">IFERROR(VLOOKUP($A430,RA_result!$B$3:$N$62,13,0),"")</f>
        <v/>
      </c>
      <c r="K430" s="56"/>
      <c r="L430" s="56"/>
      <c r="M430" s="57" t="n">
        <f aca="false">G430</f>
        <v>0</v>
      </c>
      <c r="N430" s="54" t="n">
        <f aca="false">G430-M430</f>
        <v>0</v>
      </c>
      <c r="O430" s="55" t="str">
        <f aca="false">IFERROR(VLOOKUP($A430,RA_result!$B$3:$N$62,7,0),"")</f>
        <v/>
      </c>
      <c r="P430" s="52" t="str">
        <f aca="false">IFERROR(VLOOKUP($A430,RA_result!$B$3:$N$62,9,0),"")</f>
        <v/>
      </c>
      <c r="Q430" s="52" t="str">
        <f aca="false">IFERROR(VLOOKUP($A430,RA_result!$B$3:$N$62,10,0),"")</f>
        <v/>
      </c>
      <c r="R430" s="58" t="s">
        <v>55</v>
      </c>
      <c r="S430" s="59" t="str">
        <f aca="false">IFERROR(VLOOKUP($A430,RA_result!$B$3:$N$62,4,0),"")</f>
        <v/>
      </c>
      <c r="T430" s="60" t="s">
        <v>56</v>
      </c>
      <c r="U430" s="59" t="str">
        <f aca="false">IFERROR(IF(VLOOKUP($A430,RA_result!$B$3:$N$62,6,0)="",S430*T430,VLOOKUP($A430,RA_result!$B$3:$N$62,6,0)),"")</f>
        <v/>
      </c>
      <c r="V430" s="61" t="s">
        <v>56</v>
      </c>
      <c r="W430" s="62" t="n">
        <f aca="false">IFERROR((S430*30%)/V430,0)</f>
        <v>0</v>
      </c>
      <c r="X430" s="63" t="n">
        <f aca="false">IFERROR(N430/W430,0)</f>
        <v>0</v>
      </c>
      <c r="Y430" s="68"/>
      <c r="Z430" s="57"/>
      <c r="AA430" s="69" t="str">
        <f aca="false">IF(OR(U430="",Y430="",Z430=""),"",IF(AND(U430&gt;Y430,-U430&lt;Z430),"Ok","Not Ok"))</f>
        <v/>
      </c>
      <c r="AB430" s="70"/>
    </row>
    <row r="431" customFormat="false" ht="12.8" hidden="false" customHeight="false" outlineLevel="0" collapsed="false">
      <c r="A431" s="48" t="n">
        <f aca="false">TB_audited!A414</f>
        <v>0</v>
      </c>
      <c r="B431" s="49"/>
      <c r="C431" s="50"/>
      <c r="D431" s="51" t="n">
        <f aca="false">TB_audited!B414</f>
        <v>0</v>
      </c>
      <c r="E431" s="52" t="n">
        <f aca="false">TB_audited!C414</f>
        <v>0</v>
      </c>
      <c r="F431" s="53" t="n">
        <f aca="false">TB_audited!D414</f>
        <v>0</v>
      </c>
      <c r="G431" s="54" t="n">
        <f aca="false">IF($D$8="Interim",TB_audited!G414,TB_audited!E414)</f>
        <v>0</v>
      </c>
      <c r="H431" s="55" t="str">
        <f aca="false">IFERROR(VLOOKUP($A431,RA_result!$B$3:$N$62,11,0),"")</f>
        <v/>
      </c>
      <c r="I431" s="55" t="str">
        <f aca="false">IFERROR(VLOOKUP($A431,RA_result!$B$3:$N$62,12,0),"")</f>
        <v/>
      </c>
      <c r="J431" s="55" t="str">
        <f aca="false">IFERROR(VLOOKUP($A431,RA_result!$B$3:$N$62,13,0),"")</f>
        <v/>
      </c>
      <c r="K431" s="56"/>
      <c r="L431" s="56"/>
      <c r="M431" s="57" t="n">
        <f aca="false">G431</f>
        <v>0</v>
      </c>
      <c r="N431" s="54" t="n">
        <f aca="false">G431-M431</f>
        <v>0</v>
      </c>
      <c r="O431" s="55" t="str">
        <f aca="false">IFERROR(VLOOKUP($A431,RA_result!$B$3:$N$62,7,0),"")</f>
        <v/>
      </c>
      <c r="P431" s="52" t="str">
        <f aca="false">IFERROR(VLOOKUP($A431,RA_result!$B$3:$N$62,9,0),"")</f>
        <v/>
      </c>
      <c r="Q431" s="52" t="str">
        <f aca="false">IFERROR(VLOOKUP($A431,RA_result!$B$3:$N$62,10,0),"")</f>
        <v/>
      </c>
      <c r="R431" s="58" t="s">
        <v>55</v>
      </c>
      <c r="S431" s="59" t="str">
        <f aca="false">IFERROR(VLOOKUP($A431,RA_result!$B$3:$N$62,4,0),"")</f>
        <v/>
      </c>
      <c r="T431" s="60" t="s">
        <v>56</v>
      </c>
      <c r="U431" s="59" t="str">
        <f aca="false">IFERROR(IF(VLOOKUP($A431,RA_result!$B$3:$N$62,6,0)="",S431*T431,VLOOKUP($A431,RA_result!$B$3:$N$62,6,0)),"")</f>
        <v/>
      </c>
      <c r="V431" s="61" t="s">
        <v>56</v>
      </c>
      <c r="W431" s="62" t="n">
        <f aca="false">IFERROR((S431*30%)/V431,0)</f>
        <v>0</v>
      </c>
      <c r="X431" s="63" t="n">
        <f aca="false">IFERROR(N431/W431,0)</f>
        <v>0</v>
      </c>
      <c r="Y431" s="68"/>
      <c r="Z431" s="57"/>
      <c r="AA431" s="69" t="str">
        <f aca="false">IF(OR(U431="",Y431="",Z431=""),"",IF(AND(U431&gt;Y431,-U431&lt;Z431),"Ok","Not Ok"))</f>
        <v/>
      </c>
      <c r="AB431" s="70"/>
    </row>
    <row r="432" customFormat="false" ht="12.8" hidden="false" customHeight="false" outlineLevel="0" collapsed="false">
      <c r="A432" s="48" t="n">
        <f aca="false">TB_audited!A415</f>
        <v>0</v>
      </c>
      <c r="B432" s="49"/>
      <c r="C432" s="50"/>
      <c r="D432" s="51" t="n">
        <f aca="false">TB_audited!B415</f>
        <v>0</v>
      </c>
      <c r="E432" s="52" t="n">
        <f aca="false">TB_audited!C415</f>
        <v>0</v>
      </c>
      <c r="F432" s="53" t="n">
        <f aca="false">TB_audited!D415</f>
        <v>0</v>
      </c>
      <c r="G432" s="54" t="n">
        <f aca="false">IF($D$8="Interim",TB_audited!G415,TB_audited!E415)</f>
        <v>0</v>
      </c>
      <c r="H432" s="55" t="str">
        <f aca="false">IFERROR(VLOOKUP($A432,RA_result!$B$3:$N$62,11,0),"")</f>
        <v/>
      </c>
      <c r="I432" s="55" t="str">
        <f aca="false">IFERROR(VLOOKUP($A432,RA_result!$B$3:$N$62,12,0),"")</f>
        <v/>
      </c>
      <c r="J432" s="55" t="str">
        <f aca="false">IFERROR(VLOOKUP($A432,RA_result!$B$3:$N$62,13,0),"")</f>
        <v/>
      </c>
      <c r="K432" s="56"/>
      <c r="L432" s="56"/>
      <c r="M432" s="57" t="n">
        <f aca="false">G432</f>
        <v>0</v>
      </c>
      <c r="N432" s="54" t="n">
        <f aca="false">G432-M432</f>
        <v>0</v>
      </c>
      <c r="O432" s="55" t="str">
        <f aca="false">IFERROR(VLOOKUP($A432,RA_result!$B$3:$N$62,7,0),"")</f>
        <v/>
      </c>
      <c r="P432" s="52" t="str">
        <f aca="false">IFERROR(VLOOKUP($A432,RA_result!$B$3:$N$62,9,0),"")</f>
        <v/>
      </c>
      <c r="Q432" s="52" t="str">
        <f aca="false">IFERROR(VLOOKUP($A432,RA_result!$B$3:$N$62,10,0),"")</f>
        <v/>
      </c>
      <c r="R432" s="58" t="s">
        <v>55</v>
      </c>
      <c r="S432" s="59" t="str">
        <f aca="false">IFERROR(VLOOKUP($A432,RA_result!$B$3:$N$62,4,0),"")</f>
        <v/>
      </c>
      <c r="T432" s="60" t="s">
        <v>56</v>
      </c>
      <c r="U432" s="59" t="str">
        <f aca="false">IFERROR(IF(VLOOKUP($A432,RA_result!$B$3:$N$62,6,0)="",S432*T432,VLOOKUP($A432,RA_result!$B$3:$N$62,6,0)),"")</f>
        <v/>
      </c>
      <c r="V432" s="61" t="s">
        <v>56</v>
      </c>
      <c r="W432" s="62" t="n">
        <f aca="false">IFERROR((S432*30%)/V432,0)</f>
        <v>0</v>
      </c>
      <c r="X432" s="63" t="n">
        <f aca="false">IFERROR(N432/W432,0)</f>
        <v>0</v>
      </c>
      <c r="Y432" s="68"/>
      <c r="Z432" s="57"/>
      <c r="AA432" s="69" t="str">
        <f aca="false">IF(OR(U432="",Y432="",Z432=""),"",IF(AND(U432&gt;Y432,-U432&lt;Z432),"Ok","Not Ok"))</f>
        <v/>
      </c>
      <c r="AB432" s="70"/>
    </row>
    <row r="433" customFormat="false" ht="12.8" hidden="false" customHeight="false" outlineLevel="0" collapsed="false">
      <c r="A433" s="48" t="n">
        <f aca="false">TB_audited!A416</f>
        <v>0</v>
      </c>
      <c r="B433" s="49"/>
      <c r="C433" s="50"/>
      <c r="D433" s="51" t="n">
        <f aca="false">TB_audited!B416</f>
        <v>0</v>
      </c>
      <c r="E433" s="52" t="n">
        <f aca="false">TB_audited!C416</f>
        <v>0</v>
      </c>
      <c r="F433" s="53" t="n">
        <f aca="false">TB_audited!D416</f>
        <v>0</v>
      </c>
      <c r="G433" s="54" t="n">
        <f aca="false">IF($D$8="Interim",TB_audited!G416,TB_audited!E416)</f>
        <v>0</v>
      </c>
      <c r="H433" s="55" t="str">
        <f aca="false">IFERROR(VLOOKUP($A433,RA_result!$B$3:$N$62,11,0),"")</f>
        <v/>
      </c>
      <c r="I433" s="55" t="str">
        <f aca="false">IFERROR(VLOOKUP($A433,RA_result!$B$3:$N$62,12,0),"")</f>
        <v/>
      </c>
      <c r="J433" s="55" t="str">
        <f aca="false">IFERROR(VLOOKUP($A433,RA_result!$B$3:$N$62,13,0),"")</f>
        <v/>
      </c>
      <c r="K433" s="56"/>
      <c r="L433" s="56"/>
      <c r="M433" s="57" t="n">
        <f aca="false">G433</f>
        <v>0</v>
      </c>
      <c r="N433" s="54" t="n">
        <f aca="false">G433-M433</f>
        <v>0</v>
      </c>
      <c r="O433" s="55" t="str">
        <f aca="false">IFERROR(VLOOKUP($A433,RA_result!$B$3:$N$62,7,0),"")</f>
        <v/>
      </c>
      <c r="P433" s="52" t="str">
        <f aca="false">IFERROR(VLOOKUP($A433,RA_result!$B$3:$N$62,9,0),"")</f>
        <v/>
      </c>
      <c r="Q433" s="52" t="str">
        <f aca="false">IFERROR(VLOOKUP($A433,RA_result!$B$3:$N$62,10,0),"")</f>
        <v/>
      </c>
      <c r="R433" s="58" t="s">
        <v>55</v>
      </c>
      <c r="S433" s="59" t="str">
        <f aca="false">IFERROR(VLOOKUP($A433,RA_result!$B$3:$N$62,4,0),"")</f>
        <v/>
      </c>
      <c r="T433" s="60" t="s">
        <v>56</v>
      </c>
      <c r="U433" s="59" t="str">
        <f aca="false">IFERROR(IF(VLOOKUP($A433,RA_result!$B$3:$N$62,6,0)="",S433*T433,VLOOKUP($A433,RA_result!$B$3:$N$62,6,0)),"")</f>
        <v/>
      </c>
      <c r="V433" s="61" t="s">
        <v>56</v>
      </c>
      <c r="W433" s="62" t="n">
        <f aca="false">IFERROR((S433*30%)/V433,0)</f>
        <v>0</v>
      </c>
      <c r="X433" s="63" t="n">
        <f aca="false">IFERROR(N433/W433,0)</f>
        <v>0</v>
      </c>
      <c r="Y433" s="68"/>
      <c r="Z433" s="57"/>
      <c r="AA433" s="69" t="str">
        <f aca="false">IF(OR(U433="",Y433="",Z433=""),"",IF(AND(U433&gt;Y433,-U433&lt;Z433),"Ok","Not Ok"))</f>
        <v/>
      </c>
      <c r="AB433" s="70"/>
    </row>
    <row r="434" customFormat="false" ht="12.8" hidden="false" customHeight="false" outlineLevel="0" collapsed="false">
      <c r="A434" s="48" t="n">
        <f aca="false">TB_audited!A417</f>
        <v>0</v>
      </c>
      <c r="B434" s="49"/>
      <c r="C434" s="50"/>
      <c r="D434" s="51" t="n">
        <f aca="false">TB_audited!B417</f>
        <v>0</v>
      </c>
      <c r="E434" s="52" t="n">
        <f aca="false">TB_audited!C417</f>
        <v>0</v>
      </c>
      <c r="F434" s="53" t="n">
        <f aca="false">TB_audited!D417</f>
        <v>0</v>
      </c>
      <c r="G434" s="54" t="n">
        <f aca="false">IF($D$8="Interim",TB_audited!G417,TB_audited!E417)</f>
        <v>0</v>
      </c>
      <c r="H434" s="55" t="str">
        <f aca="false">IFERROR(VLOOKUP($A434,RA_result!$B$3:$N$62,11,0),"")</f>
        <v/>
      </c>
      <c r="I434" s="55" t="str">
        <f aca="false">IFERROR(VLOOKUP($A434,RA_result!$B$3:$N$62,12,0),"")</f>
        <v/>
      </c>
      <c r="J434" s="55" t="str">
        <f aca="false">IFERROR(VLOOKUP($A434,RA_result!$B$3:$N$62,13,0),"")</f>
        <v/>
      </c>
      <c r="K434" s="56"/>
      <c r="L434" s="56"/>
      <c r="M434" s="57" t="n">
        <f aca="false">G434</f>
        <v>0</v>
      </c>
      <c r="N434" s="54" t="n">
        <f aca="false">G434-M434</f>
        <v>0</v>
      </c>
      <c r="O434" s="55" t="str">
        <f aca="false">IFERROR(VLOOKUP($A434,RA_result!$B$3:$N$62,7,0),"")</f>
        <v/>
      </c>
      <c r="P434" s="52" t="str">
        <f aca="false">IFERROR(VLOOKUP($A434,RA_result!$B$3:$N$62,9,0),"")</f>
        <v/>
      </c>
      <c r="Q434" s="52" t="str">
        <f aca="false">IFERROR(VLOOKUP($A434,RA_result!$B$3:$N$62,10,0),"")</f>
        <v/>
      </c>
      <c r="R434" s="58" t="s">
        <v>55</v>
      </c>
      <c r="S434" s="59" t="str">
        <f aca="false">IFERROR(VLOOKUP($A434,RA_result!$B$3:$N$62,4,0),"")</f>
        <v/>
      </c>
      <c r="T434" s="60" t="s">
        <v>56</v>
      </c>
      <c r="U434" s="59" t="str">
        <f aca="false">IFERROR(IF(VLOOKUP($A434,RA_result!$B$3:$N$62,6,0)="",S434*T434,VLOOKUP($A434,RA_result!$B$3:$N$62,6,0)),"")</f>
        <v/>
      </c>
      <c r="V434" s="61" t="s">
        <v>56</v>
      </c>
      <c r="W434" s="62" t="n">
        <f aca="false">IFERROR((S434*30%)/V434,0)</f>
        <v>0</v>
      </c>
      <c r="X434" s="63" t="n">
        <f aca="false">IFERROR(N434/W434,0)</f>
        <v>0</v>
      </c>
      <c r="Y434" s="68"/>
      <c r="Z434" s="57"/>
      <c r="AA434" s="69" t="str">
        <f aca="false">IF(OR(U434="",Y434="",Z434=""),"",IF(AND(U434&gt;Y434,-U434&lt;Z434),"Ok","Not Ok"))</f>
        <v/>
      </c>
      <c r="AB434" s="70"/>
    </row>
    <row r="435" customFormat="false" ht="12.8" hidden="false" customHeight="false" outlineLevel="0" collapsed="false">
      <c r="A435" s="48" t="n">
        <f aca="false">TB_audited!A418</f>
        <v>0</v>
      </c>
      <c r="B435" s="49"/>
      <c r="C435" s="50"/>
      <c r="D435" s="51" t="n">
        <f aca="false">TB_audited!B418</f>
        <v>0</v>
      </c>
      <c r="E435" s="52" t="n">
        <f aca="false">TB_audited!C418</f>
        <v>0</v>
      </c>
      <c r="F435" s="53" t="n">
        <f aca="false">TB_audited!D418</f>
        <v>0</v>
      </c>
      <c r="G435" s="54" t="n">
        <f aca="false">IF($D$8="Interim",TB_audited!G418,TB_audited!E418)</f>
        <v>0</v>
      </c>
      <c r="H435" s="55" t="str">
        <f aca="false">IFERROR(VLOOKUP($A435,RA_result!$B$3:$N$62,11,0),"")</f>
        <v/>
      </c>
      <c r="I435" s="55" t="str">
        <f aca="false">IFERROR(VLOOKUP($A435,RA_result!$B$3:$N$62,12,0),"")</f>
        <v/>
      </c>
      <c r="J435" s="55" t="str">
        <f aca="false">IFERROR(VLOOKUP($A435,RA_result!$B$3:$N$62,13,0),"")</f>
        <v/>
      </c>
      <c r="K435" s="56"/>
      <c r="L435" s="56"/>
      <c r="M435" s="57" t="n">
        <f aca="false">G435</f>
        <v>0</v>
      </c>
      <c r="N435" s="54" t="n">
        <f aca="false">G435-M435</f>
        <v>0</v>
      </c>
      <c r="O435" s="55" t="str">
        <f aca="false">IFERROR(VLOOKUP($A435,RA_result!$B$3:$N$62,7,0),"")</f>
        <v/>
      </c>
      <c r="P435" s="52" t="str">
        <f aca="false">IFERROR(VLOOKUP($A435,RA_result!$B$3:$N$62,9,0),"")</f>
        <v/>
      </c>
      <c r="Q435" s="52" t="str">
        <f aca="false">IFERROR(VLOOKUP($A435,RA_result!$B$3:$N$62,10,0),"")</f>
        <v/>
      </c>
      <c r="R435" s="58" t="s">
        <v>55</v>
      </c>
      <c r="S435" s="59" t="str">
        <f aca="false">IFERROR(VLOOKUP($A435,RA_result!$B$3:$N$62,4,0),"")</f>
        <v/>
      </c>
      <c r="T435" s="60" t="s">
        <v>56</v>
      </c>
      <c r="U435" s="59" t="str">
        <f aca="false">IFERROR(IF(VLOOKUP($A435,RA_result!$B$3:$N$62,6,0)="",S435*T435,VLOOKUP($A435,RA_result!$B$3:$N$62,6,0)),"")</f>
        <v/>
      </c>
      <c r="V435" s="61" t="s">
        <v>56</v>
      </c>
      <c r="W435" s="62" t="n">
        <f aca="false">IFERROR((S435*30%)/V435,0)</f>
        <v>0</v>
      </c>
      <c r="X435" s="63" t="n">
        <f aca="false">IFERROR(N435/W435,0)</f>
        <v>0</v>
      </c>
      <c r="Y435" s="68"/>
      <c r="Z435" s="57"/>
      <c r="AA435" s="69" t="str">
        <f aca="false">IF(OR(U435="",Y435="",Z435=""),"",IF(AND(U435&gt;Y435,-U435&lt;Z435),"Ok","Not Ok"))</f>
        <v/>
      </c>
      <c r="AB435" s="70"/>
    </row>
    <row r="436" customFormat="false" ht="12.8" hidden="false" customHeight="false" outlineLevel="0" collapsed="false">
      <c r="A436" s="48" t="n">
        <f aca="false">TB_audited!A419</f>
        <v>0</v>
      </c>
      <c r="B436" s="49"/>
      <c r="C436" s="50"/>
      <c r="D436" s="51" t="n">
        <f aca="false">TB_audited!B419</f>
        <v>0</v>
      </c>
      <c r="E436" s="52" t="n">
        <f aca="false">TB_audited!C419</f>
        <v>0</v>
      </c>
      <c r="F436" s="53" t="n">
        <f aca="false">TB_audited!D419</f>
        <v>0</v>
      </c>
      <c r="G436" s="54" t="n">
        <f aca="false">IF($D$8="Interim",TB_audited!G419,TB_audited!E419)</f>
        <v>0</v>
      </c>
      <c r="H436" s="55" t="str">
        <f aca="false">IFERROR(VLOOKUP($A436,RA_result!$B$3:$N$62,11,0),"")</f>
        <v/>
      </c>
      <c r="I436" s="55" t="str">
        <f aca="false">IFERROR(VLOOKUP($A436,RA_result!$B$3:$N$62,12,0),"")</f>
        <v/>
      </c>
      <c r="J436" s="55" t="str">
        <f aca="false">IFERROR(VLOOKUP($A436,RA_result!$B$3:$N$62,13,0),"")</f>
        <v/>
      </c>
      <c r="K436" s="56"/>
      <c r="L436" s="56"/>
      <c r="M436" s="57" t="n">
        <f aca="false">G436</f>
        <v>0</v>
      </c>
      <c r="N436" s="54" t="n">
        <f aca="false">G436-M436</f>
        <v>0</v>
      </c>
      <c r="O436" s="55" t="str">
        <f aca="false">IFERROR(VLOOKUP($A436,RA_result!$B$3:$N$62,7,0),"")</f>
        <v/>
      </c>
      <c r="P436" s="52" t="str">
        <f aca="false">IFERROR(VLOOKUP($A436,RA_result!$B$3:$N$62,9,0),"")</f>
        <v/>
      </c>
      <c r="Q436" s="52" t="str">
        <f aca="false">IFERROR(VLOOKUP($A436,RA_result!$B$3:$N$62,10,0),"")</f>
        <v/>
      </c>
      <c r="R436" s="58" t="s">
        <v>55</v>
      </c>
      <c r="S436" s="59" t="str">
        <f aca="false">IFERROR(VLOOKUP($A436,RA_result!$B$3:$N$62,4,0),"")</f>
        <v/>
      </c>
      <c r="T436" s="60" t="s">
        <v>56</v>
      </c>
      <c r="U436" s="59" t="str">
        <f aca="false">IFERROR(IF(VLOOKUP($A436,RA_result!$B$3:$N$62,6,0)="",S436*T436,VLOOKUP($A436,RA_result!$B$3:$N$62,6,0)),"")</f>
        <v/>
      </c>
      <c r="V436" s="61" t="s">
        <v>56</v>
      </c>
      <c r="W436" s="62" t="n">
        <f aca="false">IFERROR((S436*30%)/V436,0)</f>
        <v>0</v>
      </c>
      <c r="X436" s="63" t="n">
        <f aca="false">IFERROR(N436/W436,0)</f>
        <v>0</v>
      </c>
      <c r="Y436" s="68"/>
      <c r="Z436" s="57"/>
      <c r="AA436" s="69" t="str">
        <f aca="false">IF(OR(U436="",Y436="",Z436=""),"",IF(AND(U436&gt;Y436,-U436&lt;Z436),"Ok","Not Ok"))</f>
        <v/>
      </c>
      <c r="AB436" s="70"/>
    </row>
    <row r="437" customFormat="false" ht="12.8" hidden="false" customHeight="false" outlineLevel="0" collapsed="false">
      <c r="A437" s="48" t="n">
        <f aca="false">TB_audited!A420</f>
        <v>0</v>
      </c>
      <c r="B437" s="49"/>
      <c r="C437" s="50"/>
      <c r="D437" s="51" t="n">
        <f aca="false">TB_audited!B420</f>
        <v>0</v>
      </c>
      <c r="E437" s="52" t="n">
        <f aca="false">TB_audited!C420</f>
        <v>0</v>
      </c>
      <c r="F437" s="53" t="n">
        <f aca="false">TB_audited!D420</f>
        <v>0</v>
      </c>
      <c r="G437" s="54" t="n">
        <f aca="false">IF($D$8="Interim",TB_audited!G420,TB_audited!E420)</f>
        <v>0</v>
      </c>
      <c r="H437" s="55" t="str">
        <f aca="false">IFERROR(VLOOKUP($A437,RA_result!$B$3:$N$62,11,0),"")</f>
        <v/>
      </c>
      <c r="I437" s="55" t="str">
        <f aca="false">IFERROR(VLOOKUP($A437,RA_result!$B$3:$N$62,12,0),"")</f>
        <v/>
      </c>
      <c r="J437" s="55" t="str">
        <f aca="false">IFERROR(VLOOKUP($A437,RA_result!$B$3:$N$62,13,0),"")</f>
        <v/>
      </c>
      <c r="K437" s="56"/>
      <c r="L437" s="56"/>
      <c r="M437" s="57" t="n">
        <f aca="false">G437</f>
        <v>0</v>
      </c>
      <c r="N437" s="54" t="n">
        <f aca="false">G437-M437</f>
        <v>0</v>
      </c>
      <c r="O437" s="55" t="str">
        <f aca="false">IFERROR(VLOOKUP($A437,RA_result!$B$3:$N$62,7,0),"")</f>
        <v/>
      </c>
      <c r="P437" s="52" t="str">
        <f aca="false">IFERROR(VLOOKUP($A437,RA_result!$B$3:$N$62,9,0),"")</f>
        <v/>
      </c>
      <c r="Q437" s="52" t="str">
        <f aca="false">IFERROR(VLOOKUP($A437,RA_result!$B$3:$N$62,10,0),"")</f>
        <v/>
      </c>
      <c r="R437" s="58" t="s">
        <v>55</v>
      </c>
      <c r="S437" s="59" t="str">
        <f aca="false">IFERROR(VLOOKUP($A437,RA_result!$B$3:$N$62,4,0),"")</f>
        <v/>
      </c>
      <c r="T437" s="60" t="s">
        <v>56</v>
      </c>
      <c r="U437" s="59" t="str">
        <f aca="false">IFERROR(IF(VLOOKUP($A437,RA_result!$B$3:$N$62,6,0)="",S437*T437,VLOOKUP($A437,RA_result!$B$3:$N$62,6,0)),"")</f>
        <v/>
      </c>
      <c r="V437" s="61" t="s">
        <v>56</v>
      </c>
      <c r="W437" s="62" t="n">
        <f aca="false">IFERROR((S437*30%)/V437,0)</f>
        <v>0</v>
      </c>
      <c r="X437" s="63" t="n">
        <f aca="false">IFERROR(N437/W437,0)</f>
        <v>0</v>
      </c>
      <c r="Y437" s="68"/>
      <c r="Z437" s="57"/>
      <c r="AA437" s="69" t="str">
        <f aca="false">IF(OR(U437="",Y437="",Z437=""),"",IF(AND(U437&gt;Y437,-U437&lt;Z437),"Ok","Not Ok"))</f>
        <v/>
      </c>
      <c r="AB437" s="70"/>
    </row>
    <row r="438" customFormat="false" ht="12.8" hidden="false" customHeight="false" outlineLevel="0" collapsed="false">
      <c r="A438" s="48" t="n">
        <f aca="false">TB_audited!A421</f>
        <v>0</v>
      </c>
      <c r="B438" s="49"/>
      <c r="C438" s="50"/>
      <c r="D438" s="51" t="n">
        <f aca="false">TB_audited!B421</f>
        <v>0</v>
      </c>
      <c r="E438" s="52" t="n">
        <f aca="false">TB_audited!C421</f>
        <v>0</v>
      </c>
      <c r="F438" s="53" t="n">
        <f aca="false">TB_audited!D421</f>
        <v>0</v>
      </c>
      <c r="G438" s="54" t="n">
        <f aca="false">IF($D$8="Interim",TB_audited!G421,TB_audited!E421)</f>
        <v>0</v>
      </c>
      <c r="H438" s="55" t="str">
        <f aca="false">IFERROR(VLOOKUP($A438,RA_result!$B$3:$N$62,11,0),"")</f>
        <v/>
      </c>
      <c r="I438" s="55" t="str">
        <f aca="false">IFERROR(VLOOKUP($A438,RA_result!$B$3:$N$62,12,0),"")</f>
        <v/>
      </c>
      <c r="J438" s="55" t="str">
        <f aca="false">IFERROR(VLOOKUP($A438,RA_result!$B$3:$N$62,13,0),"")</f>
        <v/>
      </c>
      <c r="K438" s="56"/>
      <c r="L438" s="56"/>
      <c r="M438" s="57" t="n">
        <f aca="false">G438</f>
        <v>0</v>
      </c>
      <c r="N438" s="54" t="n">
        <f aca="false">G438-M438</f>
        <v>0</v>
      </c>
      <c r="O438" s="55" t="str">
        <f aca="false">IFERROR(VLOOKUP($A438,RA_result!$B$3:$N$62,7,0),"")</f>
        <v/>
      </c>
      <c r="P438" s="52" t="str">
        <f aca="false">IFERROR(VLOOKUP($A438,RA_result!$B$3:$N$62,9,0),"")</f>
        <v/>
      </c>
      <c r="Q438" s="52" t="str">
        <f aca="false">IFERROR(VLOOKUP($A438,RA_result!$B$3:$N$62,10,0),"")</f>
        <v/>
      </c>
      <c r="R438" s="58" t="s">
        <v>55</v>
      </c>
      <c r="S438" s="59" t="str">
        <f aca="false">IFERROR(VLOOKUP($A438,RA_result!$B$3:$N$62,4,0),"")</f>
        <v/>
      </c>
      <c r="T438" s="60" t="s">
        <v>56</v>
      </c>
      <c r="U438" s="59" t="str">
        <f aca="false">IFERROR(IF(VLOOKUP($A438,RA_result!$B$3:$N$62,6,0)="",S438*T438,VLOOKUP($A438,RA_result!$B$3:$N$62,6,0)),"")</f>
        <v/>
      </c>
      <c r="V438" s="61" t="s">
        <v>56</v>
      </c>
      <c r="W438" s="62" t="n">
        <f aca="false">IFERROR((S438*30%)/V438,0)</f>
        <v>0</v>
      </c>
      <c r="X438" s="63" t="n">
        <f aca="false">IFERROR(N438/W438,0)</f>
        <v>0</v>
      </c>
      <c r="Y438" s="68"/>
      <c r="Z438" s="57"/>
      <c r="AA438" s="69" t="str">
        <f aca="false">IF(OR(U438="",Y438="",Z438=""),"",IF(AND(U438&gt;Y438,-U438&lt;Z438),"Ok","Not Ok"))</f>
        <v/>
      </c>
      <c r="AB438" s="70"/>
    </row>
    <row r="439" customFormat="false" ht="12.8" hidden="false" customHeight="false" outlineLevel="0" collapsed="false">
      <c r="A439" s="48" t="n">
        <f aca="false">TB_audited!A422</f>
        <v>0</v>
      </c>
      <c r="B439" s="49"/>
      <c r="C439" s="50"/>
      <c r="D439" s="51" t="n">
        <f aca="false">TB_audited!B422</f>
        <v>0</v>
      </c>
      <c r="E439" s="52" t="n">
        <f aca="false">TB_audited!C422</f>
        <v>0</v>
      </c>
      <c r="F439" s="53" t="n">
        <f aca="false">TB_audited!D422</f>
        <v>0</v>
      </c>
      <c r="G439" s="54" t="n">
        <f aca="false">IF($D$8="Interim",TB_audited!G422,TB_audited!E422)</f>
        <v>0</v>
      </c>
      <c r="H439" s="55" t="str">
        <f aca="false">IFERROR(VLOOKUP($A439,RA_result!$B$3:$N$62,11,0),"")</f>
        <v/>
      </c>
      <c r="I439" s="55" t="str">
        <f aca="false">IFERROR(VLOOKUP($A439,RA_result!$B$3:$N$62,12,0),"")</f>
        <v/>
      </c>
      <c r="J439" s="55" t="str">
        <f aca="false">IFERROR(VLOOKUP($A439,RA_result!$B$3:$N$62,13,0),"")</f>
        <v/>
      </c>
      <c r="K439" s="56"/>
      <c r="L439" s="56"/>
      <c r="M439" s="57" t="n">
        <f aca="false">G439</f>
        <v>0</v>
      </c>
      <c r="N439" s="54" t="n">
        <f aca="false">G439-M439</f>
        <v>0</v>
      </c>
      <c r="O439" s="55" t="str">
        <f aca="false">IFERROR(VLOOKUP($A439,RA_result!$B$3:$N$62,7,0),"")</f>
        <v/>
      </c>
      <c r="P439" s="52" t="str">
        <f aca="false">IFERROR(VLOOKUP($A439,RA_result!$B$3:$N$62,9,0),"")</f>
        <v/>
      </c>
      <c r="Q439" s="52" t="str">
        <f aca="false">IFERROR(VLOOKUP($A439,RA_result!$B$3:$N$62,10,0),"")</f>
        <v/>
      </c>
      <c r="R439" s="58" t="s">
        <v>55</v>
      </c>
      <c r="S439" s="59" t="str">
        <f aca="false">IFERROR(VLOOKUP($A439,RA_result!$B$3:$N$62,4,0),"")</f>
        <v/>
      </c>
      <c r="T439" s="60" t="s">
        <v>56</v>
      </c>
      <c r="U439" s="59" t="str">
        <f aca="false">IFERROR(IF(VLOOKUP($A439,RA_result!$B$3:$N$62,6,0)="",S439*T439,VLOOKUP($A439,RA_result!$B$3:$N$62,6,0)),"")</f>
        <v/>
      </c>
      <c r="V439" s="61" t="s">
        <v>56</v>
      </c>
      <c r="W439" s="62" t="n">
        <f aca="false">IFERROR((S439*30%)/V439,0)</f>
        <v>0</v>
      </c>
      <c r="X439" s="63" t="n">
        <f aca="false">IFERROR(N439/W439,0)</f>
        <v>0</v>
      </c>
      <c r="Y439" s="68"/>
      <c r="Z439" s="57"/>
      <c r="AA439" s="69" t="str">
        <f aca="false">IF(OR(U439="",Y439="",Z439=""),"",IF(AND(U439&gt;Y439,-U439&lt;Z439),"Ok","Not Ok"))</f>
        <v/>
      </c>
      <c r="AB439" s="70"/>
    </row>
    <row r="440" customFormat="false" ht="12.8" hidden="false" customHeight="false" outlineLevel="0" collapsed="false">
      <c r="A440" s="48" t="n">
        <f aca="false">TB_audited!A423</f>
        <v>0</v>
      </c>
      <c r="B440" s="49"/>
      <c r="C440" s="50"/>
      <c r="D440" s="51" t="n">
        <f aca="false">TB_audited!B423</f>
        <v>0</v>
      </c>
      <c r="E440" s="52" t="n">
        <f aca="false">TB_audited!C423</f>
        <v>0</v>
      </c>
      <c r="F440" s="53" t="n">
        <f aca="false">TB_audited!D423</f>
        <v>0</v>
      </c>
      <c r="G440" s="54" t="n">
        <f aca="false">IF($D$8="Interim",TB_audited!G423,TB_audited!E423)</f>
        <v>0</v>
      </c>
      <c r="H440" s="55" t="str">
        <f aca="false">IFERROR(VLOOKUP($A440,RA_result!$B$3:$N$62,11,0),"")</f>
        <v/>
      </c>
      <c r="I440" s="55" t="str">
        <f aca="false">IFERROR(VLOOKUP($A440,RA_result!$B$3:$N$62,12,0),"")</f>
        <v/>
      </c>
      <c r="J440" s="55" t="str">
        <f aca="false">IFERROR(VLOOKUP($A440,RA_result!$B$3:$N$62,13,0),"")</f>
        <v/>
      </c>
      <c r="K440" s="56"/>
      <c r="L440" s="56"/>
      <c r="M440" s="57" t="n">
        <f aca="false">G440</f>
        <v>0</v>
      </c>
      <c r="N440" s="54" t="n">
        <f aca="false">G440-M440</f>
        <v>0</v>
      </c>
      <c r="O440" s="55" t="str">
        <f aca="false">IFERROR(VLOOKUP($A440,RA_result!$B$3:$N$62,7,0),"")</f>
        <v/>
      </c>
      <c r="P440" s="52" t="str">
        <f aca="false">IFERROR(VLOOKUP($A440,RA_result!$B$3:$N$62,9,0),"")</f>
        <v/>
      </c>
      <c r="Q440" s="52" t="str">
        <f aca="false">IFERROR(VLOOKUP($A440,RA_result!$B$3:$N$62,10,0),"")</f>
        <v/>
      </c>
      <c r="R440" s="58" t="s">
        <v>55</v>
      </c>
      <c r="S440" s="59" t="str">
        <f aca="false">IFERROR(VLOOKUP($A440,RA_result!$B$3:$N$62,4,0),"")</f>
        <v/>
      </c>
      <c r="T440" s="60" t="s">
        <v>56</v>
      </c>
      <c r="U440" s="59" t="str">
        <f aca="false">IFERROR(IF(VLOOKUP($A440,RA_result!$B$3:$N$62,6,0)="",S440*T440,VLOOKUP($A440,RA_result!$B$3:$N$62,6,0)),"")</f>
        <v/>
      </c>
      <c r="V440" s="61" t="s">
        <v>56</v>
      </c>
      <c r="W440" s="62" t="n">
        <f aca="false">IFERROR((S440*30%)/V440,0)</f>
        <v>0</v>
      </c>
      <c r="X440" s="63" t="n">
        <f aca="false">IFERROR(N440/W440,0)</f>
        <v>0</v>
      </c>
      <c r="Y440" s="68"/>
      <c r="Z440" s="57"/>
      <c r="AA440" s="69" t="str">
        <f aca="false">IF(OR(U440="",Y440="",Z440=""),"",IF(AND(U440&gt;Y440,-U440&lt;Z440),"Ok","Not Ok"))</f>
        <v/>
      </c>
      <c r="AB440" s="70"/>
    </row>
    <row r="441" customFormat="false" ht="12.8" hidden="false" customHeight="false" outlineLevel="0" collapsed="false">
      <c r="A441" s="48" t="n">
        <f aca="false">TB_audited!A424</f>
        <v>0</v>
      </c>
      <c r="B441" s="49"/>
      <c r="C441" s="50"/>
      <c r="D441" s="51" t="n">
        <f aca="false">TB_audited!B424</f>
        <v>0</v>
      </c>
      <c r="E441" s="52" t="n">
        <f aca="false">TB_audited!C424</f>
        <v>0</v>
      </c>
      <c r="F441" s="53" t="n">
        <f aca="false">TB_audited!D424</f>
        <v>0</v>
      </c>
      <c r="G441" s="54" t="n">
        <f aca="false">IF($D$8="Interim",TB_audited!G424,TB_audited!E424)</f>
        <v>0</v>
      </c>
      <c r="H441" s="55" t="str">
        <f aca="false">IFERROR(VLOOKUP($A441,RA_result!$B$3:$N$62,11,0),"")</f>
        <v/>
      </c>
      <c r="I441" s="55" t="str">
        <f aca="false">IFERROR(VLOOKUP($A441,RA_result!$B$3:$N$62,12,0),"")</f>
        <v/>
      </c>
      <c r="J441" s="55" t="str">
        <f aca="false">IFERROR(VLOOKUP($A441,RA_result!$B$3:$N$62,13,0),"")</f>
        <v/>
      </c>
      <c r="K441" s="56"/>
      <c r="L441" s="56"/>
      <c r="M441" s="57" t="n">
        <f aca="false">G441</f>
        <v>0</v>
      </c>
      <c r="N441" s="54" t="n">
        <f aca="false">G441-M441</f>
        <v>0</v>
      </c>
      <c r="O441" s="55" t="str">
        <f aca="false">IFERROR(VLOOKUP($A441,RA_result!$B$3:$N$62,7,0),"")</f>
        <v/>
      </c>
      <c r="P441" s="52" t="str">
        <f aca="false">IFERROR(VLOOKUP($A441,RA_result!$B$3:$N$62,9,0),"")</f>
        <v/>
      </c>
      <c r="Q441" s="52" t="str">
        <f aca="false">IFERROR(VLOOKUP($A441,RA_result!$B$3:$N$62,10,0),"")</f>
        <v/>
      </c>
      <c r="R441" s="58" t="s">
        <v>55</v>
      </c>
      <c r="S441" s="59" t="str">
        <f aca="false">IFERROR(VLOOKUP($A441,RA_result!$B$3:$N$62,4,0),"")</f>
        <v/>
      </c>
      <c r="T441" s="60" t="s">
        <v>56</v>
      </c>
      <c r="U441" s="59" t="str">
        <f aca="false">IFERROR(IF(VLOOKUP($A441,RA_result!$B$3:$N$62,6,0)="",S441*T441,VLOOKUP($A441,RA_result!$B$3:$N$62,6,0)),"")</f>
        <v/>
      </c>
      <c r="V441" s="61" t="s">
        <v>56</v>
      </c>
      <c r="W441" s="62" t="n">
        <f aca="false">IFERROR((S441*30%)/V441,0)</f>
        <v>0</v>
      </c>
      <c r="X441" s="63" t="n">
        <f aca="false">IFERROR(N441/W441,0)</f>
        <v>0</v>
      </c>
      <c r="Y441" s="68"/>
      <c r="Z441" s="57"/>
      <c r="AA441" s="69" t="str">
        <f aca="false">IF(OR(U441="",Y441="",Z441=""),"",IF(AND(U441&gt;Y441,-U441&lt;Z441),"Ok","Not Ok"))</f>
        <v/>
      </c>
      <c r="AB441" s="70"/>
    </row>
    <row r="442" customFormat="false" ht="12.8" hidden="false" customHeight="false" outlineLevel="0" collapsed="false">
      <c r="A442" s="48" t="n">
        <f aca="false">TB_audited!A425</f>
        <v>0</v>
      </c>
      <c r="B442" s="49"/>
      <c r="C442" s="50"/>
      <c r="D442" s="51" t="n">
        <f aca="false">TB_audited!B425</f>
        <v>0</v>
      </c>
      <c r="E442" s="52" t="n">
        <f aca="false">TB_audited!C425</f>
        <v>0</v>
      </c>
      <c r="F442" s="53" t="n">
        <f aca="false">TB_audited!D425</f>
        <v>0</v>
      </c>
      <c r="G442" s="54" t="n">
        <f aca="false">IF($D$8="Interim",TB_audited!G425,TB_audited!E425)</f>
        <v>0</v>
      </c>
      <c r="H442" s="55" t="str">
        <f aca="false">IFERROR(VLOOKUP($A442,RA_result!$B$3:$N$62,11,0),"")</f>
        <v/>
      </c>
      <c r="I442" s="55" t="str">
        <f aca="false">IFERROR(VLOOKUP($A442,RA_result!$B$3:$N$62,12,0),"")</f>
        <v/>
      </c>
      <c r="J442" s="55" t="str">
        <f aca="false">IFERROR(VLOOKUP($A442,RA_result!$B$3:$N$62,13,0),"")</f>
        <v/>
      </c>
      <c r="K442" s="56"/>
      <c r="L442" s="56"/>
      <c r="M442" s="57" t="n">
        <f aca="false">G442</f>
        <v>0</v>
      </c>
      <c r="N442" s="54" t="n">
        <f aca="false">G442-M442</f>
        <v>0</v>
      </c>
      <c r="O442" s="55" t="str">
        <f aca="false">IFERROR(VLOOKUP($A442,RA_result!$B$3:$N$62,7,0),"")</f>
        <v/>
      </c>
      <c r="P442" s="52" t="str">
        <f aca="false">IFERROR(VLOOKUP($A442,RA_result!$B$3:$N$62,9,0),"")</f>
        <v/>
      </c>
      <c r="Q442" s="52" t="str">
        <f aca="false">IFERROR(VLOOKUP($A442,RA_result!$B$3:$N$62,10,0),"")</f>
        <v/>
      </c>
      <c r="R442" s="58" t="s">
        <v>55</v>
      </c>
      <c r="S442" s="59" t="str">
        <f aca="false">IFERROR(VLOOKUP($A442,RA_result!$B$3:$N$62,4,0),"")</f>
        <v/>
      </c>
      <c r="T442" s="60" t="s">
        <v>56</v>
      </c>
      <c r="U442" s="59" t="str">
        <f aca="false">IFERROR(IF(VLOOKUP($A442,RA_result!$B$3:$N$62,6,0)="",S442*T442,VLOOKUP($A442,RA_result!$B$3:$N$62,6,0)),"")</f>
        <v/>
      </c>
      <c r="V442" s="61" t="s">
        <v>56</v>
      </c>
      <c r="W442" s="62" t="n">
        <f aca="false">IFERROR((S442*30%)/V442,0)</f>
        <v>0</v>
      </c>
      <c r="X442" s="63" t="n">
        <f aca="false">IFERROR(N442/W442,0)</f>
        <v>0</v>
      </c>
      <c r="Y442" s="68"/>
      <c r="Z442" s="57"/>
      <c r="AA442" s="69" t="str">
        <f aca="false">IF(OR(U442="",Y442="",Z442=""),"",IF(AND(U442&gt;Y442,-U442&lt;Z442),"Ok","Not Ok"))</f>
        <v/>
      </c>
      <c r="AB442" s="70"/>
    </row>
    <row r="443" customFormat="false" ht="12.8" hidden="false" customHeight="false" outlineLevel="0" collapsed="false">
      <c r="A443" s="48" t="n">
        <f aca="false">TB_audited!A426</f>
        <v>0</v>
      </c>
      <c r="B443" s="49"/>
      <c r="C443" s="50"/>
      <c r="D443" s="51" t="n">
        <f aca="false">TB_audited!B426</f>
        <v>0</v>
      </c>
      <c r="E443" s="52" t="n">
        <f aca="false">TB_audited!C426</f>
        <v>0</v>
      </c>
      <c r="F443" s="53" t="n">
        <f aca="false">TB_audited!D426</f>
        <v>0</v>
      </c>
      <c r="G443" s="54" t="n">
        <f aca="false">IF($D$8="Interim",TB_audited!G426,TB_audited!E426)</f>
        <v>0</v>
      </c>
      <c r="H443" s="55" t="str">
        <f aca="false">IFERROR(VLOOKUP($A443,RA_result!$B$3:$N$62,11,0),"")</f>
        <v/>
      </c>
      <c r="I443" s="55" t="str">
        <f aca="false">IFERROR(VLOOKUP($A443,RA_result!$B$3:$N$62,12,0),"")</f>
        <v/>
      </c>
      <c r="J443" s="55" t="str">
        <f aca="false">IFERROR(VLOOKUP($A443,RA_result!$B$3:$N$62,13,0),"")</f>
        <v/>
      </c>
      <c r="K443" s="56"/>
      <c r="L443" s="56"/>
      <c r="M443" s="57" t="n">
        <f aca="false">G443</f>
        <v>0</v>
      </c>
      <c r="N443" s="54" t="n">
        <f aca="false">G443-M443</f>
        <v>0</v>
      </c>
      <c r="O443" s="55" t="str">
        <f aca="false">IFERROR(VLOOKUP($A443,RA_result!$B$3:$N$62,7,0),"")</f>
        <v/>
      </c>
      <c r="P443" s="52" t="str">
        <f aca="false">IFERROR(VLOOKUP($A443,RA_result!$B$3:$N$62,9,0),"")</f>
        <v/>
      </c>
      <c r="Q443" s="52" t="str">
        <f aca="false">IFERROR(VLOOKUP($A443,RA_result!$B$3:$N$62,10,0),"")</f>
        <v/>
      </c>
      <c r="R443" s="58" t="s">
        <v>55</v>
      </c>
      <c r="S443" s="59" t="str">
        <f aca="false">IFERROR(VLOOKUP($A443,RA_result!$B$3:$N$62,4,0),"")</f>
        <v/>
      </c>
      <c r="T443" s="60" t="s">
        <v>56</v>
      </c>
      <c r="U443" s="59" t="str">
        <f aca="false">IFERROR(IF(VLOOKUP($A443,RA_result!$B$3:$N$62,6,0)="",S443*T443,VLOOKUP($A443,RA_result!$B$3:$N$62,6,0)),"")</f>
        <v/>
      </c>
      <c r="V443" s="61" t="s">
        <v>56</v>
      </c>
      <c r="W443" s="62" t="n">
        <f aca="false">IFERROR((S443*30%)/V443,0)</f>
        <v>0</v>
      </c>
      <c r="X443" s="63" t="n">
        <f aca="false">IFERROR(N443/W443,0)</f>
        <v>0</v>
      </c>
      <c r="Y443" s="68"/>
      <c r="Z443" s="57"/>
      <c r="AA443" s="69" t="str">
        <f aca="false">IF(OR(U443="",Y443="",Z443=""),"",IF(AND(U443&gt;Y443,-U443&lt;Z443),"Ok","Not Ok"))</f>
        <v/>
      </c>
      <c r="AB443" s="70"/>
    </row>
    <row r="444" customFormat="false" ht="12.8" hidden="false" customHeight="false" outlineLevel="0" collapsed="false">
      <c r="A444" s="48" t="n">
        <f aca="false">TB_audited!A427</f>
        <v>0</v>
      </c>
      <c r="B444" s="49"/>
      <c r="C444" s="50"/>
      <c r="D444" s="51" t="n">
        <f aca="false">TB_audited!B427</f>
        <v>0</v>
      </c>
      <c r="E444" s="52" t="n">
        <f aca="false">TB_audited!C427</f>
        <v>0</v>
      </c>
      <c r="F444" s="53" t="n">
        <f aca="false">TB_audited!D427</f>
        <v>0</v>
      </c>
      <c r="G444" s="54" t="n">
        <f aca="false">IF($D$8="Interim",TB_audited!G427,TB_audited!E427)</f>
        <v>0</v>
      </c>
      <c r="H444" s="55" t="str">
        <f aca="false">IFERROR(VLOOKUP($A444,RA_result!$B$3:$N$62,11,0),"")</f>
        <v/>
      </c>
      <c r="I444" s="55" t="str">
        <f aca="false">IFERROR(VLOOKUP($A444,RA_result!$B$3:$N$62,12,0),"")</f>
        <v/>
      </c>
      <c r="J444" s="55" t="str">
        <f aca="false">IFERROR(VLOOKUP($A444,RA_result!$B$3:$N$62,13,0),"")</f>
        <v/>
      </c>
      <c r="K444" s="56"/>
      <c r="L444" s="56"/>
      <c r="M444" s="57" t="n">
        <f aca="false">G444</f>
        <v>0</v>
      </c>
      <c r="N444" s="54" t="n">
        <f aca="false">G444-M444</f>
        <v>0</v>
      </c>
      <c r="O444" s="55" t="str">
        <f aca="false">IFERROR(VLOOKUP($A444,RA_result!$B$3:$N$62,7,0),"")</f>
        <v/>
      </c>
      <c r="P444" s="52" t="str">
        <f aca="false">IFERROR(VLOOKUP($A444,RA_result!$B$3:$N$62,9,0),"")</f>
        <v/>
      </c>
      <c r="Q444" s="52" t="str">
        <f aca="false">IFERROR(VLOOKUP($A444,RA_result!$B$3:$N$62,10,0),"")</f>
        <v/>
      </c>
      <c r="R444" s="58" t="s">
        <v>55</v>
      </c>
      <c r="S444" s="59" t="str">
        <f aca="false">IFERROR(VLOOKUP($A444,RA_result!$B$3:$N$62,4,0),"")</f>
        <v/>
      </c>
      <c r="T444" s="60" t="s">
        <v>56</v>
      </c>
      <c r="U444" s="59" t="str">
        <f aca="false">IFERROR(IF(VLOOKUP($A444,RA_result!$B$3:$N$62,6,0)="",S444*T444,VLOOKUP($A444,RA_result!$B$3:$N$62,6,0)),"")</f>
        <v/>
      </c>
      <c r="V444" s="61" t="s">
        <v>56</v>
      </c>
      <c r="W444" s="62" t="n">
        <f aca="false">IFERROR((S444*30%)/V444,0)</f>
        <v>0</v>
      </c>
      <c r="X444" s="63" t="n">
        <f aca="false">IFERROR(N444/W444,0)</f>
        <v>0</v>
      </c>
      <c r="Y444" s="68"/>
      <c r="Z444" s="57"/>
      <c r="AA444" s="69" t="str">
        <f aca="false">IF(OR(U444="",Y444="",Z444=""),"",IF(AND(U444&gt;Y444,-U444&lt;Z444),"Ok","Not Ok"))</f>
        <v/>
      </c>
      <c r="AB444" s="70"/>
    </row>
    <row r="445" customFormat="false" ht="12.8" hidden="false" customHeight="false" outlineLevel="0" collapsed="false">
      <c r="A445" s="48" t="n">
        <f aca="false">TB_audited!A428</f>
        <v>0</v>
      </c>
      <c r="B445" s="49"/>
      <c r="C445" s="50"/>
      <c r="D445" s="51" t="n">
        <f aca="false">TB_audited!B428</f>
        <v>0</v>
      </c>
      <c r="E445" s="52" t="n">
        <f aca="false">TB_audited!C428</f>
        <v>0</v>
      </c>
      <c r="F445" s="53" t="n">
        <f aca="false">TB_audited!D428</f>
        <v>0</v>
      </c>
      <c r="G445" s="54" t="n">
        <f aca="false">IF($D$8="Interim",TB_audited!G428,TB_audited!E428)</f>
        <v>0</v>
      </c>
      <c r="H445" s="55" t="str">
        <f aca="false">IFERROR(VLOOKUP($A445,RA_result!$B$3:$N$62,11,0),"")</f>
        <v/>
      </c>
      <c r="I445" s="55" t="str">
        <f aca="false">IFERROR(VLOOKUP($A445,RA_result!$B$3:$N$62,12,0),"")</f>
        <v/>
      </c>
      <c r="J445" s="55" t="str">
        <f aca="false">IFERROR(VLOOKUP($A445,RA_result!$B$3:$N$62,13,0),"")</f>
        <v/>
      </c>
      <c r="K445" s="56"/>
      <c r="L445" s="56"/>
      <c r="M445" s="57" t="n">
        <f aca="false">G445</f>
        <v>0</v>
      </c>
      <c r="N445" s="54" t="n">
        <f aca="false">G445-M445</f>
        <v>0</v>
      </c>
      <c r="O445" s="55" t="str">
        <f aca="false">IFERROR(VLOOKUP($A445,RA_result!$B$3:$N$62,7,0),"")</f>
        <v/>
      </c>
      <c r="P445" s="52" t="str">
        <f aca="false">IFERROR(VLOOKUP($A445,RA_result!$B$3:$N$62,9,0),"")</f>
        <v/>
      </c>
      <c r="Q445" s="52" t="str">
        <f aca="false">IFERROR(VLOOKUP($A445,RA_result!$B$3:$N$62,10,0),"")</f>
        <v/>
      </c>
      <c r="R445" s="58" t="s">
        <v>55</v>
      </c>
      <c r="S445" s="59" t="str">
        <f aca="false">IFERROR(VLOOKUP($A445,RA_result!$B$3:$N$62,4,0),"")</f>
        <v/>
      </c>
      <c r="T445" s="60" t="s">
        <v>56</v>
      </c>
      <c r="U445" s="59" t="str">
        <f aca="false">IFERROR(IF(VLOOKUP($A445,RA_result!$B$3:$N$62,6,0)="",S445*T445,VLOOKUP($A445,RA_result!$B$3:$N$62,6,0)),"")</f>
        <v/>
      </c>
      <c r="V445" s="61" t="s">
        <v>56</v>
      </c>
      <c r="W445" s="62" t="n">
        <f aca="false">IFERROR((S445*30%)/V445,0)</f>
        <v>0</v>
      </c>
      <c r="X445" s="63" t="n">
        <f aca="false">IFERROR(N445/W445,0)</f>
        <v>0</v>
      </c>
      <c r="Y445" s="68"/>
      <c r="Z445" s="57"/>
      <c r="AA445" s="69" t="str">
        <f aca="false">IF(OR(U445="",Y445="",Z445=""),"",IF(AND(U445&gt;Y445,-U445&lt;Z445),"Ok","Not Ok"))</f>
        <v/>
      </c>
      <c r="AB445" s="70"/>
    </row>
    <row r="446" customFormat="false" ht="12.8" hidden="false" customHeight="false" outlineLevel="0" collapsed="false">
      <c r="A446" s="48" t="n">
        <f aca="false">TB_audited!A429</f>
        <v>0</v>
      </c>
      <c r="B446" s="49"/>
      <c r="C446" s="50"/>
      <c r="D446" s="51" t="n">
        <f aca="false">TB_audited!B429</f>
        <v>0</v>
      </c>
      <c r="E446" s="52" t="n">
        <f aca="false">TB_audited!C429</f>
        <v>0</v>
      </c>
      <c r="F446" s="53" t="n">
        <f aca="false">TB_audited!D429</f>
        <v>0</v>
      </c>
      <c r="G446" s="54" t="n">
        <f aca="false">IF($D$8="Interim",TB_audited!G429,TB_audited!E429)</f>
        <v>0</v>
      </c>
      <c r="H446" s="55" t="str">
        <f aca="false">IFERROR(VLOOKUP($A446,RA_result!$B$3:$N$62,11,0),"")</f>
        <v/>
      </c>
      <c r="I446" s="55" t="str">
        <f aca="false">IFERROR(VLOOKUP($A446,RA_result!$B$3:$N$62,12,0),"")</f>
        <v/>
      </c>
      <c r="J446" s="55" t="str">
        <f aca="false">IFERROR(VLOOKUP($A446,RA_result!$B$3:$N$62,13,0),"")</f>
        <v/>
      </c>
      <c r="K446" s="56"/>
      <c r="L446" s="56"/>
      <c r="M446" s="57" t="n">
        <f aca="false">G446</f>
        <v>0</v>
      </c>
      <c r="N446" s="54" t="n">
        <f aca="false">G446-M446</f>
        <v>0</v>
      </c>
      <c r="O446" s="55" t="str">
        <f aca="false">IFERROR(VLOOKUP($A446,RA_result!$B$3:$N$62,7,0),"")</f>
        <v/>
      </c>
      <c r="P446" s="52" t="str">
        <f aca="false">IFERROR(VLOOKUP($A446,RA_result!$B$3:$N$62,9,0),"")</f>
        <v/>
      </c>
      <c r="Q446" s="52" t="str">
        <f aca="false">IFERROR(VLOOKUP($A446,RA_result!$B$3:$N$62,10,0),"")</f>
        <v/>
      </c>
      <c r="R446" s="58" t="s">
        <v>55</v>
      </c>
      <c r="S446" s="59" t="str">
        <f aca="false">IFERROR(VLOOKUP($A446,RA_result!$B$3:$N$62,4,0),"")</f>
        <v/>
      </c>
      <c r="T446" s="60" t="s">
        <v>56</v>
      </c>
      <c r="U446" s="59" t="str">
        <f aca="false">IFERROR(IF(VLOOKUP($A446,RA_result!$B$3:$N$62,6,0)="",S446*T446,VLOOKUP($A446,RA_result!$B$3:$N$62,6,0)),"")</f>
        <v/>
      </c>
      <c r="V446" s="61" t="s">
        <v>56</v>
      </c>
      <c r="W446" s="62" t="n">
        <f aca="false">IFERROR((S446*30%)/V446,0)</f>
        <v>0</v>
      </c>
      <c r="X446" s="63" t="n">
        <f aca="false">IFERROR(N446/W446,0)</f>
        <v>0</v>
      </c>
      <c r="Y446" s="68"/>
      <c r="Z446" s="57"/>
      <c r="AA446" s="69" t="str">
        <f aca="false">IF(OR(U446="",Y446="",Z446=""),"",IF(AND(U446&gt;Y446,-U446&lt;Z446),"Ok","Not Ok"))</f>
        <v/>
      </c>
      <c r="AB446" s="70"/>
    </row>
    <row r="447" customFormat="false" ht="12.8" hidden="false" customHeight="false" outlineLevel="0" collapsed="false">
      <c r="A447" s="48" t="n">
        <f aca="false">TB_audited!A430</f>
        <v>0</v>
      </c>
      <c r="B447" s="49"/>
      <c r="C447" s="50"/>
      <c r="D447" s="51" t="n">
        <f aca="false">TB_audited!B430</f>
        <v>0</v>
      </c>
      <c r="E447" s="52" t="n">
        <f aca="false">TB_audited!C430</f>
        <v>0</v>
      </c>
      <c r="F447" s="53" t="n">
        <f aca="false">TB_audited!D430</f>
        <v>0</v>
      </c>
      <c r="G447" s="54" t="n">
        <f aca="false">IF($D$8="Interim",TB_audited!G430,TB_audited!E430)</f>
        <v>0</v>
      </c>
      <c r="H447" s="55" t="str">
        <f aca="false">IFERROR(VLOOKUP($A447,RA_result!$B$3:$N$62,11,0),"")</f>
        <v/>
      </c>
      <c r="I447" s="55" t="str">
        <f aca="false">IFERROR(VLOOKUP($A447,RA_result!$B$3:$N$62,12,0),"")</f>
        <v/>
      </c>
      <c r="J447" s="55" t="str">
        <f aca="false">IFERROR(VLOOKUP($A447,RA_result!$B$3:$N$62,13,0),"")</f>
        <v/>
      </c>
      <c r="K447" s="56"/>
      <c r="L447" s="56"/>
      <c r="M447" s="57" t="n">
        <f aca="false">G447</f>
        <v>0</v>
      </c>
      <c r="N447" s="54" t="n">
        <f aca="false">G447-M447</f>
        <v>0</v>
      </c>
      <c r="O447" s="55" t="str">
        <f aca="false">IFERROR(VLOOKUP($A447,RA_result!$B$3:$N$62,7,0),"")</f>
        <v/>
      </c>
      <c r="P447" s="52" t="str">
        <f aca="false">IFERROR(VLOOKUP($A447,RA_result!$B$3:$N$62,9,0),"")</f>
        <v/>
      </c>
      <c r="Q447" s="52" t="str">
        <f aca="false">IFERROR(VLOOKUP($A447,RA_result!$B$3:$N$62,10,0),"")</f>
        <v/>
      </c>
      <c r="R447" s="58" t="s">
        <v>55</v>
      </c>
      <c r="S447" s="59" t="str">
        <f aca="false">IFERROR(VLOOKUP($A447,RA_result!$B$3:$N$62,4,0),"")</f>
        <v/>
      </c>
      <c r="T447" s="60" t="s">
        <v>56</v>
      </c>
      <c r="U447" s="59" t="str">
        <f aca="false">IFERROR(IF(VLOOKUP($A447,RA_result!$B$3:$N$62,6,0)="",S447*T447,VLOOKUP($A447,RA_result!$B$3:$N$62,6,0)),"")</f>
        <v/>
      </c>
      <c r="V447" s="61" t="s">
        <v>56</v>
      </c>
      <c r="W447" s="62" t="n">
        <f aca="false">IFERROR((S447*30%)/V447,0)</f>
        <v>0</v>
      </c>
      <c r="X447" s="63" t="n">
        <f aca="false">IFERROR(N447/W447,0)</f>
        <v>0</v>
      </c>
      <c r="Y447" s="68"/>
      <c r="Z447" s="57"/>
      <c r="AA447" s="69" t="str">
        <f aca="false">IF(OR(U447="",Y447="",Z447=""),"",IF(AND(U447&gt;Y447,-U447&lt;Z447),"Ok","Not Ok"))</f>
        <v/>
      </c>
      <c r="AB447" s="70"/>
    </row>
    <row r="448" customFormat="false" ht="12.8" hidden="false" customHeight="false" outlineLevel="0" collapsed="false">
      <c r="A448" s="48" t="n">
        <f aca="false">TB_audited!A431</f>
        <v>0</v>
      </c>
      <c r="B448" s="49"/>
      <c r="C448" s="50"/>
      <c r="D448" s="51" t="n">
        <f aca="false">TB_audited!B431</f>
        <v>0</v>
      </c>
      <c r="E448" s="52" t="n">
        <f aca="false">TB_audited!C431</f>
        <v>0</v>
      </c>
      <c r="F448" s="53" t="n">
        <f aca="false">TB_audited!D431</f>
        <v>0</v>
      </c>
      <c r="G448" s="54" t="n">
        <f aca="false">IF($D$8="Interim",TB_audited!G431,TB_audited!E431)</f>
        <v>0</v>
      </c>
      <c r="H448" s="55" t="str">
        <f aca="false">IFERROR(VLOOKUP($A448,RA_result!$B$3:$N$62,11,0),"")</f>
        <v/>
      </c>
      <c r="I448" s="55" t="str">
        <f aca="false">IFERROR(VLOOKUP($A448,RA_result!$B$3:$N$62,12,0),"")</f>
        <v/>
      </c>
      <c r="J448" s="55" t="str">
        <f aca="false">IFERROR(VLOOKUP($A448,RA_result!$B$3:$N$62,13,0),"")</f>
        <v/>
      </c>
      <c r="K448" s="56"/>
      <c r="L448" s="56"/>
      <c r="M448" s="57" t="n">
        <f aca="false">G448</f>
        <v>0</v>
      </c>
      <c r="N448" s="54" t="n">
        <f aca="false">G448-M448</f>
        <v>0</v>
      </c>
      <c r="O448" s="55" t="str">
        <f aca="false">IFERROR(VLOOKUP($A448,RA_result!$B$3:$N$62,7,0),"")</f>
        <v/>
      </c>
      <c r="P448" s="52" t="str">
        <f aca="false">IFERROR(VLOOKUP($A448,RA_result!$B$3:$N$62,9,0),"")</f>
        <v/>
      </c>
      <c r="Q448" s="52" t="str">
        <f aca="false">IFERROR(VLOOKUP($A448,RA_result!$B$3:$N$62,10,0),"")</f>
        <v/>
      </c>
      <c r="R448" s="58" t="s">
        <v>55</v>
      </c>
      <c r="S448" s="59" t="str">
        <f aca="false">IFERROR(VLOOKUP($A448,RA_result!$B$3:$N$62,4,0),"")</f>
        <v/>
      </c>
      <c r="T448" s="60" t="s">
        <v>56</v>
      </c>
      <c r="U448" s="59" t="str">
        <f aca="false">IFERROR(IF(VLOOKUP($A448,RA_result!$B$3:$N$62,6,0)="",S448*T448,VLOOKUP($A448,RA_result!$B$3:$N$62,6,0)),"")</f>
        <v/>
      </c>
      <c r="V448" s="61" t="s">
        <v>56</v>
      </c>
      <c r="W448" s="62" t="n">
        <f aca="false">IFERROR((S448*30%)/V448,0)</f>
        <v>0</v>
      </c>
      <c r="X448" s="63" t="n">
        <f aca="false">IFERROR(N448/W448,0)</f>
        <v>0</v>
      </c>
      <c r="Y448" s="68"/>
      <c r="Z448" s="57"/>
      <c r="AA448" s="69" t="str">
        <f aca="false">IF(OR(U448="",Y448="",Z448=""),"",IF(AND(U448&gt;Y448,-U448&lt;Z448),"Ok","Not Ok"))</f>
        <v/>
      </c>
      <c r="AB448" s="70"/>
    </row>
    <row r="449" customFormat="false" ht="12.8" hidden="false" customHeight="false" outlineLevel="0" collapsed="false">
      <c r="A449" s="48" t="n">
        <f aca="false">TB_audited!A432</f>
        <v>0</v>
      </c>
      <c r="B449" s="49"/>
      <c r="C449" s="50"/>
      <c r="D449" s="51" t="n">
        <f aca="false">TB_audited!B432</f>
        <v>0</v>
      </c>
      <c r="E449" s="52" t="n">
        <f aca="false">TB_audited!C432</f>
        <v>0</v>
      </c>
      <c r="F449" s="53" t="n">
        <f aca="false">TB_audited!D432</f>
        <v>0</v>
      </c>
      <c r="G449" s="54" t="n">
        <f aca="false">IF($D$8="Interim",TB_audited!G432,TB_audited!E432)</f>
        <v>0</v>
      </c>
      <c r="H449" s="55" t="str">
        <f aca="false">IFERROR(VLOOKUP($A449,RA_result!$B$3:$N$62,11,0),"")</f>
        <v/>
      </c>
      <c r="I449" s="55" t="str">
        <f aca="false">IFERROR(VLOOKUP($A449,RA_result!$B$3:$N$62,12,0),"")</f>
        <v/>
      </c>
      <c r="J449" s="55" t="str">
        <f aca="false">IFERROR(VLOOKUP($A449,RA_result!$B$3:$N$62,13,0),"")</f>
        <v/>
      </c>
      <c r="K449" s="56"/>
      <c r="L449" s="56"/>
      <c r="M449" s="57" t="n">
        <f aca="false">G449</f>
        <v>0</v>
      </c>
      <c r="N449" s="54" t="n">
        <f aca="false">G449-M449</f>
        <v>0</v>
      </c>
      <c r="O449" s="55" t="str">
        <f aca="false">IFERROR(VLOOKUP($A449,RA_result!$B$3:$N$62,7,0),"")</f>
        <v/>
      </c>
      <c r="P449" s="52" t="str">
        <f aca="false">IFERROR(VLOOKUP($A449,RA_result!$B$3:$N$62,9,0),"")</f>
        <v/>
      </c>
      <c r="Q449" s="52" t="str">
        <f aca="false">IFERROR(VLOOKUP($A449,RA_result!$B$3:$N$62,10,0),"")</f>
        <v/>
      </c>
      <c r="R449" s="58" t="s">
        <v>55</v>
      </c>
      <c r="S449" s="59" t="str">
        <f aca="false">IFERROR(VLOOKUP($A449,RA_result!$B$3:$N$62,4,0),"")</f>
        <v/>
      </c>
      <c r="T449" s="60" t="s">
        <v>56</v>
      </c>
      <c r="U449" s="59" t="str">
        <f aca="false">IFERROR(IF(VLOOKUP($A449,RA_result!$B$3:$N$62,6,0)="",S449*T449,VLOOKUP($A449,RA_result!$B$3:$N$62,6,0)),"")</f>
        <v/>
      </c>
      <c r="V449" s="61" t="s">
        <v>56</v>
      </c>
      <c r="W449" s="62" t="n">
        <f aca="false">IFERROR((S449*30%)/V449,0)</f>
        <v>0</v>
      </c>
      <c r="X449" s="63" t="n">
        <f aca="false">IFERROR(N449/W449,0)</f>
        <v>0</v>
      </c>
      <c r="Y449" s="68"/>
      <c r="Z449" s="57"/>
      <c r="AA449" s="69" t="str">
        <f aca="false">IF(OR(U449="",Y449="",Z449=""),"",IF(AND(U449&gt;Y449,-U449&lt;Z449),"Ok","Not Ok"))</f>
        <v/>
      </c>
      <c r="AB449" s="70"/>
    </row>
    <row r="450" customFormat="false" ht="12.8" hidden="false" customHeight="false" outlineLevel="0" collapsed="false">
      <c r="A450" s="48" t="n">
        <f aca="false">TB_audited!A433</f>
        <v>0</v>
      </c>
      <c r="B450" s="49"/>
      <c r="C450" s="50"/>
      <c r="D450" s="51" t="n">
        <f aca="false">TB_audited!B433</f>
        <v>0</v>
      </c>
      <c r="E450" s="52" t="n">
        <f aca="false">TB_audited!C433</f>
        <v>0</v>
      </c>
      <c r="F450" s="53" t="n">
        <f aca="false">TB_audited!D433</f>
        <v>0</v>
      </c>
      <c r="G450" s="54" t="n">
        <f aca="false">IF($D$8="Interim",TB_audited!G433,TB_audited!E433)</f>
        <v>0</v>
      </c>
      <c r="H450" s="55" t="str">
        <f aca="false">IFERROR(VLOOKUP($A450,RA_result!$B$3:$N$62,11,0),"")</f>
        <v/>
      </c>
      <c r="I450" s="55" t="str">
        <f aca="false">IFERROR(VLOOKUP($A450,RA_result!$B$3:$N$62,12,0),"")</f>
        <v/>
      </c>
      <c r="J450" s="55" t="str">
        <f aca="false">IFERROR(VLOOKUP($A450,RA_result!$B$3:$N$62,13,0),"")</f>
        <v/>
      </c>
      <c r="K450" s="56"/>
      <c r="L450" s="56"/>
      <c r="M450" s="57" t="n">
        <f aca="false">G450</f>
        <v>0</v>
      </c>
      <c r="N450" s="54" t="n">
        <f aca="false">G450-M450</f>
        <v>0</v>
      </c>
      <c r="O450" s="55" t="str">
        <f aca="false">IFERROR(VLOOKUP($A450,RA_result!$B$3:$N$62,7,0),"")</f>
        <v/>
      </c>
      <c r="P450" s="52" t="str">
        <f aca="false">IFERROR(VLOOKUP($A450,RA_result!$B$3:$N$62,9,0),"")</f>
        <v/>
      </c>
      <c r="Q450" s="52" t="str">
        <f aca="false">IFERROR(VLOOKUP($A450,RA_result!$B$3:$N$62,10,0),"")</f>
        <v/>
      </c>
      <c r="R450" s="58" t="s">
        <v>55</v>
      </c>
      <c r="S450" s="59" t="str">
        <f aca="false">IFERROR(VLOOKUP($A450,RA_result!$B$3:$N$62,4,0),"")</f>
        <v/>
      </c>
      <c r="T450" s="60" t="s">
        <v>56</v>
      </c>
      <c r="U450" s="59" t="str">
        <f aca="false">IFERROR(IF(VLOOKUP($A450,RA_result!$B$3:$N$62,6,0)="",S450*T450,VLOOKUP($A450,RA_result!$B$3:$N$62,6,0)),"")</f>
        <v/>
      </c>
      <c r="V450" s="61" t="s">
        <v>56</v>
      </c>
      <c r="W450" s="62" t="n">
        <f aca="false">IFERROR((S450*30%)/V450,0)</f>
        <v>0</v>
      </c>
      <c r="X450" s="63" t="n">
        <f aca="false">IFERROR(N450/W450,0)</f>
        <v>0</v>
      </c>
      <c r="Y450" s="68"/>
      <c r="Z450" s="57"/>
      <c r="AA450" s="69" t="str">
        <f aca="false">IF(OR(U450="",Y450="",Z450=""),"",IF(AND(U450&gt;Y450,-U450&lt;Z450),"Ok","Not Ok"))</f>
        <v/>
      </c>
      <c r="AB450" s="70"/>
    </row>
    <row r="451" customFormat="false" ht="12.8" hidden="false" customHeight="false" outlineLevel="0" collapsed="false">
      <c r="A451" s="48" t="n">
        <f aca="false">TB_audited!A434</f>
        <v>0</v>
      </c>
      <c r="B451" s="49"/>
      <c r="C451" s="50"/>
      <c r="D451" s="51" t="n">
        <f aca="false">TB_audited!B434</f>
        <v>0</v>
      </c>
      <c r="E451" s="52" t="n">
        <f aca="false">TB_audited!C434</f>
        <v>0</v>
      </c>
      <c r="F451" s="53" t="n">
        <f aca="false">TB_audited!D434</f>
        <v>0</v>
      </c>
      <c r="G451" s="54" t="n">
        <f aca="false">IF($D$8="Interim",TB_audited!G434,TB_audited!E434)</f>
        <v>0</v>
      </c>
      <c r="H451" s="55" t="str">
        <f aca="false">IFERROR(VLOOKUP($A451,RA_result!$B$3:$N$62,11,0),"")</f>
        <v/>
      </c>
      <c r="I451" s="55" t="str">
        <f aca="false">IFERROR(VLOOKUP($A451,RA_result!$B$3:$N$62,12,0),"")</f>
        <v/>
      </c>
      <c r="J451" s="55" t="str">
        <f aca="false">IFERROR(VLOOKUP($A451,RA_result!$B$3:$N$62,13,0),"")</f>
        <v/>
      </c>
      <c r="K451" s="56"/>
      <c r="L451" s="56"/>
      <c r="M451" s="57" t="n">
        <f aca="false">G451</f>
        <v>0</v>
      </c>
      <c r="N451" s="54" t="n">
        <f aca="false">G451-M451</f>
        <v>0</v>
      </c>
      <c r="O451" s="55" t="str">
        <f aca="false">IFERROR(VLOOKUP($A451,RA_result!$B$3:$N$62,7,0),"")</f>
        <v/>
      </c>
      <c r="P451" s="52" t="str">
        <f aca="false">IFERROR(VLOOKUP($A451,RA_result!$B$3:$N$62,9,0),"")</f>
        <v/>
      </c>
      <c r="Q451" s="52" t="str">
        <f aca="false">IFERROR(VLOOKUP($A451,RA_result!$B$3:$N$62,10,0),"")</f>
        <v/>
      </c>
      <c r="R451" s="58" t="s">
        <v>55</v>
      </c>
      <c r="S451" s="59" t="str">
        <f aca="false">IFERROR(VLOOKUP($A451,RA_result!$B$3:$N$62,4,0),"")</f>
        <v/>
      </c>
      <c r="T451" s="60" t="s">
        <v>56</v>
      </c>
      <c r="U451" s="59" t="str">
        <f aca="false">IFERROR(IF(VLOOKUP($A451,RA_result!$B$3:$N$62,6,0)="",S451*T451,VLOOKUP($A451,RA_result!$B$3:$N$62,6,0)),"")</f>
        <v/>
      </c>
      <c r="V451" s="61" t="s">
        <v>56</v>
      </c>
      <c r="W451" s="62" t="n">
        <f aca="false">IFERROR((S451*30%)/V451,0)</f>
        <v>0</v>
      </c>
      <c r="X451" s="63" t="n">
        <f aca="false">IFERROR(N451/W451,0)</f>
        <v>0</v>
      </c>
      <c r="Y451" s="68"/>
      <c r="Z451" s="57"/>
      <c r="AA451" s="69" t="str">
        <f aca="false">IF(OR(U451="",Y451="",Z451=""),"",IF(AND(U451&gt;Y451,-U451&lt;Z451),"Ok","Not Ok"))</f>
        <v/>
      </c>
      <c r="AB451" s="70"/>
    </row>
    <row r="452" customFormat="false" ht="12.8" hidden="false" customHeight="false" outlineLevel="0" collapsed="false">
      <c r="A452" s="48" t="n">
        <f aca="false">TB_audited!A435</f>
        <v>0</v>
      </c>
      <c r="B452" s="49"/>
      <c r="C452" s="50"/>
      <c r="D452" s="51" t="n">
        <f aca="false">TB_audited!B435</f>
        <v>0</v>
      </c>
      <c r="E452" s="52" t="n">
        <f aca="false">TB_audited!C435</f>
        <v>0</v>
      </c>
      <c r="F452" s="53" t="n">
        <f aca="false">TB_audited!D435</f>
        <v>0</v>
      </c>
      <c r="G452" s="54" t="n">
        <f aca="false">IF($D$8="Interim",TB_audited!G435,TB_audited!E435)</f>
        <v>0</v>
      </c>
      <c r="H452" s="55" t="str">
        <f aca="false">IFERROR(VLOOKUP($A452,RA_result!$B$3:$N$62,11,0),"")</f>
        <v/>
      </c>
      <c r="I452" s="55" t="str">
        <f aca="false">IFERROR(VLOOKUP($A452,RA_result!$B$3:$N$62,12,0),"")</f>
        <v/>
      </c>
      <c r="J452" s="55" t="str">
        <f aca="false">IFERROR(VLOOKUP($A452,RA_result!$B$3:$N$62,13,0),"")</f>
        <v/>
      </c>
      <c r="K452" s="56"/>
      <c r="L452" s="56"/>
      <c r="M452" s="57" t="n">
        <f aca="false">G452</f>
        <v>0</v>
      </c>
      <c r="N452" s="54" t="n">
        <f aca="false">G452-M452</f>
        <v>0</v>
      </c>
      <c r="O452" s="55" t="str">
        <f aca="false">IFERROR(VLOOKUP($A452,RA_result!$B$3:$N$62,7,0),"")</f>
        <v/>
      </c>
      <c r="P452" s="52" t="str">
        <f aca="false">IFERROR(VLOOKUP($A452,RA_result!$B$3:$N$62,9,0),"")</f>
        <v/>
      </c>
      <c r="Q452" s="52" t="str">
        <f aca="false">IFERROR(VLOOKUP($A452,RA_result!$B$3:$N$62,10,0),"")</f>
        <v/>
      </c>
      <c r="R452" s="58" t="s">
        <v>55</v>
      </c>
      <c r="S452" s="59" t="str">
        <f aca="false">IFERROR(VLOOKUP($A452,RA_result!$B$3:$N$62,4,0),"")</f>
        <v/>
      </c>
      <c r="T452" s="60" t="s">
        <v>56</v>
      </c>
      <c r="U452" s="59" t="str">
        <f aca="false">IFERROR(IF(VLOOKUP($A452,RA_result!$B$3:$N$62,6,0)="",S452*T452,VLOOKUP($A452,RA_result!$B$3:$N$62,6,0)),"")</f>
        <v/>
      </c>
      <c r="V452" s="61" t="s">
        <v>56</v>
      </c>
      <c r="W452" s="62" t="n">
        <f aca="false">IFERROR((S452*30%)/V452,0)</f>
        <v>0</v>
      </c>
      <c r="X452" s="63" t="n">
        <f aca="false">IFERROR(N452/W452,0)</f>
        <v>0</v>
      </c>
      <c r="Y452" s="68"/>
      <c r="Z452" s="57"/>
      <c r="AA452" s="69" t="str">
        <f aca="false">IF(OR(U452="",Y452="",Z452=""),"",IF(AND(U452&gt;Y452,-U452&lt;Z452),"Ok","Not Ok"))</f>
        <v/>
      </c>
      <c r="AB452" s="70"/>
    </row>
    <row r="453" customFormat="false" ht="12.8" hidden="false" customHeight="false" outlineLevel="0" collapsed="false">
      <c r="A453" s="48" t="n">
        <f aca="false">TB_audited!A436</f>
        <v>0</v>
      </c>
      <c r="B453" s="49"/>
      <c r="C453" s="50"/>
      <c r="D453" s="51" t="n">
        <f aca="false">TB_audited!B436</f>
        <v>0</v>
      </c>
      <c r="E453" s="52" t="n">
        <f aca="false">TB_audited!C436</f>
        <v>0</v>
      </c>
      <c r="F453" s="53" t="n">
        <f aca="false">TB_audited!D436</f>
        <v>0</v>
      </c>
      <c r="G453" s="54" t="n">
        <f aca="false">IF($D$8="Interim",TB_audited!G436,TB_audited!E436)</f>
        <v>0</v>
      </c>
      <c r="H453" s="55" t="str">
        <f aca="false">IFERROR(VLOOKUP($A453,RA_result!$B$3:$N$62,11,0),"")</f>
        <v/>
      </c>
      <c r="I453" s="55" t="str">
        <f aca="false">IFERROR(VLOOKUP($A453,RA_result!$B$3:$N$62,12,0),"")</f>
        <v/>
      </c>
      <c r="J453" s="55" t="str">
        <f aca="false">IFERROR(VLOOKUP($A453,RA_result!$B$3:$N$62,13,0),"")</f>
        <v/>
      </c>
      <c r="K453" s="56"/>
      <c r="L453" s="56"/>
      <c r="M453" s="57" t="n">
        <f aca="false">G453</f>
        <v>0</v>
      </c>
      <c r="N453" s="54" t="n">
        <f aca="false">G453-M453</f>
        <v>0</v>
      </c>
      <c r="O453" s="55" t="str">
        <f aca="false">IFERROR(VLOOKUP($A453,RA_result!$B$3:$N$62,7,0),"")</f>
        <v/>
      </c>
      <c r="P453" s="52" t="str">
        <f aca="false">IFERROR(VLOOKUP($A453,RA_result!$B$3:$N$62,9,0),"")</f>
        <v/>
      </c>
      <c r="Q453" s="52" t="str">
        <f aca="false">IFERROR(VLOOKUP($A453,RA_result!$B$3:$N$62,10,0),"")</f>
        <v/>
      </c>
      <c r="R453" s="58" t="s">
        <v>55</v>
      </c>
      <c r="S453" s="59" t="str">
        <f aca="false">IFERROR(VLOOKUP($A453,RA_result!$B$3:$N$62,4,0),"")</f>
        <v/>
      </c>
      <c r="T453" s="60" t="s">
        <v>56</v>
      </c>
      <c r="U453" s="59" t="str">
        <f aca="false">IFERROR(IF(VLOOKUP($A453,RA_result!$B$3:$N$62,6,0)="",S453*T453,VLOOKUP($A453,RA_result!$B$3:$N$62,6,0)),"")</f>
        <v/>
      </c>
      <c r="V453" s="61" t="s">
        <v>56</v>
      </c>
      <c r="W453" s="62" t="n">
        <f aca="false">IFERROR((S453*30%)/V453,0)</f>
        <v>0</v>
      </c>
      <c r="X453" s="63" t="n">
        <f aca="false">IFERROR(N453/W453,0)</f>
        <v>0</v>
      </c>
      <c r="Y453" s="68"/>
      <c r="Z453" s="57"/>
      <c r="AA453" s="69" t="str">
        <f aca="false">IF(OR(U453="",Y453="",Z453=""),"",IF(AND(U453&gt;Y453,-U453&lt;Z453),"Ok","Not Ok"))</f>
        <v/>
      </c>
      <c r="AB453" s="70"/>
    </row>
    <row r="454" customFormat="false" ht="12.8" hidden="false" customHeight="false" outlineLevel="0" collapsed="false">
      <c r="A454" s="48" t="n">
        <f aca="false">TB_audited!A437</f>
        <v>0</v>
      </c>
      <c r="B454" s="49"/>
      <c r="C454" s="50"/>
      <c r="D454" s="51" t="n">
        <f aca="false">TB_audited!B437</f>
        <v>0</v>
      </c>
      <c r="E454" s="52" t="n">
        <f aca="false">TB_audited!C437</f>
        <v>0</v>
      </c>
      <c r="F454" s="53" t="n">
        <f aca="false">TB_audited!D437</f>
        <v>0</v>
      </c>
      <c r="G454" s="54" t="n">
        <f aca="false">IF($D$8="Interim",TB_audited!G437,TB_audited!E437)</f>
        <v>0</v>
      </c>
      <c r="H454" s="55" t="str">
        <f aca="false">IFERROR(VLOOKUP($A454,RA_result!$B$3:$N$62,11,0),"")</f>
        <v/>
      </c>
      <c r="I454" s="55" t="str">
        <f aca="false">IFERROR(VLOOKUP($A454,RA_result!$B$3:$N$62,12,0),"")</f>
        <v/>
      </c>
      <c r="J454" s="55" t="str">
        <f aca="false">IFERROR(VLOOKUP($A454,RA_result!$B$3:$N$62,13,0),"")</f>
        <v/>
      </c>
      <c r="K454" s="56"/>
      <c r="L454" s="56"/>
      <c r="M454" s="57" t="n">
        <f aca="false">G454</f>
        <v>0</v>
      </c>
      <c r="N454" s="54" t="n">
        <f aca="false">G454-M454</f>
        <v>0</v>
      </c>
      <c r="O454" s="55" t="str">
        <f aca="false">IFERROR(VLOOKUP($A454,RA_result!$B$3:$N$62,7,0),"")</f>
        <v/>
      </c>
      <c r="P454" s="52" t="str">
        <f aca="false">IFERROR(VLOOKUP($A454,RA_result!$B$3:$N$62,9,0),"")</f>
        <v/>
      </c>
      <c r="Q454" s="52" t="str">
        <f aca="false">IFERROR(VLOOKUP($A454,RA_result!$B$3:$N$62,10,0),"")</f>
        <v/>
      </c>
      <c r="R454" s="58" t="s">
        <v>55</v>
      </c>
      <c r="S454" s="59" t="str">
        <f aca="false">IFERROR(VLOOKUP($A454,RA_result!$B$3:$N$62,4,0),"")</f>
        <v/>
      </c>
      <c r="T454" s="60" t="s">
        <v>56</v>
      </c>
      <c r="U454" s="59" t="str">
        <f aca="false">IFERROR(IF(VLOOKUP($A454,RA_result!$B$3:$N$62,6,0)="",S454*T454,VLOOKUP($A454,RA_result!$B$3:$N$62,6,0)),"")</f>
        <v/>
      </c>
      <c r="V454" s="61" t="s">
        <v>56</v>
      </c>
      <c r="W454" s="62" t="n">
        <f aca="false">IFERROR((S454*30%)/V454,0)</f>
        <v>0</v>
      </c>
      <c r="X454" s="63" t="n">
        <f aca="false">IFERROR(N454/W454,0)</f>
        <v>0</v>
      </c>
      <c r="Y454" s="68"/>
      <c r="Z454" s="57"/>
      <c r="AA454" s="69" t="str">
        <f aca="false">IF(OR(U454="",Y454="",Z454=""),"",IF(AND(U454&gt;Y454,-U454&lt;Z454),"Ok","Not Ok"))</f>
        <v/>
      </c>
      <c r="AB454" s="70"/>
    </row>
    <row r="455" customFormat="false" ht="12.8" hidden="false" customHeight="false" outlineLevel="0" collapsed="false">
      <c r="A455" s="48" t="n">
        <f aca="false">TB_audited!A438</f>
        <v>0</v>
      </c>
      <c r="B455" s="49"/>
      <c r="C455" s="50"/>
      <c r="D455" s="51" t="n">
        <f aca="false">TB_audited!B438</f>
        <v>0</v>
      </c>
      <c r="E455" s="52" t="n">
        <f aca="false">TB_audited!C438</f>
        <v>0</v>
      </c>
      <c r="F455" s="53" t="n">
        <f aca="false">TB_audited!D438</f>
        <v>0</v>
      </c>
      <c r="G455" s="54" t="n">
        <f aca="false">IF($D$8="Interim",TB_audited!G438,TB_audited!E438)</f>
        <v>0</v>
      </c>
      <c r="H455" s="55" t="str">
        <f aca="false">IFERROR(VLOOKUP($A455,RA_result!$B$3:$N$62,11,0),"")</f>
        <v/>
      </c>
      <c r="I455" s="55" t="str">
        <f aca="false">IFERROR(VLOOKUP($A455,RA_result!$B$3:$N$62,12,0),"")</f>
        <v/>
      </c>
      <c r="J455" s="55" t="str">
        <f aca="false">IFERROR(VLOOKUP($A455,RA_result!$B$3:$N$62,13,0),"")</f>
        <v/>
      </c>
      <c r="K455" s="56"/>
      <c r="L455" s="56"/>
      <c r="M455" s="57" t="n">
        <f aca="false">G455</f>
        <v>0</v>
      </c>
      <c r="N455" s="54" t="n">
        <f aca="false">G455-M455</f>
        <v>0</v>
      </c>
      <c r="O455" s="55" t="str">
        <f aca="false">IFERROR(VLOOKUP($A455,RA_result!$B$3:$N$62,7,0),"")</f>
        <v/>
      </c>
      <c r="P455" s="52" t="str">
        <f aca="false">IFERROR(VLOOKUP($A455,RA_result!$B$3:$N$62,9,0),"")</f>
        <v/>
      </c>
      <c r="Q455" s="52" t="str">
        <f aca="false">IFERROR(VLOOKUP($A455,RA_result!$B$3:$N$62,10,0),"")</f>
        <v/>
      </c>
      <c r="R455" s="58" t="s">
        <v>55</v>
      </c>
      <c r="S455" s="59" t="str">
        <f aca="false">IFERROR(VLOOKUP($A455,RA_result!$B$3:$N$62,4,0),"")</f>
        <v/>
      </c>
      <c r="T455" s="60" t="s">
        <v>56</v>
      </c>
      <c r="U455" s="59" t="str">
        <f aca="false">IFERROR(IF(VLOOKUP($A455,RA_result!$B$3:$N$62,6,0)="",S455*T455,VLOOKUP($A455,RA_result!$B$3:$N$62,6,0)),"")</f>
        <v/>
      </c>
      <c r="V455" s="61" t="s">
        <v>56</v>
      </c>
      <c r="W455" s="62" t="n">
        <f aca="false">IFERROR((S455*30%)/V455,0)</f>
        <v>0</v>
      </c>
      <c r="X455" s="63" t="n">
        <f aca="false">IFERROR(N455/W455,0)</f>
        <v>0</v>
      </c>
      <c r="Y455" s="68"/>
      <c r="Z455" s="57"/>
      <c r="AA455" s="69" t="str">
        <f aca="false">IF(OR(U455="",Y455="",Z455=""),"",IF(AND(U455&gt;Y455,-U455&lt;Z455),"Ok","Not Ok"))</f>
        <v/>
      </c>
      <c r="AB455" s="70"/>
    </row>
    <row r="456" customFormat="false" ht="12.8" hidden="false" customHeight="false" outlineLevel="0" collapsed="false">
      <c r="A456" s="48" t="n">
        <f aca="false">TB_audited!A439</f>
        <v>0</v>
      </c>
      <c r="B456" s="49"/>
      <c r="C456" s="50"/>
      <c r="D456" s="51" t="n">
        <f aca="false">TB_audited!B439</f>
        <v>0</v>
      </c>
      <c r="E456" s="52" t="n">
        <f aca="false">TB_audited!C439</f>
        <v>0</v>
      </c>
      <c r="F456" s="53" t="n">
        <f aca="false">TB_audited!D439</f>
        <v>0</v>
      </c>
      <c r="G456" s="54" t="n">
        <f aca="false">IF($D$8="Interim",TB_audited!G439,TB_audited!E439)</f>
        <v>0</v>
      </c>
      <c r="H456" s="55" t="str">
        <f aca="false">IFERROR(VLOOKUP($A456,RA_result!$B$3:$N$62,11,0),"")</f>
        <v/>
      </c>
      <c r="I456" s="55" t="str">
        <f aca="false">IFERROR(VLOOKUP($A456,RA_result!$B$3:$N$62,12,0),"")</f>
        <v/>
      </c>
      <c r="J456" s="55" t="str">
        <f aca="false">IFERROR(VLOOKUP($A456,RA_result!$B$3:$N$62,13,0),"")</f>
        <v/>
      </c>
      <c r="K456" s="56"/>
      <c r="L456" s="56"/>
      <c r="M456" s="57" t="n">
        <f aca="false">G456</f>
        <v>0</v>
      </c>
      <c r="N456" s="54" t="n">
        <f aca="false">G456-M456</f>
        <v>0</v>
      </c>
      <c r="O456" s="55" t="str">
        <f aca="false">IFERROR(VLOOKUP($A456,RA_result!$B$3:$N$62,7,0),"")</f>
        <v/>
      </c>
      <c r="P456" s="52" t="str">
        <f aca="false">IFERROR(VLOOKUP($A456,RA_result!$B$3:$N$62,9,0),"")</f>
        <v/>
      </c>
      <c r="Q456" s="52" t="str">
        <f aca="false">IFERROR(VLOOKUP($A456,RA_result!$B$3:$N$62,10,0),"")</f>
        <v/>
      </c>
      <c r="R456" s="58" t="s">
        <v>55</v>
      </c>
      <c r="S456" s="59" t="str">
        <f aca="false">IFERROR(VLOOKUP($A456,RA_result!$B$3:$N$62,4,0),"")</f>
        <v/>
      </c>
      <c r="T456" s="60" t="s">
        <v>56</v>
      </c>
      <c r="U456" s="59" t="str">
        <f aca="false">IFERROR(IF(VLOOKUP($A456,RA_result!$B$3:$N$62,6,0)="",S456*T456,VLOOKUP($A456,RA_result!$B$3:$N$62,6,0)),"")</f>
        <v/>
      </c>
      <c r="V456" s="61" t="s">
        <v>56</v>
      </c>
      <c r="W456" s="62" t="n">
        <f aca="false">IFERROR((S456*30%)/V456,0)</f>
        <v>0</v>
      </c>
      <c r="X456" s="63" t="n">
        <f aca="false">IFERROR(N456/W456,0)</f>
        <v>0</v>
      </c>
      <c r="Y456" s="68"/>
      <c r="Z456" s="57"/>
      <c r="AA456" s="69" t="str">
        <f aca="false">IF(OR(U456="",Y456="",Z456=""),"",IF(AND(U456&gt;Y456,-U456&lt;Z456),"Ok","Not Ok"))</f>
        <v/>
      </c>
      <c r="AB456" s="70"/>
    </row>
    <row r="457" customFormat="false" ht="12.8" hidden="false" customHeight="false" outlineLevel="0" collapsed="false">
      <c r="A457" s="48" t="n">
        <f aca="false">TB_audited!A440</f>
        <v>0</v>
      </c>
      <c r="B457" s="49"/>
      <c r="C457" s="50"/>
      <c r="D457" s="51" t="n">
        <f aca="false">TB_audited!B440</f>
        <v>0</v>
      </c>
      <c r="E457" s="52" t="n">
        <f aca="false">TB_audited!C440</f>
        <v>0</v>
      </c>
      <c r="F457" s="53" t="n">
        <f aca="false">TB_audited!D440</f>
        <v>0</v>
      </c>
      <c r="G457" s="54" t="n">
        <f aca="false">IF($D$8="Interim",TB_audited!G440,TB_audited!E440)</f>
        <v>0</v>
      </c>
      <c r="H457" s="55" t="str">
        <f aca="false">IFERROR(VLOOKUP($A457,RA_result!$B$3:$N$62,11,0),"")</f>
        <v/>
      </c>
      <c r="I457" s="55" t="str">
        <f aca="false">IFERROR(VLOOKUP($A457,RA_result!$B$3:$N$62,12,0),"")</f>
        <v/>
      </c>
      <c r="J457" s="55" t="str">
        <f aca="false">IFERROR(VLOOKUP($A457,RA_result!$B$3:$N$62,13,0),"")</f>
        <v/>
      </c>
      <c r="K457" s="56"/>
      <c r="L457" s="56"/>
      <c r="M457" s="57" t="n">
        <f aca="false">G457</f>
        <v>0</v>
      </c>
      <c r="N457" s="54" t="n">
        <f aca="false">G457-M457</f>
        <v>0</v>
      </c>
      <c r="O457" s="55" t="str">
        <f aca="false">IFERROR(VLOOKUP($A457,RA_result!$B$3:$N$62,7,0),"")</f>
        <v/>
      </c>
      <c r="P457" s="52" t="str">
        <f aca="false">IFERROR(VLOOKUP($A457,RA_result!$B$3:$N$62,9,0),"")</f>
        <v/>
      </c>
      <c r="Q457" s="52" t="str">
        <f aca="false">IFERROR(VLOOKUP($A457,RA_result!$B$3:$N$62,10,0),"")</f>
        <v/>
      </c>
      <c r="R457" s="58" t="s">
        <v>55</v>
      </c>
      <c r="S457" s="59" t="str">
        <f aca="false">IFERROR(VLOOKUP($A457,RA_result!$B$3:$N$62,4,0),"")</f>
        <v/>
      </c>
      <c r="T457" s="60" t="s">
        <v>56</v>
      </c>
      <c r="U457" s="59" t="str">
        <f aca="false">IFERROR(IF(VLOOKUP($A457,RA_result!$B$3:$N$62,6,0)="",S457*T457,VLOOKUP($A457,RA_result!$B$3:$N$62,6,0)),"")</f>
        <v/>
      </c>
      <c r="V457" s="61" t="s">
        <v>56</v>
      </c>
      <c r="W457" s="62" t="n">
        <f aca="false">IFERROR((S457*30%)/V457,0)</f>
        <v>0</v>
      </c>
      <c r="X457" s="63" t="n">
        <f aca="false">IFERROR(N457/W457,0)</f>
        <v>0</v>
      </c>
      <c r="Y457" s="68"/>
      <c r="Z457" s="57"/>
      <c r="AA457" s="69" t="str">
        <f aca="false">IF(OR(U457="",Y457="",Z457=""),"",IF(AND(U457&gt;Y457,-U457&lt;Z457),"Ok","Not Ok"))</f>
        <v/>
      </c>
      <c r="AB457" s="70"/>
    </row>
    <row r="458" customFormat="false" ht="12.8" hidden="false" customHeight="false" outlineLevel="0" collapsed="false">
      <c r="A458" s="48" t="n">
        <f aca="false">TB_audited!A441</f>
        <v>0</v>
      </c>
      <c r="B458" s="49"/>
      <c r="C458" s="50"/>
      <c r="D458" s="51" t="n">
        <f aca="false">TB_audited!B441</f>
        <v>0</v>
      </c>
      <c r="E458" s="52" t="n">
        <f aca="false">TB_audited!C441</f>
        <v>0</v>
      </c>
      <c r="F458" s="53" t="n">
        <f aca="false">TB_audited!D441</f>
        <v>0</v>
      </c>
      <c r="G458" s="54" t="n">
        <f aca="false">IF($D$8="Interim",TB_audited!G441,TB_audited!E441)</f>
        <v>0</v>
      </c>
      <c r="H458" s="55" t="str">
        <f aca="false">IFERROR(VLOOKUP($A458,RA_result!$B$3:$N$62,11,0),"")</f>
        <v/>
      </c>
      <c r="I458" s="55" t="str">
        <f aca="false">IFERROR(VLOOKUP($A458,RA_result!$B$3:$N$62,12,0),"")</f>
        <v/>
      </c>
      <c r="J458" s="55" t="str">
        <f aca="false">IFERROR(VLOOKUP($A458,RA_result!$B$3:$N$62,13,0),"")</f>
        <v/>
      </c>
      <c r="K458" s="56"/>
      <c r="L458" s="56"/>
      <c r="M458" s="57" t="n">
        <f aca="false">G458</f>
        <v>0</v>
      </c>
      <c r="N458" s="54" t="n">
        <f aca="false">G458-M458</f>
        <v>0</v>
      </c>
      <c r="O458" s="55" t="str">
        <f aca="false">IFERROR(VLOOKUP($A458,RA_result!$B$3:$N$62,7,0),"")</f>
        <v/>
      </c>
      <c r="P458" s="52" t="str">
        <f aca="false">IFERROR(VLOOKUP($A458,RA_result!$B$3:$N$62,9,0),"")</f>
        <v/>
      </c>
      <c r="Q458" s="52" t="str">
        <f aca="false">IFERROR(VLOOKUP($A458,RA_result!$B$3:$N$62,10,0),"")</f>
        <v/>
      </c>
      <c r="R458" s="58" t="s">
        <v>55</v>
      </c>
      <c r="S458" s="59" t="str">
        <f aca="false">IFERROR(VLOOKUP($A458,RA_result!$B$3:$N$62,4,0),"")</f>
        <v/>
      </c>
      <c r="T458" s="60" t="s">
        <v>56</v>
      </c>
      <c r="U458" s="59" t="str">
        <f aca="false">IFERROR(IF(VLOOKUP($A458,RA_result!$B$3:$N$62,6,0)="",S458*T458,VLOOKUP($A458,RA_result!$B$3:$N$62,6,0)),"")</f>
        <v/>
      </c>
      <c r="V458" s="61" t="s">
        <v>56</v>
      </c>
      <c r="W458" s="62" t="n">
        <f aca="false">IFERROR((S458*30%)/V458,0)</f>
        <v>0</v>
      </c>
      <c r="X458" s="63" t="n">
        <f aca="false">IFERROR(N458/W458,0)</f>
        <v>0</v>
      </c>
      <c r="Y458" s="68"/>
      <c r="Z458" s="57"/>
      <c r="AA458" s="69" t="str">
        <f aca="false">IF(OR(U458="",Y458="",Z458=""),"",IF(AND(U458&gt;Y458,-U458&lt;Z458),"Ok","Not Ok"))</f>
        <v/>
      </c>
      <c r="AB458" s="70"/>
    </row>
    <row r="459" customFormat="false" ht="12.8" hidden="false" customHeight="false" outlineLevel="0" collapsed="false">
      <c r="A459" s="48" t="n">
        <f aca="false">TB_audited!A442</f>
        <v>0</v>
      </c>
      <c r="B459" s="49"/>
      <c r="C459" s="50"/>
      <c r="D459" s="51" t="n">
        <f aca="false">TB_audited!B442</f>
        <v>0</v>
      </c>
      <c r="E459" s="52" t="n">
        <f aca="false">TB_audited!C442</f>
        <v>0</v>
      </c>
      <c r="F459" s="53" t="n">
        <f aca="false">TB_audited!D442</f>
        <v>0</v>
      </c>
      <c r="G459" s="54" t="n">
        <f aca="false">IF($D$8="Interim",TB_audited!G442,TB_audited!E442)</f>
        <v>0</v>
      </c>
      <c r="H459" s="55" t="str">
        <f aca="false">IFERROR(VLOOKUP($A459,RA_result!$B$3:$N$62,11,0),"")</f>
        <v/>
      </c>
      <c r="I459" s="55" t="str">
        <f aca="false">IFERROR(VLOOKUP($A459,RA_result!$B$3:$N$62,12,0),"")</f>
        <v/>
      </c>
      <c r="J459" s="55" t="str">
        <f aca="false">IFERROR(VLOOKUP($A459,RA_result!$B$3:$N$62,13,0),"")</f>
        <v/>
      </c>
      <c r="K459" s="56"/>
      <c r="L459" s="56"/>
      <c r="M459" s="57" t="n">
        <f aca="false">G459</f>
        <v>0</v>
      </c>
      <c r="N459" s="54" t="n">
        <f aca="false">G459-M459</f>
        <v>0</v>
      </c>
      <c r="O459" s="55" t="str">
        <f aca="false">IFERROR(VLOOKUP($A459,RA_result!$B$3:$N$62,7,0),"")</f>
        <v/>
      </c>
      <c r="P459" s="52" t="str">
        <f aca="false">IFERROR(VLOOKUP($A459,RA_result!$B$3:$N$62,9,0),"")</f>
        <v/>
      </c>
      <c r="Q459" s="52" t="str">
        <f aca="false">IFERROR(VLOOKUP($A459,RA_result!$B$3:$N$62,10,0),"")</f>
        <v/>
      </c>
      <c r="R459" s="58" t="s">
        <v>55</v>
      </c>
      <c r="S459" s="59" t="str">
        <f aca="false">IFERROR(VLOOKUP($A459,RA_result!$B$3:$N$62,4,0),"")</f>
        <v/>
      </c>
      <c r="T459" s="60" t="s">
        <v>56</v>
      </c>
      <c r="U459" s="59" t="str">
        <f aca="false">IFERROR(IF(VLOOKUP($A459,RA_result!$B$3:$N$62,6,0)="",S459*T459,VLOOKUP($A459,RA_result!$B$3:$N$62,6,0)),"")</f>
        <v/>
      </c>
      <c r="V459" s="61" t="s">
        <v>56</v>
      </c>
      <c r="W459" s="62" t="n">
        <f aca="false">IFERROR((S459*30%)/V459,0)</f>
        <v>0</v>
      </c>
      <c r="X459" s="63" t="n">
        <f aca="false">IFERROR(N459/W459,0)</f>
        <v>0</v>
      </c>
      <c r="Y459" s="68"/>
      <c r="Z459" s="57"/>
      <c r="AA459" s="69" t="str">
        <f aca="false">IF(OR(U459="",Y459="",Z459=""),"",IF(AND(U459&gt;Y459,-U459&lt;Z459),"Ok","Not Ok"))</f>
        <v/>
      </c>
      <c r="AB459" s="70"/>
    </row>
    <row r="460" customFormat="false" ht="12.8" hidden="false" customHeight="false" outlineLevel="0" collapsed="false">
      <c r="A460" s="48" t="n">
        <f aca="false">TB_audited!A443</f>
        <v>0</v>
      </c>
      <c r="B460" s="49"/>
      <c r="C460" s="50"/>
      <c r="D460" s="51" t="n">
        <f aca="false">TB_audited!B443</f>
        <v>0</v>
      </c>
      <c r="E460" s="52" t="n">
        <f aca="false">TB_audited!C443</f>
        <v>0</v>
      </c>
      <c r="F460" s="53" t="n">
        <f aca="false">TB_audited!D443</f>
        <v>0</v>
      </c>
      <c r="G460" s="54" t="n">
        <f aca="false">IF($D$8="Interim",TB_audited!G443,TB_audited!E443)</f>
        <v>0</v>
      </c>
      <c r="H460" s="55" t="str">
        <f aca="false">IFERROR(VLOOKUP($A460,RA_result!$B$3:$N$62,11,0),"")</f>
        <v/>
      </c>
      <c r="I460" s="55" t="str">
        <f aca="false">IFERROR(VLOOKUP($A460,RA_result!$B$3:$N$62,12,0),"")</f>
        <v/>
      </c>
      <c r="J460" s="55" t="str">
        <f aca="false">IFERROR(VLOOKUP($A460,RA_result!$B$3:$N$62,13,0),"")</f>
        <v/>
      </c>
      <c r="K460" s="56"/>
      <c r="L460" s="56"/>
      <c r="M460" s="57" t="n">
        <f aca="false">G460</f>
        <v>0</v>
      </c>
      <c r="N460" s="54" t="n">
        <f aca="false">G460-M460</f>
        <v>0</v>
      </c>
      <c r="O460" s="55" t="str">
        <f aca="false">IFERROR(VLOOKUP($A460,RA_result!$B$3:$N$62,7,0),"")</f>
        <v/>
      </c>
      <c r="P460" s="52" t="str">
        <f aca="false">IFERROR(VLOOKUP($A460,RA_result!$B$3:$N$62,9,0),"")</f>
        <v/>
      </c>
      <c r="Q460" s="52" t="str">
        <f aca="false">IFERROR(VLOOKUP($A460,RA_result!$B$3:$N$62,10,0),"")</f>
        <v/>
      </c>
      <c r="R460" s="58" t="s">
        <v>55</v>
      </c>
      <c r="S460" s="59" t="str">
        <f aca="false">IFERROR(VLOOKUP($A460,RA_result!$B$3:$N$62,4,0),"")</f>
        <v/>
      </c>
      <c r="T460" s="60" t="s">
        <v>56</v>
      </c>
      <c r="U460" s="59" t="str">
        <f aca="false">IFERROR(IF(VLOOKUP($A460,RA_result!$B$3:$N$62,6,0)="",S460*T460,VLOOKUP($A460,RA_result!$B$3:$N$62,6,0)),"")</f>
        <v/>
      </c>
      <c r="V460" s="61" t="s">
        <v>56</v>
      </c>
      <c r="W460" s="62" t="n">
        <f aca="false">IFERROR((S460*30%)/V460,0)</f>
        <v>0</v>
      </c>
      <c r="X460" s="63" t="n">
        <f aca="false">IFERROR(N460/W460,0)</f>
        <v>0</v>
      </c>
      <c r="Y460" s="68"/>
      <c r="Z460" s="57"/>
      <c r="AA460" s="69" t="str">
        <f aca="false">IF(OR(U460="",Y460="",Z460=""),"",IF(AND(U460&gt;Y460,-U460&lt;Z460),"Ok","Not Ok"))</f>
        <v/>
      </c>
      <c r="AB460" s="70"/>
    </row>
    <row r="461" customFormat="false" ht="12.8" hidden="false" customHeight="false" outlineLevel="0" collapsed="false">
      <c r="A461" s="48" t="n">
        <f aca="false">TB_audited!A444</f>
        <v>0</v>
      </c>
      <c r="B461" s="49"/>
      <c r="C461" s="50"/>
      <c r="D461" s="51" t="n">
        <f aca="false">TB_audited!B444</f>
        <v>0</v>
      </c>
      <c r="E461" s="52" t="n">
        <f aca="false">TB_audited!C444</f>
        <v>0</v>
      </c>
      <c r="F461" s="53" t="n">
        <f aca="false">TB_audited!D444</f>
        <v>0</v>
      </c>
      <c r="G461" s="54" t="n">
        <f aca="false">IF($D$8="Interim",TB_audited!G444,TB_audited!E444)</f>
        <v>0</v>
      </c>
      <c r="H461" s="55" t="str">
        <f aca="false">IFERROR(VLOOKUP($A461,RA_result!$B$3:$N$62,11,0),"")</f>
        <v/>
      </c>
      <c r="I461" s="55" t="str">
        <f aca="false">IFERROR(VLOOKUP($A461,RA_result!$B$3:$N$62,12,0),"")</f>
        <v/>
      </c>
      <c r="J461" s="55" t="str">
        <f aca="false">IFERROR(VLOOKUP($A461,RA_result!$B$3:$N$62,13,0),"")</f>
        <v/>
      </c>
      <c r="K461" s="56"/>
      <c r="L461" s="56"/>
      <c r="M461" s="57" t="n">
        <f aca="false">G461</f>
        <v>0</v>
      </c>
      <c r="N461" s="54" t="n">
        <f aca="false">G461-M461</f>
        <v>0</v>
      </c>
      <c r="O461" s="55" t="str">
        <f aca="false">IFERROR(VLOOKUP($A461,RA_result!$B$3:$N$62,7,0),"")</f>
        <v/>
      </c>
      <c r="P461" s="52" t="str">
        <f aca="false">IFERROR(VLOOKUP($A461,RA_result!$B$3:$N$62,9,0),"")</f>
        <v/>
      </c>
      <c r="Q461" s="52" t="str">
        <f aca="false">IFERROR(VLOOKUP($A461,RA_result!$B$3:$N$62,10,0),"")</f>
        <v/>
      </c>
      <c r="R461" s="58" t="s">
        <v>55</v>
      </c>
      <c r="S461" s="59" t="str">
        <f aca="false">IFERROR(VLOOKUP($A461,RA_result!$B$3:$N$62,4,0),"")</f>
        <v/>
      </c>
      <c r="T461" s="60" t="s">
        <v>56</v>
      </c>
      <c r="U461" s="59" t="str">
        <f aca="false">IFERROR(IF(VLOOKUP($A461,RA_result!$B$3:$N$62,6,0)="",S461*T461,VLOOKUP($A461,RA_result!$B$3:$N$62,6,0)),"")</f>
        <v/>
      </c>
      <c r="V461" s="61" t="s">
        <v>56</v>
      </c>
      <c r="W461" s="62" t="n">
        <f aca="false">IFERROR((S461*30%)/V461,0)</f>
        <v>0</v>
      </c>
      <c r="X461" s="63" t="n">
        <f aca="false">IFERROR(N461/W461,0)</f>
        <v>0</v>
      </c>
      <c r="Y461" s="68"/>
      <c r="Z461" s="57"/>
      <c r="AA461" s="69" t="str">
        <f aca="false">IF(OR(U461="",Y461="",Z461=""),"",IF(AND(U461&gt;Y461,-U461&lt;Z461),"Ok","Not Ok"))</f>
        <v/>
      </c>
      <c r="AB461" s="70"/>
    </row>
    <row r="462" customFormat="false" ht="12.8" hidden="false" customHeight="false" outlineLevel="0" collapsed="false">
      <c r="A462" s="48" t="n">
        <f aca="false">TB_audited!A445</f>
        <v>0</v>
      </c>
      <c r="B462" s="49"/>
      <c r="C462" s="50"/>
      <c r="D462" s="51" t="n">
        <f aca="false">TB_audited!B445</f>
        <v>0</v>
      </c>
      <c r="E462" s="52" t="n">
        <f aca="false">TB_audited!C445</f>
        <v>0</v>
      </c>
      <c r="F462" s="53" t="n">
        <f aca="false">TB_audited!D445</f>
        <v>0</v>
      </c>
      <c r="G462" s="54" t="n">
        <f aca="false">IF($D$8="Interim",TB_audited!G445,TB_audited!E445)</f>
        <v>0</v>
      </c>
      <c r="H462" s="55" t="str">
        <f aca="false">IFERROR(VLOOKUP($A462,RA_result!$B$3:$N$62,11,0),"")</f>
        <v/>
      </c>
      <c r="I462" s="55" t="str">
        <f aca="false">IFERROR(VLOOKUP($A462,RA_result!$B$3:$N$62,12,0),"")</f>
        <v/>
      </c>
      <c r="J462" s="55" t="str">
        <f aca="false">IFERROR(VLOOKUP($A462,RA_result!$B$3:$N$62,13,0),"")</f>
        <v/>
      </c>
      <c r="K462" s="56"/>
      <c r="L462" s="56"/>
      <c r="M462" s="57" t="n">
        <f aca="false">G462</f>
        <v>0</v>
      </c>
      <c r="N462" s="54" t="n">
        <f aca="false">G462-M462</f>
        <v>0</v>
      </c>
      <c r="O462" s="55" t="str">
        <f aca="false">IFERROR(VLOOKUP($A462,RA_result!$B$3:$N$62,7,0),"")</f>
        <v/>
      </c>
      <c r="P462" s="52" t="str">
        <f aca="false">IFERROR(VLOOKUP($A462,RA_result!$B$3:$N$62,9,0),"")</f>
        <v/>
      </c>
      <c r="Q462" s="52" t="str">
        <f aca="false">IFERROR(VLOOKUP($A462,RA_result!$B$3:$N$62,10,0),"")</f>
        <v/>
      </c>
      <c r="R462" s="58" t="s">
        <v>55</v>
      </c>
      <c r="S462" s="59" t="str">
        <f aca="false">IFERROR(VLOOKUP($A462,RA_result!$B$3:$N$62,4,0),"")</f>
        <v/>
      </c>
      <c r="T462" s="60" t="s">
        <v>56</v>
      </c>
      <c r="U462" s="59" t="str">
        <f aca="false">IFERROR(IF(VLOOKUP($A462,RA_result!$B$3:$N$62,6,0)="",S462*T462,VLOOKUP($A462,RA_result!$B$3:$N$62,6,0)),"")</f>
        <v/>
      </c>
      <c r="V462" s="61" t="s">
        <v>56</v>
      </c>
      <c r="W462" s="62" t="n">
        <f aca="false">IFERROR((S462*30%)/V462,0)</f>
        <v>0</v>
      </c>
      <c r="X462" s="63" t="n">
        <f aca="false">IFERROR(N462/W462,0)</f>
        <v>0</v>
      </c>
      <c r="Y462" s="68"/>
      <c r="Z462" s="57"/>
      <c r="AA462" s="69" t="str">
        <f aca="false">IF(OR(U462="",Y462="",Z462=""),"",IF(AND(U462&gt;Y462,-U462&lt;Z462),"Ok","Not Ok"))</f>
        <v/>
      </c>
      <c r="AB462" s="70"/>
    </row>
    <row r="463" customFormat="false" ht="12.8" hidden="false" customHeight="false" outlineLevel="0" collapsed="false">
      <c r="A463" s="48" t="n">
        <f aca="false">TB_audited!A446</f>
        <v>0</v>
      </c>
      <c r="B463" s="49"/>
      <c r="C463" s="50"/>
      <c r="D463" s="51" t="n">
        <f aca="false">TB_audited!B446</f>
        <v>0</v>
      </c>
      <c r="E463" s="52" t="n">
        <f aca="false">TB_audited!C446</f>
        <v>0</v>
      </c>
      <c r="F463" s="53" t="n">
        <f aca="false">TB_audited!D446</f>
        <v>0</v>
      </c>
      <c r="G463" s="54" t="n">
        <f aca="false">IF($D$8="Interim",TB_audited!G446,TB_audited!E446)</f>
        <v>0</v>
      </c>
      <c r="H463" s="55" t="str">
        <f aca="false">IFERROR(VLOOKUP($A463,RA_result!$B$3:$N$62,11,0),"")</f>
        <v/>
      </c>
      <c r="I463" s="55" t="str">
        <f aca="false">IFERROR(VLOOKUP($A463,RA_result!$B$3:$N$62,12,0),"")</f>
        <v/>
      </c>
      <c r="J463" s="55" t="str">
        <f aca="false">IFERROR(VLOOKUP($A463,RA_result!$B$3:$N$62,13,0),"")</f>
        <v/>
      </c>
      <c r="K463" s="56"/>
      <c r="L463" s="56"/>
      <c r="M463" s="57" t="n">
        <f aca="false">G463</f>
        <v>0</v>
      </c>
      <c r="N463" s="54" t="n">
        <f aca="false">G463-M463</f>
        <v>0</v>
      </c>
      <c r="O463" s="55" t="str">
        <f aca="false">IFERROR(VLOOKUP($A463,RA_result!$B$3:$N$62,7,0),"")</f>
        <v/>
      </c>
      <c r="P463" s="52" t="str">
        <f aca="false">IFERROR(VLOOKUP($A463,RA_result!$B$3:$N$62,9,0),"")</f>
        <v/>
      </c>
      <c r="Q463" s="52" t="str">
        <f aca="false">IFERROR(VLOOKUP($A463,RA_result!$B$3:$N$62,10,0),"")</f>
        <v/>
      </c>
      <c r="R463" s="58" t="s">
        <v>55</v>
      </c>
      <c r="S463" s="59" t="str">
        <f aca="false">IFERROR(VLOOKUP($A463,RA_result!$B$3:$N$62,4,0),"")</f>
        <v/>
      </c>
      <c r="T463" s="60" t="s">
        <v>56</v>
      </c>
      <c r="U463" s="59" t="str">
        <f aca="false">IFERROR(IF(VLOOKUP($A463,RA_result!$B$3:$N$62,6,0)="",S463*T463,VLOOKUP($A463,RA_result!$B$3:$N$62,6,0)),"")</f>
        <v/>
      </c>
      <c r="V463" s="61" t="s">
        <v>56</v>
      </c>
      <c r="W463" s="62" t="n">
        <f aca="false">IFERROR((S463*30%)/V463,0)</f>
        <v>0</v>
      </c>
      <c r="X463" s="63" t="n">
        <f aca="false">IFERROR(N463/W463,0)</f>
        <v>0</v>
      </c>
      <c r="Y463" s="68"/>
      <c r="Z463" s="57"/>
      <c r="AA463" s="69" t="str">
        <f aca="false">IF(OR(U463="",Y463="",Z463=""),"",IF(AND(U463&gt;Y463,-U463&lt;Z463),"Ok","Not Ok"))</f>
        <v/>
      </c>
      <c r="AB463" s="70"/>
    </row>
    <row r="464" customFormat="false" ht="12.8" hidden="false" customHeight="false" outlineLevel="0" collapsed="false">
      <c r="A464" s="48" t="n">
        <f aca="false">TB_audited!A447</f>
        <v>0</v>
      </c>
      <c r="B464" s="49"/>
      <c r="C464" s="50"/>
      <c r="D464" s="51" t="n">
        <f aca="false">TB_audited!B447</f>
        <v>0</v>
      </c>
      <c r="E464" s="52" t="n">
        <f aca="false">TB_audited!C447</f>
        <v>0</v>
      </c>
      <c r="F464" s="53" t="n">
        <f aca="false">TB_audited!D447</f>
        <v>0</v>
      </c>
      <c r="G464" s="54" t="n">
        <f aca="false">IF($D$8="Interim",TB_audited!G447,TB_audited!E447)</f>
        <v>0</v>
      </c>
      <c r="H464" s="55" t="str">
        <f aca="false">IFERROR(VLOOKUP($A464,RA_result!$B$3:$N$62,11,0),"")</f>
        <v/>
      </c>
      <c r="I464" s="55" t="str">
        <f aca="false">IFERROR(VLOOKUP($A464,RA_result!$B$3:$N$62,12,0),"")</f>
        <v/>
      </c>
      <c r="J464" s="55" t="str">
        <f aca="false">IFERROR(VLOOKUP($A464,RA_result!$B$3:$N$62,13,0),"")</f>
        <v/>
      </c>
      <c r="K464" s="56"/>
      <c r="L464" s="56"/>
      <c r="M464" s="57" t="n">
        <f aca="false">G464</f>
        <v>0</v>
      </c>
      <c r="N464" s="54" t="n">
        <f aca="false">G464-M464</f>
        <v>0</v>
      </c>
      <c r="O464" s="55" t="str">
        <f aca="false">IFERROR(VLOOKUP($A464,RA_result!$B$3:$N$62,7,0),"")</f>
        <v/>
      </c>
      <c r="P464" s="52" t="str">
        <f aca="false">IFERROR(VLOOKUP($A464,RA_result!$B$3:$N$62,9,0),"")</f>
        <v/>
      </c>
      <c r="Q464" s="52" t="str">
        <f aca="false">IFERROR(VLOOKUP($A464,RA_result!$B$3:$N$62,10,0),"")</f>
        <v/>
      </c>
      <c r="R464" s="58" t="s">
        <v>55</v>
      </c>
      <c r="S464" s="59" t="str">
        <f aca="false">IFERROR(VLOOKUP($A464,RA_result!$B$3:$N$62,4,0),"")</f>
        <v/>
      </c>
      <c r="T464" s="60" t="s">
        <v>56</v>
      </c>
      <c r="U464" s="59" t="str">
        <f aca="false">IFERROR(IF(VLOOKUP($A464,RA_result!$B$3:$N$62,6,0)="",S464*T464,VLOOKUP($A464,RA_result!$B$3:$N$62,6,0)),"")</f>
        <v/>
      </c>
      <c r="V464" s="61" t="s">
        <v>56</v>
      </c>
      <c r="W464" s="62" t="n">
        <f aca="false">IFERROR((S464*30%)/V464,0)</f>
        <v>0</v>
      </c>
      <c r="X464" s="63" t="n">
        <f aca="false">IFERROR(N464/W464,0)</f>
        <v>0</v>
      </c>
      <c r="Y464" s="68"/>
      <c r="Z464" s="57"/>
      <c r="AA464" s="69" t="str">
        <f aca="false">IF(OR(U464="",Y464="",Z464=""),"",IF(AND(U464&gt;Y464,-U464&lt;Z464),"Ok","Not Ok"))</f>
        <v/>
      </c>
      <c r="AB464" s="70"/>
    </row>
    <row r="465" customFormat="false" ht="12.8" hidden="false" customHeight="false" outlineLevel="0" collapsed="false">
      <c r="A465" s="48" t="n">
        <f aca="false">TB_audited!A448</f>
        <v>0</v>
      </c>
      <c r="B465" s="49"/>
      <c r="C465" s="50"/>
      <c r="D465" s="51" t="n">
        <f aca="false">TB_audited!B448</f>
        <v>0</v>
      </c>
      <c r="E465" s="52" t="n">
        <f aca="false">TB_audited!C448</f>
        <v>0</v>
      </c>
      <c r="F465" s="53" t="n">
        <f aca="false">TB_audited!D448</f>
        <v>0</v>
      </c>
      <c r="G465" s="54" t="n">
        <f aca="false">IF($D$8="Interim",TB_audited!G448,TB_audited!E448)</f>
        <v>0</v>
      </c>
      <c r="H465" s="55" t="str">
        <f aca="false">IFERROR(VLOOKUP($A465,RA_result!$B$3:$N$62,11,0),"")</f>
        <v/>
      </c>
      <c r="I465" s="55" t="str">
        <f aca="false">IFERROR(VLOOKUP($A465,RA_result!$B$3:$N$62,12,0),"")</f>
        <v/>
      </c>
      <c r="J465" s="55" t="str">
        <f aca="false">IFERROR(VLOOKUP($A465,RA_result!$B$3:$N$62,13,0),"")</f>
        <v/>
      </c>
      <c r="K465" s="56"/>
      <c r="L465" s="56"/>
      <c r="M465" s="57" t="n">
        <f aca="false">G465</f>
        <v>0</v>
      </c>
      <c r="N465" s="54" t="n">
        <f aca="false">G465-M465</f>
        <v>0</v>
      </c>
      <c r="O465" s="55" t="str">
        <f aca="false">IFERROR(VLOOKUP($A465,RA_result!$B$3:$N$62,7,0),"")</f>
        <v/>
      </c>
      <c r="P465" s="52" t="str">
        <f aca="false">IFERROR(VLOOKUP($A465,RA_result!$B$3:$N$62,9,0),"")</f>
        <v/>
      </c>
      <c r="Q465" s="52" t="str">
        <f aca="false">IFERROR(VLOOKUP($A465,RA_result!$B$3:$N$62,10,0),"")</f>
        <v/>
      </c>
      <c r="R465" s="58" t="s">
        <v>55</v>
      </c>
      <c r="S465" s="59" t="str">
        <f aca="false">IFERROR(VLOOKUP($A465,RA_result!$B$3:$N$62,4,0),"")</f>
        <v/>
      </c>
      <c r="T465" s="60" t="s">
        <v>56</v>
      </c>
      <c r="U465" s="59" t="str">
        <f aca="false">IFERROR(IF(VLOOKUP($A465,RA_result!$B$3:$N$62,6,0)="",S465*T465,VLOOKUP($A465,RA_result!$B$3:$N$62,6,0)),"")</f>
        <v/>
      </c>
      <c r="V465" s="61" t="s">
        <v>56</v>
      </c>
      <c r="W465" s="62" t="n">
        <f aca="false">IFERROR((S465*30%)/V465,0)</f>
        <v>0</v>
      </c>
      <c r="X465" s="63" t="n">
        <f aca="false">IFERROR(N465/W465,0)</f>
        <v>0</v>
      </c>
      <c r="Y465" s="68"/>
      <c r="Z465" s="57"/>
      <c r="AA465" s="69" t="str">
        <f aca="false">IF(OR(U465="",Y465="",Z465=""),"",IF(AND(U465&gt;Y465,-U465&lt;Z465),"Ok","Not Ok"))</f>
        <v/>
      </c>
      <c r="AB465" s="70"/>
    </row>
    <row r="466" customFormat="false" ht="12.8" hidden="false" customHeight="false" outlineLevel="0" collapsed="false">
      <c r="A466" s="48" t="n">
        <f aca="false">TB_audited!A449</f>
        <v>0</v>
      </c>
      <c r="B466" s="49"/>
      <c r="C466" s="50"/>
      <c r="D466" s="51" t="n">
        <f aca="false">TB_audited!B449</f>
        <v>0</v>
      </c>
      <c r="E466" s="52" t="n">
        <f aca="false">TB_audited!C449</f>
        <v>0</v>
      </c>
      <c r="F466" s="53" t="n">
        <f aca="false">TB_audited!D449</f>
        <v>0</v>
      </c>
      <c r="G466" s="54" t="n">
        <f aca="false">IF($D$8="Interim",TB_audited!G449,TB_audited!E449)</f>
        <v>0</v>
      </c>
      <c r="H466" s="55" t="str">
        <f aca="false">IFERROR(VLOOKUP($A466,RA_result!$B$3:$N$62,11,0),"")</f>
        <v/>
      </c>
      <c r="I466" s="55" t="str">
        <f aca="false">IFERROR(VLOOKUP($A466,RA_result!$B$3:$N$62,12,0),"")</f>
        <v/>
      </c>
      <c r="J466" s="55" t="str">
        <f aca="false">IFERROR(VLOOKUP($A466,RA_result!$B$3:$N$62,13,0),"")</f>
        <v/>
      </c>
      <c r="K466" s="56"/>
      <c r="L466" s="56"/>
      <c r="M466" s="57" t="n">
        <f aca="false">G466</f>
        <v>0</v>
      </c>
      <c r="N466" s="54" t="n">
        <f aca="false">G466-M466</f>
        <v>0</v>
      </c>
      <c r="O466" s="55" t="str">
        <f aca="false">IFERROR(VLOOKUP($A466,RA_result!$B$3:$N$62,7,0),"")</f>
        <v/>
      </c>
      <c r="P466" s="52" t="str">
        <f aca="false">IFERROR(VLOOKUP($A466,RA_result!$B$3:$N$62,9,0),"")</f>
        <v/>
      </c>
      <c r="Q466" s="52" t="str">
        <f aca="false">IFERROR(VLOOKUP($A466,RA_result!$B$3:$N$62,10,0),"")</f>
        <v/>
      </c>
      <c r="R466" s="58" t="s">
        <v>55</v>
      </c>
      <c r="S466" s="59" t="str">
        <f aca="false">IFERROR(VLOOKUP($A466,RA_result!$B$3:$N$62,4,0),"")</f>
        <v/>
      </c>
      <c r="T466" s="60" t="s">
        <v>56</v>
      </c>
      <c r="U466" s="59" t="str">
        <f aca="false">IFERROR(IF(VLOOKUP($A466,RA_result!$B$3:$N$62,6,0)="",S466*T466,VLOOKUP($A466,RA_result!$B$3:$N$62,6,0)),"")</f>
        <v/>
      </c>
      <c r="V466" s="61" t="s">
        <v>56</v>
      </c>
      <c r="W466" s="62" t="n">
        <f aca="false">IFERROR((S466*30%)/V466,0)</f>
        <v>0</v>
      </c>
      <c r="X466" s="63" t="n">
        <f aca="false">IFERROR(N466/W466,0)</f>
        <v>0</v>
      </c>
      <c r="Y466" s="68"/>
      <c r="Z466" s="57"/>
      <c r="AA466" s="69" t="str">
        <f aca="false">IF(OR(U466="",Y466="",Z466=""),"",IF(AND(U466&gt;Y466,-U466&lt;Z466),"Ok","Not Ok"))</f>
        <v/>
      </c>
      <c r="AB466" s="70"/>
    </row>
    <row r="467" customFormat="false" ht="12.8" hidden="false" customHeight="false" outlineLevel="0" collapsed="false">
      <c r="A467" s="48" t="n">
        <f aca="false">TB_audited!A450</f>
        <v>0</v>
      </c>
      <c r="B467" s="49"/>
      <c r="C467" s="50"/>
      <c r="D467" s="51" t="n">
        <f aca="false">TB_audited!B450</f>
        <v>0</v>
      </c>
      <c r="E467" s="52" t="n">
        <f aca="false">TB_audited!C450</f>
        <v>0</v>
      </c>
      <c r="F467" s="53" t="n">
        <f aca="false">TB_audited!D450</f>
        <v>0</v>
      </c>
      <c r="G467" s="54" t="n">
        <f aca="false">IF($D$8="Interim",TB_audited!G450,TB_audited!E450)</f>
        <v>0</v>
      </c>
      <c r="H467" s="55" t="str">
        <f aca="false">IFERROR(VLOOKUP($A467,RA_result!$B$3:$N$62,11,0),"")</f>
        <v/>
      </c>
      <c r="I467" s="55" t="str">
        <f aca="false">IFERROR(VLOOKUP($A467,RA_result!$B$3:$N$62,12,0),"")</f>
        <v/>
      </c>
      <c r="J467" s="55" t="str">
        <f aca="false">IFERROR(VLOOKUP($A467,RA_result!$B$3:$N$62,13,0),"")</f>
        <v/>
      </c>
      <c r="K467" s="56"/>
      <c r="L467" s="56"/>
      <c r="M467" s="57" t="n">
        <f aca="false">G467</f>
        <v>0</v>
      </c>
      <c r="N467" s="54" t="n">
        <f aca="false">G467-M467</f>
        <v>0</v>
      </c>
      <c r="O467" s="55" t="str">
        <f aca="false">IFERROR(VLOOKUP($A467,RA_result!$B$3:$N$62,7,0),"")</f>
        <v/>
      </c>
      <c r="P467" s="52" t="str">
        <f aca="false">IFERROR(VLOOKUP($A467,RA_result!$B$3:$N$62,9,0),"")</f>
        <v/>
      </c>
      <c r="Q467" s="52" t="str">
        <f aca="false">IFERROR(VLOOKUP($A467,RA_result!$B$3:$N$62,10,0),"")</f>
        <v/>
      </c>
      <c r="R467" s="58" t="s">
        <v>55</v>
      </c>
      <c r="S467" s="59" t="str">
        <f aca="false">IFERROR(VLOOKUP($A467,RA_result!$B$3:$N$62,4,0),"")</f>
        <v/>
      </c>
      <c r="T467" s="60" t="s">
        <v>56</v>
      </c>
      <c r="U467" s="59" t="str">
        <f aca="false">IFERROR(IF(VLOOKUP($A467,RA_result!$B$3:$N$62,6,0)="",S467*T467,VLOOKUP($A467,RA_result!$B$3:$N$62,6,0)),"")</f>
        <v/>
      </c>
      <c r="V467" s="61" t="s">
        <v>56</v>
      </c>
      <c r="W467" s="62" t="n">
        <f aca="false">IFERROR((S467*30%)/V467,0)</f>
        <v>0</v>
      </c>
      <c r="X467" s="63" t="n">
        <f aca="false">IFERROR(N467/W467,0)</f>
        <v>0</v>
      </c>
      <c r="Y467" s="68"/>
      <c r="Z467" s="57"/>
      <c r="AA467" s="69" t="str">
        <f aca="false">IF(OR(U467="",Y467="",Z467=""),"",IF(AND(U467&gt;Y467,-U467&lt;Z467),"Ok","Not Ok"))</f>
        <v/>
      </c>
      <c r="AB467" s="70"/>
    </row>
    <row r="468" customFormat="false" ht="12.8" hidden="false" customHeight="false" outlineLevel="0" collapsed="false">
      <c r="A468" s="48" t="n">
        <f aca="false">TB_audited!A451</f>
        <v>0</v>
      </c>
      <c r="B468" s="49"/>
      <c r="C468" s="50"/>
      <c r="D468" s="51" t="n">
        <f aca="false">TB_audited!B451</f>
        <v>0</v>
      </c>
      <c r="E468" s="52" t="n">
        <f aca="false">TB_audited!C451</f>
        <v>0</v>
      </c>
      <c r="F468" s="53" t="n">
        <f aca="false">TB_audited!D451</f>
        <v>0</v>
      </c>
      <c r="G468" s="54" t="n">
        <f aca="false">IF($D$8="Interim",TB_audited!G451,TB_audited!E451)</f>
        <v>0</v>
      </c>
      <c r="H468" s="55" t="str">
        <f aca="false">IFERROR(VLOOKUP($A468,RA_result!$B$3:$N$62,11,0),"")</f>
        <v/>
      </c>
      <c r="I468" s="55" t="str">
        <f aca="false">IFERROR(VLOOKUP($A468,RA_result!$B$3:$N$62,12,0),"")</f>
        <v/>
      </c>
      <c r="J468" s="55" t="str">
        <f aca="false">IFERROR(VLOOKUP($A468,RA_result!$B$3:$N$62,13,0),"")</f>
        <v/>
      </c>
      <c r="K468" s="56"/>
      <c r="L468" s="56"/>
      <c r="M468" s="57" t="n">
        <f aca="false">G468</f>
        <v>0</v>
      </c>
      <c r="N468" s="54" t="n">
        <f aca="false">G468-M468</f>
        <v>0</v>
      </c>
      <c r="O468" s="55" t="str">
        <f aca="false">IFERROR(VLOOKUP($A468,RA_result!$B$3:$N$62,7,0),"")</f>
        <v/>
      </c>
      <c r="P468" s="52" t="str">
        <f aca="false">IFERROR(VLOOKUP($A468,RA_result!$B$3:$N$62,9,0),"")</f>
        <v/>
      </c>
      <c r="Q468" s="52" t="str">
        <f aca="false">IFERROR(VLOOKUP($A468,RA_result!$B$3:$N$62,10,0),"")</f>
        <v/>
      </c>
      <c r="R468" s="58" t="s">
        <v>55</v>
      </c>
      <c r="S468" s="59" t="str">
        <f aca="false">IFERROR(VLOOKUP($A468,RA_result!$B$3:$N$62,4,0),"")</f>
        <v/>
      </c>
      <c r="T468" s="60" t="s">
        <v>56</v>
      </c>
      <c r="U468" s="59" t="str">
        <f aca="false">IFERROR(IF(VLOOKUP($A468,RA_result!$B$3:$N$62,6,0)="",S468*T468,VLOOKUP($A468,RA_result!$B$3:$N$62,6,0)),"")</f>
        <v/>
      </c>
      <c r="V468" s="61" t="s">
        <v>56</v>
      </c>
      <c r="W468" s="62" t="n">
        <f aca="false">IFERROR((S468*30%)/V468,0)</f>
        <v>0</v>
      </c>
      <c r="X468" s="63" t="n">
        <f aca="false">IFERROR(N468/W468,0)</f>
        <v>0</v>
      </c>
      <c r="Y468" s="68"/>
      <c r="Z468" s="57"/>
      <c r="AA468" s="69" t="str">
        <f aca="false">IF(OR(U468="",Y468="",Z468=""),"",IF(AND(U468&gt;Y468,-U468&lt;Z468),"Ok","Not Ok"))</f>
        <v/>
      </c>
      <c r="AB468" s="70"/>
    </row>
    <row r="469" customFormat="false" ht="12.8" hidden="false" customHeight="false" outlineLevel="0" collapsed="false">
      <c r="A469" s="48" t="n">
        <f aca="false">TB_audited!A452</f>
        <v>0</v>
      </c>
      <c r="B469" s="49"/>
      <c r="C469" s="50"/>
      <c r="D469" s="51" t="n">
        <f aca="false">TB_audited!B452</f>
        <v>0</v>
      </c>
      <c r="E469" s="52" t="n">
        <f aca="false">TB_audited!C452</f>
        <v>0</v>
      </c>
      <c r="F469" s="53" t="n">
        <f aca="false">TB_audited!D452</f>
        <v>0</v>
      </c>
      <c r="G469" s="54" t="n">
        <f aca="false">IF($D$8="Interim",TB_audited!G452,TB_audited!E452)</f>
        <v>0</v>
      </c>
      <c r="H469" s="55" t="str">
        <f aca="false">IFERROR(VLOOKUP($A469,RA_result!$B$3:$N$62,11,0),"")</f>
        <v/>
      </c>
      <c r="I469" s="55" t="str">
        <f aca="false">IFERROR(VLOOKUP($A469,RA_result!$B$3:$N$62,12,0),"")</f>
        <v/>
      </c>
      <c r="J469" s="55" t="str">
        <f aca="false">IFERROR(VLOOKUP($A469,RA_result!$B$3:$N$62,13,0),"")</f>
        <v/>
      </c>
      <c r="K469" s="56"/>
      <c r="L469" s="56"/>
      <c r="M469" s="57" t="n">
        <f aca="false">G469</f>
        <v>0</v>
      </c>
      <c r="N469" s="54" t="n">
        <f aca="false">G469-M469</f>
        <v>0</v>
      </c>
      <c r="O469" s="55" t="str">
        <f aca="false">IFERROR(VLOOKUP($A469,RA_result!$B$3:$N$62,7,0),"")</f>
        <v/>
      </c>
      <c r="P469" s="52" t="str">
        <f aca="false">IFERROR(VLOOKUP($A469,RA_result!$B$3:$N$62,9,0),"")</f>
        <v/>
      </c>
      <c r="Q469" s="52" t="str">
        <f aca="false">IFERROR(VLOOKUP($A469,RA_result!$B$3:$N$62,10,0),"")</f>
        <v/>
      </c>
      <c r="R469" s="58" t="s">
        <v>55</v>
      </c>
      <c r="S469" s="59" t="str">
        <f aca="false">IFERROR(VLOOKUP($A469,RA_result!$B$3:$N$62,4,0),"")</f>
        <v/>
      </c>
      <c r="T469" s="60" t="s">
        <v>56</v>
      </c>
      <c r="U469" s="59" t="str">
        <f aca="false">IFERROR(IF(VLOOKUP($A469,RA_result!$B$3:$N$62,6,0)="",S469*T469,VLOOKUP($A469,RA_result!$B$3:$N$62,6,0)),"")</f>
        <v/>
      </c>
      <c r="V469" s="61" t="s">
        <v>56</v>
      </c>
      <c r="W469" s="62" t="n">
        <f aca="false">IFERROR((S469*30%)/V469,0)</f>
        <v>0</v>
      </c>
      <c r="X469" s="63" t="n">
        <f aca="false">IFERROR(N469/W469,0)</f>
        <v>0</v>
      </c>
      <c r="Y469" s="68"/>
      <c r="Z469" s="57"/>
      <c r="AA469" s="69" t="str">
        <f aca="false">IF(OR(U469="",Y469="",Z469=""),"",IF(AND(U469&gt;Y469,-U469&lt;Z469),"Ok","Not Ok"))</f>
        <v/>
      </c>
      <c r="AB469" s="70"/>
    </row>
    <row r="470" customFormat="false" ht="12.8" hidden="false" customHeight="false" outlineLevel="0" collapsed="false">
      <c r="A470" s="48" t="n">
        <f aca="false">TB_audited!A453</f>
        <v>0</v>
      </c>
      <c r="B470" s="49"/>
      <c r="C470" s="50"/>
      <c r="D470" s="51" t="n">
        <f aca="false">TB_audited!B453</f>
        <v>0</v>
      </c>
      <c r="E470" s="52" t="n">
        <f aca="false">TB_audited!C453</f>
        <v>0</v>
      </c>
      <c r="F470" s="53" t="n">
        <f aca="false">TB_audited!D453</f>
        <v>0</v>
      </c>
      <c r="G470" s="54" t="n">
        <f aca="false">IF($D$8="Interim",TB_audited!G453,TB_audited!E453)</f>
        <v>0</v>
      </c>
      <c r="H470" s="55" t="str">
        <f aca="false">IFERROR(VLOOKUP($A470,RA_result!$B$3:$N$62,11,0),"")</f>
        <v/>
      </c>
      <c r="I470" s="55" t="str">
        <f aca="false">IFERROR(VLOOKUP($A470,RA_result!$B$3:$N$62,12,0),"")</f>
        <v/>
      </c>
      <c r="J470" s="55" t="str">
        <f aca="false">IFERROR(VLOOKUP($A470,RA_result!$B$3:$N$62,13,0),"")</f>
        <v/>
      </c>
      <c r="K470" s="56"/>
      <c r="L470" s="56"/>
      <c r="M470" s="57" t="n">
        <f aca="false">G470</f>
        <v>0</v>
      </c>
      <c r="N470" s="54" t="n">
        <f aca="false">G470-M470</f>
        <v>0</v>
      </c>
      <c r="O470" s="55" t="str">
        <f aca="false">IFERROR(VLOOKUP($A470,RA_result!$B$3:$N$62,7,0),"")</f>
        <v/>
      </c>
      <c r="P470" s="52" t="str">
        <f aca="false">IFERROR(VLOOKUP($A470,RA_result!$B$3:$N$62,9,0),"")</f>
        <v/>
      </c>
      <c r="Q470" s="52" t="str">
        <f aca="false">IFERROR(VLOOKUP($A470,RA_result!$B$3:$N$62,10,0),"")</f>
        <v/>
      </c>
      <c r="R470" s="58" t="s">
        <v>55</v>
      </c>
      <c r="S470" s="59" t="str">
        <f aca="false">IFERROR(VLOOKUP($A470,RA_result!$B$3:$N$62,4,0),"")</f>
        <v/>
      </c>
      <c r="T470" s="60" t="s">
        <v>56</v>
      </c>
      <c r="U470" s="59" t="str">
        <f aca="false">IFERROR(IF(VLOOKUP($A470,RA_result!$B$3:$N$62,6,0)="",S470*T470,VLOOKUP($A470,RA_result!$B$3:$N$62,6,0)),"")</f>
        <v/>
      </c>
      <c r="V470" s="61" t="s">
        <v>56</v>
      </c>
      <c r="W470" s="62" t="n">
        <f aca="false">IFERROR((S470*30%)/V470,0)</f>
        <v>0</v>
      </c>
      <c r="X470" s="63" t="n">
        <f aca="false">IFERROR(N470/W470,0)</f>
        <v>0</v>
      </c>
      <c r="Y470" s="68"/>
      <c r="Z470" s="57"/>
      <c r="AA470" s="69" t="str">
        <f aca="false">IF(OR(U470="",Y470="",Z470=""),"",IF(AND(U470&gt;Y470,-U470&lt;Z470),"Ok","Not Ok"))</f>
        <v/>
      </c>
      <c r="AB470" s="70"/>
    </row>
    <row r="471" customFormat="false" ht="12.8" hidden="false" customHeight="false" outlineLevel="0" collapsed="false">
      <c r="A471" s="48" t="n">
        <f aca="false">TB_audited!A454</f>
        <v>0</v>
      </c>
      <c r="B471" s="49"/>
      <c r="C471" s="50"/>
      <c r="D471" s="51" t="n">
        <f aca="false">TB_audited!B454</f>
        <v>0</v>
      </c>
      <c r="E471" s="52" t="n">
        <f aca="false">TB_audited!C454</f>
        <v>0</v>
      </c>
      <c r="F471" s="53" t="n">
        <f aca="false">TB_audited!D454</f>
        <v>0</v>
      </c>
      <c r="G471" s="54" t="n">
        <f aca="false">IF($D$8="Interim",TB_audited!G454,TB_audited!E454)</f>
        <v>0</v>
      </c>
      <c r="H471" s="55" t="str">
        <f aca="false">IFERROR(VLOOKUP($A471,RA_result!$B$3:$N$62,11,0),"")</f>
        <v/>
      </c>
      <c r="I471" s="55" t="str">
        <f aca="false">IFERROR(VLOOKUP($A471,RA_result!$B$3:$N$62,12,0),"")</f>
        <v/>
      </c>
      <c r="J471" s="55" t="str">
        <f aca="false">IFERROR(VLOOKUP($A471,RA_result!$B$3:$N$62,13,0),"")</f>
        <v/>
      </c>
      <c r="K471" s="56"/>
      <c r="L471" s="56"/>
      <c r="M471" s="57" t="n">
        <f aca="false">G471</f>
        <v>0</v>
      </c>
      <c r="N471" s="54" t="n">
        <f aca="false">G471-M471</f>
        <v>0</v>
      </c>
      <c r="O471" s="55" t="str">
        <f aca="false">IFERROR(VLOOKUP($A471,RA_result!$B$3:$N$62,7,0),"")</f>
        <v/>
      </c>
      <c r="P471" s="52" t="str">
        <f aca="false">IFERROR(VLOOKUP($A471,RA_result!$B$3:$N$62,9,0),"")</f>
        <v/>
      </c>
      <c r="Q471" s="52" t="str">
        <f aca="false">IFERROR(VLOOKUP($A471,RA_result!$B$3:$N$62,10,0),"")</f>
        <v/>
      </c>
      <c r="R471" s="58" t="s">
        <v>55</v>
      </c>
      <c r="S471" s="59" t="str">
        <f aca="false">IFERROR(VLOOKUP($A471,RA_result!$B$3:$N$62,4,0),"")</f>
        <v/>
      </c>
      <c r="T471" s="60" t="s">
        <v>56</v>
      </c>
      <c r="U471" s="59" t="str">
        <f aca="false">IFERROR(IF(VLOOKUP($A471,RA_result!$B$3:$N$62,6,0)="",S471*T471,VLOOKUP($A471,RA_result!$B$3:$N$62,6,0)),"")</f>
        <v/>
      </c>
      <c r="V471" s="61" t="s">
        <v>56</v>
      </c>
      <c r="W471" s="62" t="n">
        <f aca="false">IFERROR((S471*30%)/V471,0)</f>
        <v>0</v>
      </c>
      <c r="X471" s="63" t="n">
        <f aca="false">IFERROR(N471/W471,0)</f>
        <v>0</v>
      </c>
      <c r="Y471" s="68"/>
      <c r="Z471" s="57"/>
      <c r="AA471" s="69" t="str">
        <f aca="false">IF(OR(U471="",Y471="",Z471=""),"",IF(AND(U471&gt;Y471,-U471&lt;Z471),"Ok","Not Ok"))</f>
        <v/>
      </c>
      <c r="AB471" s="70"/>
    </row>
    <row r="472" customFormat="false" ht="12.8" hidden="false" customHeight="false" outlineLevel="0" collapsed="false">
      <c r="A472" s="48" t="n">
        <f aca="false">TB_audited!A455</f>
        <v>0</v>
      </c>
      <c r="B472" s="49"/>
      <c r="C472" s="50"/>
      <c r="D472" s="51" t="n">
        <f aca="false">TB_audited!B455</f>
        <v>0</v>
      </c>
      <c r="E472" s="52" t="n">
        <f aca="false">TB_audited!C455</f>
        <v>0</v>
      </c>
      <c r="F472" s="53" t="n">
        <f aca="false">TB_audited!D455</f>
        <v>0</v>
      </c>
      <c r="G472" s="54" t="n">
        <f aca="false">IF($D$8="Interim",TB_audited!G455,TB_audited!E455)</f>
        <v>0</v>
      </c>
      <c r="H472" s="55" t="str">
        <f aca="false">IFERROR(VLOOKUP($A472,RA_result!$B$3:$N$62,11,0),"")</f>
        <v/>
      </c>
      <c r="I472" s="55" t="str">
        <f aca="false">IFERROR(VLOOKUP($A472,RA_result!$B$3:$N$62,12,0),"")</f>
        <v/>
      </c>
      <c r="J472" s="55" t="str">
        <f aca="false">IFERROR(VLOOKUP($A472,RA_result!$B$3:$N$62,13,0),"")</f>
        <v/>
      </c>
      <c r="K472" s="56"/>
      <c r="L472" s="56"/>
      <c r="M472" s="57" t="n">
        <f aca="false">G472</f>
        <v>0</v>
      </c>
      <c r="N472" s="54" t="n">
        <f aca="false">G472-M472</f>
        <v>0</v>
      </c>
      <c r="O472" s="55" t="str">
        <f aca="false">IFERROR(VLOOKUP($A472,RA_result!$B$3:$N$62,7,0),"")</f>
        <v/>
      </c>
      <c r="P472" s="52" t="str">
        <f aca="false">IFERROR(VLOOKUP($A472,RA_result!$B$3:$N$62,9,0),"")</f>
        <v/>
      </c>
      <c r="Q472" s="52" t="str">
        <f aca="false">IFERROR(VLOOKUP($A472,RA_result!$B$3:$N$62,10,0),"")</f>
        <v/>
      </c>
      <c r="R472" s="58" t="s">
        <v>55</v>
      </c>
      <c r="S472" s="59" t="str">
        <f aca="false">IFERROR(VLOOKUP($A472,RA_result!$B$3:$N$62,4,0),"")</f>
        <v/>
      </c>
      <c r="T472" s="60" t="s">
        <v>56</v>
      </c>
      <c r="U472" s="59" t="str">
        <f aca="false">IFERROR(IF(VLOOKUP($A472,RA_result!$B$3:$N$62,6,0)="",S472*T472,VLOOKUP($A472,RA_result!$B$3:$N$62,6,0)),"")</f>
        <v/>
      </c>
      <c r="V472" s="61" t="s">
        <v>56</v>
      </c>
      <c r="W472" s="62" t="n">
        <f aca="false">IFERROR((S472*30%)/V472,0)</f>
        <v>0</v>
      </c>
      <c r="X472" s="63" t="n">
        <f aca="false">IFERROR(N472/W472,0)</f>
        <v>0</v>
      </c>
      <c r="Y472" s="68"/>
      <c r="Z472" s="57"/>
      <c r="AA472" s="69" t="str">
        <f aca="false">IF(OR(U472="",Y472="",Z472=""),"",IF(AND(U472&gt;Y472,-U472&lt;Z472),"Ok","Not Ok"))</f>
        <v/>
      </c>
      <c r="AB472" s="70"/>
    </row>
    <row r="473" customFormat="false" ht="12.8" hidden="false" customHeight="false" outlineLevel="0" collapsed="false">
      <c r="A473" s="48" t="n">
        <f aca="false">TB_audited!A456</f>
        <v>0</v>
      </c>
      <c r="B473" s="49"/>
      <c r="C473" s="50"/>
      <c r="D473" s="51" t="n">
        <f aca="false">TB_audited!B456</f>
        <v>0</v>
      </c>
      <c r="E473" s="52" t="n">
        <f aca="false">TB_audited!C456</f>
        <v>0</v>
      </c>
      <c r="F473" s="53" t="n">
        <f aca="false">TB_audited!D456</f>
        <v>0</v>
      </c>
      <c r="G473" s="54" t="n">
        <f aca="false">IF($D$8="Interim",TB_audited!G456,TB_audited!E456)</f>
        <v>0</v>
      </c>
      <c r="H473" s="55" t="str">
        <f aca="false">IFERROR(VLOOKUP($A473,RA_result!$B$3:$N$62,11,0),"")</f>
        <v/>
      </c>
      <c r="I473" s="55" t="str">
        <f aca="false">IFERROR(VLOOKUP($A473,RA_result!$B$3:$N$62,12,0),"")</f>
        <v/>
      </c>
      <c r="J473" s="55" t="str">
        <f aca="false">IFERROR(VLOOKUP($A473,RA_result!$B$3:$N$62,13,0),"")</f>
        <v/>
      </c>
      <c r="K473" s="56"/>
      <c r="L473" s="56"/>
      <c r="M473" s="57" t="n">
        <f aca="false">G473</f>
        <v>0</v>
      </c>
      <c r="N473" s="54" t="n">
        <f aca="false">G473-M473</f>
        <v>0</v>
      </c>
      <c r="O473" s="55" t="str">
        <f aca="false">IFERROR(VLOOKUP($A473,RA_result!$B$3:$N$62,7,0),"")</f>
        <v/>
      </c>
      <c r="P473" s="52" t="str">
        <f aca="false">IFERROR(VLOOKUP($A473,RA_result!$B$3:$N$62,9,0),"")</f>
        <v/>
      </c>
      <c r="Q473" s="52" t="str">
        <f aca="false">IFERROR(VLOOKUP($A473,RA_result!$B$3:$N$62,10,0),"")</f>
        <v/>
      </c>
      <c r="R473" s="58" t="s">
        <v>55</v>
      </c>
      <c r="S473" s="59" t="str">
        <f aca="false">IFERROR(VLOOKUP($A473,RA_result!$B$3:$N$62,4,0),"")</f>
        <v/>
      </c>
      <c r="T473" s="60" t="s">
        <v>56</v>
      </c>
      <c r="U473" s="59" t="str">
        <f aca="false">IFERROR(IF(VLOOKUP($A473,RA_result!$B$3:$N$62,6,0)="",S473*T473,VLOOKUP($A473,RA_result!$B$3:$N$62,6,0)),"")</f>
        <v/>
      </c>
      <c r="V473" s="61" t="s">
        <v>56</v>
      </c>
      <c r="W473" s="62" t="n">
        <f aca="false">IFERROR((S473*30%)/V473,0)</f>
        <v>0</v>
      </c>
      <c r="X473" s="63" t="n">
        <f aca="false">IFERROR(N473/W473,0)</f>
        <v>0</v>
      </c>
      <c r="Y473" s="68"/>
      <c r="Z473" s="57"/>
      <c r="AA473" s="69" t="str">
        <f aca="false">IF(OR(U473="",Y473="",Z473=""),"",IF(AND(U473&gt;Y473,-U473&lt;Z473),"Ok","Not Ok"))</f>
        <v/>
      </c>
      <c r="AB473" s="70"/>
    </row>
    <row r="474" customFormat="false" ht="12.8" hidden="false" customHeight="false" outlineLevel="0" collapsed="false">
      <c r="A474" s="48" t="n">
        <f aca="false">TB_audited!A457</f>
        <v>0</v>
      </c>
      <c r="B474" s="49"/>
      <c r="C474" s="50"/>
      <c r="D474" s="51" t="n">
        <f aca="false">TB_audited!B457</f>
        <v>0</v>
      </c>
      <c r="E474" s="52" t="n">
        <f aca="false">TB_audited!C457</f>
        <v>0</v>
      </c>
      <c r="F474" s="53" t="n">
        <f aca="false">TB_audited!D457</f>
        <v>0</v>
      </c>
      <c r="G474" s="54" t="n">
        <f aca="false">IF($D$8="Interim",TB_audited!G457,TB_audited!E457)</f>
        <v>0</v>
      </c>
      <c r="H474" s="55" t="str">
        <f aca="false">IFERROR(VLOOKUP($A474,RA_result!$B$3:$N$62,11,0),"")</f>
        <v/>
      </c>
      <c r="I474" s="55" t="str">
        <f aca="false">IFERROR(VLOOKUP($A474,RA_result!$B$3:$N$62,12,0),"")</f>
        <v/>
      </c>
      <c r="J474" s="55" t="str">
        <f aca="false">IFERROR(VLOOKUP($A474,RA_result!$B$3:$N$62,13,0),"")</f>
        <v/>
      </c>
      <c r="K474" s="56"/>
      <c r="L474" s="56"/>
      <c r="M474" s="57" t="n">
        <f aca="false">G474</f>
        <v>0</v>
      </c>
      <c r="N474" s="54" t="n">
        <f aca="false">G474-M474</f>
        <v>0</v>
      </c>
      <c r="O474" s="55" t="str">
        <f aca="false">IFERROR(VLOOKUP($A474,RA_result!$B$3:$N$62,7,0),"")</f>
        <v/>
      </c>
      <c r="P474" s="52" t="str">
        <f aca="false">IFERROR(VLOOKUP($A474,RA_result!$B$3:$N$62,9,0),"")</f>
        <v/>
      </c>
      <c r="Q474" s="52" t="str">
        <f aca="false">IFERROR(VLOOKUP($A474,RA_result!$B$3:$N$62,10,0),"")</f>
        <v/>
      </c>
      <c r="R474" s="58" t="s">
        <v>55</v>
      </c>
      <c r="S474" s="59" t="str">
        <f aca="false">IFERROR(VLOOKUP($A474,RA_result!$B$3:$N$62,4,0),"")</f>
        <v/>
      </c>
      <c r="T474" s="60" t="s">
        <v>56</v>
      </c>
      <c r="U474" s="59" t="str">
        <f aca="false">IFERROR(IF(VLOOKUP($A474,RA_result!$B$3:$N$62,6,0)="",S474*T474,VLOOKUP($A474,RA_result!$B$3:$N$62,6,0)),"")</f>
        <v/>
      </c>
      <c r="V474" s="61" t="s">
        <v>56</v>
      </c>
      <c r="W474" s="62" t="n">
        <f aca="false">IFERROR((S474*30%)/V474,0)</f>
        <v>0</v>
      </c>
      <c r="X474" s="63" t="n">
        <f aca="false">IFERROR(N474/W474,0)</f>
        <v>0</v>
      </c>
      <c r="Y474" s="68"/>
      <c r="Z474" s="57"/>
      <c r="AA474" s="69" t="str">
        <f aca="false">IF(OR(U474="",Y474="",Z474=""),"",IF(AND(U474&gt;Y474,-U474&lt;Z474),"Ok","Not Ok"))</f>
        <v/>
      </c>
      <c r="AB474" s="70"/>
    </row>
    <row r="475" customFormat="false" ht="12.8" hidden="false" customHeight="false" outlineLevel="0" collapsed="false">
      <c r="A475" s="48" t="n">
        <f aca="false">TB_audited!A458</f>
        <v>0</v>
      </c>
      <c r="B475" s="49"/>
      <c r="C475" s="50"/>
      <c r="D475" s="51" t="n">
        <f aca="false">TB_audited!B458</f>
        <v>0</v>
      </c>
      <c r="E475" s="52" t="n">
        <f aca="false">TB_audited!C458</f>
        <v>0</v>
      </c>
      <c r="F475" s="53" t="n">
        <f aca="false">TB_audited!D458</f>
        <v>0</v>
      </c>
      <c r="G475" s="54" t="n">
        <f aca="false">IF($D$8="Interim",TB_audited!G458,TB_audited!E458)</f>
        <v>0</v>
      </c>
      <c r="H475" s="55" t="str">
        <f aca="false">IFERROR(VLOOKUP($A475,RA_result!$B$3:$N$62,11,0),"")</f>
        <v/>
      </c>
      <c r="I475" s="55" t="str">
        <f aca="false">IFERROR(VLOOKUP($A475,RA_result!$B$3:$N$62,12,0),"")</f>
        <v/>
      </c>
      <c r="J475" s="55" t="str">
        <f aca="false">IFERROR(VLOOKUP($A475,RA_result!$B$3:$N$62,13,0),"")</f>
        <v/>
      </c>
      <c r="K475" s="56"/>
      <c r="L475" s="56"/>
      <c r="M475" s="57" t="n">
        <f aca="false">G475</f>
        <v>0</v>
      </c>
      <c r="N475" s="54" t="n">
        <f aca="false">G475-M475</f>
        <v>0</v>
      </c>
      <c r="O475" s="55" t="str">
        <f aca="false">IFERROR(VLOOKUP($A475,RA_result!$B$3:$N$62,7,0),"")</f>
        <v/>
      </c>
      <c r="P475" s="52" t="str">
        <f aca="false">IFERROR(VLOOKUP($A475,RA_result!$B$3:$N$62,9,0),"")</f>
        <v/>
      </c>
      <c r="Q475" s="52" t="str">
        <f aca="false">IFERROR(VLOOKUP($A475,RA_result!$B$3:$N$62,10,0),"")</f>
        <v/>
      </c>
      <c r="R475" s="58" t="s">
        <v>55</v>
      </c>
      <c r="S475" s="59" t="str">
        <f aca="false">IFERROR(VLOOKUP($A475,RA_result!$B$3:$N$62,4,0),"")</f>
        <v/>
      </c>
      <c r="T475" s="60" t="s">
        <v>56</v>
      </c>
      <c r="U475" s="59" t="str">
        <f aca="false">IFERROR(IF(VLOOKUP($A475,RA_result!$B$3:$N$62,6,0)="",S475*T475,VLOOKUP($A475,RA_result!$B$3:$N$62,6,0)),"")</f>
        <v/>
      </c>
      <c r="V475" s="61" t="s">
        <v>56</v>
      </c>
      <c r="W475" s="62" t="n">
        <f aca="false">IFERROR((S475*30%)/V475,0)</f>
        <v>0</v>
      </c>
      <c r="X475" s="63" t="n">
        <f aca="false">IFERROR(N475/W475,0)</f>
        <v>0</v>
      </c>
      <c r="Y475" s="68"/>
      <c r="Z475" s="57"/>
      <c r="AA475" s="69" t="str">
        <f aca="false">IF(OR(U475="",Y475="",Z475=""),"",IF(AND(U475&gt;Y475,-U475&lt;Z475),"Ok","Not Ok"))</f>
        <v/>
      </c>
      <c r="AB475" s="70"/>
    </row>
    <row r="476" customFormat="false" ht="12.8" hidden="false" customHeight="false" outlineLevel="0" collapsed="false">
      <c r="A476" s="48" t="n">
        <f aca="false">TB_audited!A459</f>
        <v>0</v>
      </c>
      <c r="B476" s="49"/>
      <c r="C476" s="50"/>
      <c r="D476" s="51" t="n">
        <f aca="false">TB_audited!B459</f>
        <v>0</v>
      </c>
      <c r="E476" s="52" t="n">
        <f aca="false">TB_audited!C459</f>
        <v>0</v>
      </c>
      <c r="F476" s="53" t="n">
        <f aca="false">TB_audited!D459</f>
        <v>0</v>
      </c>
      <c r="G476" s="54" t="n">
        <f aca="false">IF($D$8="Interim",TB_audited!G459,TB_audited!E459)</f>
        <v>0</v>
      </c>
      <c r="H476" s="55" t="str">
        <f aca="false">IFERROR(VLOOKUP($A476,RA_result!$B$3:$N$62,11,0),"")</f>
        <v/>
      </c>
      <c r="I476" s="55" t="str">
        <f aca="false">IFERROR(VLOOKUP($A476,RA_result!$B$3:$N$62,12,0),"")</f>
        <v/>
      </c>
      <c r="J476" s="55" t="str">
        <f aca="false">IFERROR(VLOOKUP($A476,RA_result!$B$3:$N$62,13,0),"")</f>
        <v/>
      </c>
      <c r="K476" s="56"/>
      <c r="L476" s="56"/>
      <c r="M476" s="57" t="n">
        <f aca="false">G476</f>
        <v>0</v>
      </c>
      <c r="N476" s="54" t="n">
        <f aca="false">G476-M476</f>
        <v>0</v>
      </c>
      <c r="O476" s="55" t="str">
        <f aca="false">IFERROR(VLOOKUP($A476,RA_result!$B$3:$N$62,7,0),"")</f>
        <v/>
      </c>
      <c r="P476" s="52" t="str">
        <f aca="false">IFERROR(VLOOKUP($A476,RA_result!$B$3:$N$62,9,0),"")</f>
        <v/>
      </c>
      <c r="Q476" s="52" t="str">
        <f aca="false">IFERROR(VLOOKUP($A476,RA_result!$B$3:$N$62,10,0),"")</f>
        <v/>
      </c>
      <c r="R476" s="58" t="s">
        <v>55</v>
      </c>
      <c r="S476" s="59" t="str">
        <f aca="false">IFERROR(VLOOKUP($A476,RA_result!$B$3:$N$62,4,0),"")</f>
        <v/>
      </c>
      <c r="T476" s="60" t="s">
        <v>56</v>
      </c>
      <c r="U476" s="59" t="str">
        <f aca="false">IFERROR(IF(VLOOKUP($A476,RA_result!$B$3:$N$62,6,0)="",S476*T476,VLOOKUP($A476,RA_result!$B$3:$N$62,6,0)),"")</f>
        <v/>
      </c>
      <c r="V476" s="61" t="s">
        <v>56</v>
      </c>
      <c r="W476" s="62" t="n">
        <f aca="false">IFERROR((S476*30%)/V476,0)</f>
        <v>0</v>
      </c>
      <c r="X476" s="63" t="n">
        <f aca="false">IFERROR(N476/W476,0)</f>
        <v>0</v>
      </c>
      <c r="Y476" s="68"/>
      <c r="Z476" s="57"/>
      <c r="AA476" s="69" t="str">
        <f aca="false">IF(OR(U476="",Y476="",Z476=""),"",IF(AND(U476&gt;Y476,-U476&lt;Z476),"Ok","Not Ok"))</f>
        <v/>
      </c>
      <c r="AB476" s="70"/>
    </row>
    <row r="477" customFormat="false" ht="12.8" hidden="false" customHeight="false" outlineLevel="0" collapsed="false">
      <c r="A477" s="48" t="n">
        <f aca="false">TB_audited!A460</f>
        <v>0</v>
      </c>
      <c r="B477" s="49"/>
      <c r="C477" s="50"/>
      <c r="D477" s="51" t="n">
        <f aca="false">TB_audited!B460</f>
        <v>0</v>
      </c>
      <c r="E477" s="52" t="n">
        <f aca="false">TB_audited!C460</f>
        <v>0</v>
      </c>
      <c r="F477" s="53" t="n">
        <f aca="false">TB_audited!D460</f>
        <v>0</v>
      </c>
      <c r="G477" s="54" t="n">
        <f aca="false">IF($D$8="Interim",TB_audited!G460,TB_audited!E460)</f>
        <v>0</v>
      </c>
      <c r="H477" s="55" t="str">
        <f aca="false">IFERROR(VLOOKUP($A477,RA_result!$B$3:$N$62,11,0),"")</f>
        <v/>
      </c>
      <c r="I477" s="55" t="str">
        <f aca="false">IFERROR(VLOOKUP($A477,RA_result!$B$3:$N$62,12,0),"")</f>
        <v/>
      </c>
      <c r="J477" s="55" t="str">
        <f aca="false">IFERROR(VLOOKUP($A477,RA_result!$B$3:$N$62,13,0),"")</f>
        <v/>
      </c>
      <c r="K477" s="56"/>
      <c r="L477" s="56"/>
      <c r="M477" s="57" t="n">
        <f aca="false">G477</f>
        <v>0</v>
      </c>
      <c r="N477" s="54" t="n">
        <f aca="false">G477-M477</f>
        <v>0</v>
      </c>
      <c r="O477" s="55" t="str">
        <f aca="false">IFERROR(VLOOKUP($A477,RA_result!$B$3:$N$62,7,0),"")</f>
        <v/>
      </c>
      <c r="P477" s="52" t="str">
        <f aca="false">IFERROR(VLOOKUP($A477,RA_result!$B$3:$N$62,9,0),"")</f>
        <v/>
      </c>
      <c r="Q477" s="52" t="str">
        <f aca="false">IFERROR(VLOOKUP($A477,RA_result!$B$3:$N$62,10,0),"")</f>
        <v/>
      </c>
      <c r="R477" s="58" t="s">
        <v>55</v>
      </c>
      <c r="S477" s="59" t="str">
        <f aca="false">IFERROR(VLOOKUP($A477,RA_result!$B$3:$N$62,4,0),"")</f>
        <v/>
      </c>
      <c r="T477" s="60" t="s">
        <v>56</v>
      </c>
      <c r="U477" s="59" t="str">
        <f aca="false">IFERROR(IF(VLOOKUP($A477,RA_result!$B$3:$N$62,6,0)="",S477*T477,VLOOKUP($A477,RA_result!$B$3:$N$62,6,0)),"")</f>
        <v/>
      </c>
      <c r="V477" s="61" t="s">
        <v>56</v>
      </c>
      <c r="W477" s="62" t="n">
        <f aca="false">IFERROR((S477*30%)/V477,0)</f>
        <v>0</v>
      </c>
      <c r="X477" s="63" t="n">
        <f aca="false">IFERROR(N477/W477,0)</f>
        <v>0</v>
      </c>
      <c r="Y477" s="68"/>
      <c r="Z477" s="57"/>
      <c r="AA477" s="69" t="str">
        <f aca="false">IF(OR(U477="",Y477="",Z477=""),"",IF(AND(U477&gt;Y477,-U477&lt;Z477),"Ok","Not Ok"))</f>
        <v/>
      </c>
      <c r="AB477" s="70"/>
    </row>
    <row r="478" customFormat="false" ht="12.8" hidden="false" customHeight="false" outlineLevel="0" collapsed="false">
      <c r="A478" s="48" t="n">
        <f aca="false">TB_audited!A461</f>
        <v>0</v>
      </c>
      <c r="B478" s="49"/>
      <c r="C478" s="50"/>
      <c r="D478" s="51" t="n">
        <f aca="false">TB_audited!B461</f>
        <v>0</v>
      </c>
      <c r="E478" s="52" t="n">
        <f aca="false">TB_audited!C461</f>
        <v>0</v>
      </c>
      <c r="F478" s="53" t="n">
        <f aca="false">TB_audited!D461</f>
        <v>0</v>
      </c>
      <c r="G478" s="54" t="n">
        <f aca="false">IF($D$8="Interim",TB_audited!G461,TB_audited!E461)</f>
        <v>0</v>
      </c>
      <c r="H478" s="55" t="str">
        <f aca="false">IFERROR(VLOOKUP($A478,RA_result!$B$3:$N$62,11,0),"")</f>
        <v/>
      </c>
      <c r="I478" s="55" t="str">
        <f aca="false">IFERROR(VLOOKUP($A478,RA_result!$B$3:$N$62,12,0),"")</f>
        <v/>
      </c>
      <c r="J478" s="55" t="str">
        <f aca="false">IFERROR(VLOOKUP($A478,RA_result!$B$3:$N$62,13,0),"")</f>
        <v/>
      </c>
      <c r="K478" s="56"/>
      <c r="L478" s="56"/>
      <c r="M478" s="57" t="n">
        <f aca="false">G478</f>
        <v>0</v>
      </c>
      <c r="N478" s="54" t="n">
        <f aca="false">G478-M478</f>
        <v>0</v>
      </c>
      <c r="O478" s="55" t="str">
        <f aca="false">IFERROR(VLOOKUP($A478,RA_result!$B$3:$N$62,7,0),"")</f>
        <v/>
      </c>
      <c r="P478" s="52" t="str">
        <f aca="false">IFERROR(VLOOKUP($A478,RA_result!$B$3:$N$62,9,0),"")</f>
        <v/>
      </c>
      <c r="Q478" s="52" t="str">
        <f aca="false">IFERROR(VLOOKUP($A478,RA_result!$B$3:$N$62,10,0),"")</f>
        <v/>
      </c>
      <c r="R478" s="58" t="s">
        <v>55</v>
      </c>
      <c r="S478" s="59" t="str">
        <f aca="false">IFERROR(VLOOKUP($A478,RA_result!$B$3:$N$62,4,0),"")</f>
        <v/>
      </c>
      <c r="T478" s="60" t="s">
        <v>56</v>
      </c>
      <c r="U478" s="59" t="str">
        <f aca="false">IFERROR(IF(VLOOKUP($A478,RA_result!$B$3:$N$62,6,0)="",S478*T478,VLOOKUP($A478,RA_result!$B$3:$N$62,6,0)),"")</f>
        <v/>
      </c>
      <c r="V478" s="61" t="s">
        <v>56</v>
      </c>
      <c r="W478" s="62" t="n">
        <f aca="false">IFERROR((S478*30%)/V478,0)</f>
        <v>0</v>
      </c>
      <c r="X478" s="63" t="n">
        <f aca="false">IFERROR(N478/W478,0)</f>
        <v>0</v>
      </c>
      <c r="Y478" s="68"/>
      <c r="Z478" s="57"/>
      <c r="AA478" s="69" t="str">
        <f aca="false">IF(OR(U478="",Y478="",Z478=""),"",IF(AND(U478&gt;Y478,-U478&lt;Z478),"Ok","Not Ok"))</f>
        <v/>
      </c>
      <c r="AB478" s="70"/>
    </row>
    <row r="479" customFormat="false" ht="12.8" hidden="false" customHeight="false" outlineLevel="0" collapsed="false">
      <c r="A479" s="48" t="n">
        <f aca="false">TB_audited!A462</f>
        <v>0</v>
      </c>
      <c r="B479" s="49"/>
      <c r="C479" s="50"/>
      <c r="D479" s="51" t="n">
        <f aca="false">TB_audited!B462</f>
        <v>0</v>
      </c>
      <c r="E479" s="52" t="n">
        <f aca="false">TB_audited!C462</f>
        <v>0</v>
      </c>
      <c r="F479" s="53" t="n">
        <f aca="false">TB_audited!D462</f>
        <v>0</v>
      </c>
      <c r="G479" s="54" t="n">
        <f aca="false">IF($D$8="Interim",TB_audited!G462,TB_audited!E462)</f>
        <v>0</v>
      </c>
      <c r="H479" s="55" t="str">
        <f aca="false">IFERROR(VLOOKUP($A479,RA_result!$B$3:$N$62,11,0),"")</f>
        <v/>
      </c>
      <c r="I479" s="55" t="str">
        <f aca="false">IFERROR(VLOOKUP($A479,RA_result!$B$3:$N$62,12,0),"")</f>
        <v/>
      </c>
      <c r="J479" s="55" t="str">
        <f aca="false">IFERROR(VLOOKUP($A479,RA_result!$B$3:$N$62,13,0),"")</f>
        <v/>
      </c>
      <c r="K479" s="56"/>
      <c r="L479" s="56"/>
      <c r="M479" s="57" t="n">
        <f aca="false">G479</f>
        <v>0</v>
      </c>
      <c r="N479" s="54" t="n">
        <f aca="false">G479-M479</f>
        <v>0</v>
      </c>
      <c r="O479" s="55" t="str">
        <f aca="false">IFERROR(VLOOKUP($A479,RA_result!$B$3:$N$62,7,0),"")</f>
        <v/>
      </c>
      <c r="P479" s="52" t="str">
        <f aca="false">IFERROR(VLOOKUP($A479,RA_result!$B$3:$N$62,9,0),"")</f>
        <v/>
      </c>
      <c r="Q479" s="52" t="str">
        <f aca="false">IFERROR(VLOOKUP($A479,RA_result!$B$3:$N$62,10,0),"")</f>
        <v/>
      </c>
      <c r="R479" s="58" t="s">
        <v>55</v>
      </c>
      <c r="S479" s="59" t="str">
        <f aca="false">IFERROR(VLOOKUP($A479,RA_result!$B$3:$N$62,4,0),"")</f>
        <v/>
      </c>
      <c r="T479" s="60" t="s">
        <v>56</v>
      </c>
      <c r="U479" s="59" t="str">
        <f aca="false">IFERROR(IF(VLOOKUP($A479,RA_result!$B$3:$N$62,6,0)="",S479*T479,VLOOKUP($A479,RA_result!$B$3:$N$62,6,0)),"")</f>
        <v/>
      </c>
      <c r="V479" s="61" t="s">
        <v>56</v>
      </c>
      <c r="W479" s="62" t="n">
        <f aca="false">IFERROR((S479*30%)/V479,0)</f>
        <v>0</v>
      </c>
      <c r="X479" s="63" t="n">
        <f aca="false">IFERROR(N479/W479,0)</f>
        <v>0</v>
      </c>
      <c r="Y479" s="68"/>
      <c r="Z479" s="57"/>
      <c r="AA479" s="69" t="str">
        <f aca="false">IF(OR(U479="",Y479="",Z479=""),"",IF(AND(U479&gt;Y479,-U479&lt;Z479),"Ok","Not Ok"))</f>
        <v/>
      </c>
      <c r="AB479" s="70"/>
    </row>
    <row r="480" customFormat="false" ht="12.8" hidden="false" customHeight="false" outlineLevel="0" collapsed="false">
      <c r="A480" s="48" t="n">
        <f aca="false">TB_audited!A463</f>
        <v>0</v>
      </c>
      <c r="B480" s="49"/>
      <c r="C480" s="50"/>
      <c r="D480" s="51" t="n">
        <f aca="false">TB_audited!B463</f>
        <v>0</v>
      </c>
      <c r="E480" s="52" t="n">
        <f aca="false">TB_audited!C463</f>
        <v>0</v>
      </c>
      <c r="F480" s="53" t="n">
        <f aca="false">TB_audited!D463</f>
        <v>0</v>
      </c>
      <c r="G480" s="54" t="n">
        <f aca="false">IF($D$8="Interim",TB_audited!G463,TB_audited!E463)</f>
        <v>0</v>
      </c>
      <c r="H480" s="55" t="str">
        <f aca="false">IFERROR(VLOOKUP($A480,RA_result!$B$3:$N$62,11,0),"")</f>
        <v/>
      </c>
      <c r="I480" s="55" t="str">
        <f aca="false">IFERROR(VLOOKUP($A480,RA_result!$B$3:$N$62,12,0),"")</f>
        <v/>
      </c>
      <c r="J480" s="55" t="str">
        <f aca="false">IFERROR(VLOOKUP($A480,RA_result!$B$3:$N$62,13,0),"")</f>
        <v/>
      </c>
      <c r="K480" s="56"/>
      <c r="L480" s="56"/>
      <c r="M480" s="57" t="n">
        <f aca="false">G480</f>
        <v>0</v>
      </c>
      <c r="N480" s="54" t="n">
        <f aca="false">G480-M480</f>
        <v>0</v>
      </c>
      <c r="O480" s="55" t="str">
        <f aca="false">IFERROR(VLOOKUP($A480,RA_result!$B$3:$N$62,7,0),"")</f>
        <v/>
      </c>
      <c r="P480" s="52" t="str">
        <f aca="false">IFERROR(VLOOKUP($A480,RA_result!$B$3:$N$62,9,0),"")</f>
        <v/>
      </c>
      <c r="Q480" s="52" t="str">
        <f aca="false">IFERROR(VLOOKUP($A480,RA_result!$B$3:$N$62,10,0),"")</f>
        <v/>
      </c>
      <c r="R480" s="58" t="s">
        <v>55</v>
      </c>
      <c r="S480" s="59" t="str">
        <f aca="false">IFERROR(VLOOKUP($A480,RA_result!$B$3:$N$62,4,0),"")</f>
        <v/>
      </c>
      <c r="T480" s="60" t="s">
        <v>56</v>
      </c>
      <c r="U480" s="59" t="str">
        <f aca="false">IFERROR(IF(VLOOKUP($A480,RA_result!$B$3:$N$62,6,0)="",S480*T480,VLOOKUP($A480,RA_result!$B$3:$N$62,6,0)),"")</f>
        <v/>
      </c>
      <c r="V480" s="61" t="s">
        <v>56</v>
      </c>
      <c r="W480" s="62" t="n">
        <f aca="false">IFERROR((S480*30%)/V480,0)</f>
        <v>0</v>
      </c>
      <c r="X480" s="63" t="n">
        <f aca="false">IFERROR(N480/W480,0)</f>
        <v>0</v>
      </c>
      <c r="Y480" s="68"/>
      <c r="Z480" s="57"/>
      <c r="AA480" s="69" t="str">
        <f aca="false">IF(OR(U480="",Y480="",Z480=""),"",IF(AND(U480&gt;Y480,-U480&lt;Z480),"Ok","Not Ok"))</f>
        <v/>
      </c>
      <c r="AB480" s="70"/>
    </row>
    <row r="481" customFormat="false" ht="12.8" hidden="false" customHeight="false" outlineLevel="0" collapsed="false">
      <c r="A481" s="48" t="n">
        <f aca="false">TB_audited!A464</f>
        <v>0</v>
      </c>
      <c r="B481" s="49"/>
      <c r="C481" s="50"/>
      <c r="D481" s="51" t="n">
        <f aca="false">TB_audited!B464</f>
        <v>0</v>
      </c>
      <c r="E481" s="52" t="n">
        <f aca="false">TB_audited!C464</f>
        <v>0</v>
      </c>
      <c r="F481" s="53" t="n">
        <f aca="false">TB_audited!D464</f>
        <v>0</v>
      </c>
      <c r="G481" s="54" t="n">
        <f aca="false">IF($D$8="Interim",TB_audited!G464,TB_audited!E464)</f>
        <v>0</v>
      </c>
      <c r="H481" s="55" t="str">
        <f aca="false">IFERROR(VLOOKUP($A481,RA_result!$B$3:$N$62,11,0),"")</f>
        <v/>
      </c>
      <c r="I481" s="55" t="str">
        <f aca="false">IFERROR(VLOOKUP($A481,RA_result!$B$3:$N$62,12,0),"")</f>
        <v/>
      </c>
      <c r="J481" s="55" t="str">
        <f aca="false">IFERROR(VLOOKUP($A481,RA_result!$B$3:$N$62,13,0),"")</f>
        <v/>
      </c>
      <c r="K481" s="56"/>
      <c r="L481" s="56"/>
      <c r="M481" s="57" t="n">
        <f aca="false">G481</f>
        <v>0</v>
      </c>
      <c r="N481" s="54" t="n">
        <f aca="false">G481-M481</f>
        <v>0</v>
      </c>
      <c r="O481" s="55" t="str">
        <f aca="false">IFERROR(VLOOKUP($A481,RA_result!$B$3:$N$62,7,0),"")</f>
        <v/>
      </c>
      <c r="P481" s="52" t="str">
        <f aca="false">IFERROR(VLOOKUP($A481,RA_result!$B$3:$N$62,9,0),"")</f>
        <v/>
      </c>
      <c r="Q481" s="52" t="str">
        <f aca="false">IFERROR(VLOOKUP($A481,RA_result!$B$3:$N$62,10,0),"")</f>
        <v/>
      </c>
      <c r="R481" s="58" t="s">
        <v>55</v>
      </c>
      <c r="S481" s="59" t="str">
        <f aca="false">IFERROR(VLOOKUP($A481,RA_result!$B$3:$N$62,4,0),"")</f>
        <v/>
      </c>
      <c r="T481" s="60" t="s">
        <v>56</v>
      </c>
      <c r="U481" s="59" t="str">
        <f aca="false">IFERROR(IF(VLOOKUP($A481,RA_result!$B$3:$N$62,6,0)="",S481*T481,VLOOKUP($A481,RA_result!$B$3:$N$62,6,0)),"")</f>
        <v/>
      </c>
      <c r="V481" s="61" t="s">
        <v>56</v>
      </c>
      <c r="W481" s="62" t="n">
        <f aca="false">IFERROR((S481*30%)/V481,0)</f>
        <v>0</v>
      </c>
      <c r="X481" s="63" t="n">
        <f aca="false">IFERROR(N481/W481,0)</f>
        <v>0</v>
      </c>
      <c r="Y481" s="68"/>
      <c r="Z481" s="57"/>
      <c r="AA481" s="69" t="str">
        <f aca="false">IF(OR(U481="",Y481="",Z481=""),"",IF(AND(U481&gt;Y481,-U481&lt;Z481),"Ok","Not Ok"))</f>
        <v/>
      </c>
      <c r="AB481" s="70"/>
    </row>
    <row r="482" customFormat="false" ht="12.8" hidden="false" customHeight="false" outlineLevel="0" collapsed="false">
      <c r="A482" s="48" t="n">
        <f aca="false">TB_audited!A465</f>
        <v>0</v>
      </c>
      <c r="B482" s="49"/>
      <c r="C482" s="50"/>
      <c r="D482" s="51" t="n">
        <f aca="false">TB_audited!B465</f>
        <v>0</v>
      </c>
      <c r="E482" s="52" t="n">
        <f aca="false">TB_audited!C465</f>
        <v>0</v>
      </c>
      <c r="F482" s="53" t="n">
        <f aca="false">TB_audited!D465</f>
        <v>0</v>
      </c>
      <c r="G482" s="54" t="n">
        <f aca="false">IF($D$8="Interim",TB_audited!G465,TB_audited!E465)</f>
        <v>0</v>
      </c>
      <c r="H482" s="55" t="str">
        <f aca="false">IFERROR(VLOOKUP($A482,RA_result!$B$3:$N$62,11,0),"")</f>
        <v/>
      </c>
      <c r="I482" s="55" t="str">
        <f aca="false">IFERROR(VLOOKUP($A482,RA_result!$B$3:$N$62,12,0),"")</f>
        <v/>
      </c>
      <c r="J482" s="55" t="str">
        <f aca="false">IFERROR(VLOOKUP($A482,RA_result!$B$3:$N$62,13,0),"")</f>
        <v/>
      </c>
      <c r="K482" s="56"/>
      <c r="L482" s="56"/>
      <c r="M482" s="57" t="n">
        <f aca="false">G482</f>
        <v>0</v>
      </c>
      <c r="N482" s="54" t="n">
        <f aca="false">G482-M482</f>
        <v>0</v>
      </c>
      <c r="O482" s="55" t="str">
        <f aca="false">IFERROR(VLOOKUP($A482,RA_result!$B$3:$N$62,7,0),"")</f>
        <v/>
      </c>
      <c r="P482" s="52" t="str">
        <f aca="false">IFERROR(VLOOKUP($A482,RA_result!$B$3:$N$62,9,0),"")</f>
        <v/>
      </c>
      <c r="Q482" s="52" t="str">
        <f aca="false">IFERROR(VLOOKUP($A482,RA_result!$B$3:$N$62,10,0),"")</f>
        <v/>
      </c>
      <c r="R482" s="58" t="s">
        <v>55</v>
      </c>
      <c r="S482" s="59" t="str">
        <f aca="false">IFERROR(VLOOKUP($A482,RA_result!$B$3:$N$62,4,0),"")</f>
        <v/>
      </c>
      <c r="T482" s="60" t="s">
        <v>56</v>
      </c>
      <c r="U482" s="59" t="str">
        <f aca="false">IFERROR(IF(VLOOKUP($A482,RA_result!$B$3:$N$62,6,0)="",S482*T482,VLOOKUP($A482,RA_result!$B$3:$N$62,6,0)),"")</f>
        <v/>
      </c>
      <c r="V482" s="61" t="s">
        <v>56</v>
      </c>
      <c r="W482" s="62" t="n">
        <f aca="false">IFERROR((S482*30%)/V482,0)</f>
        <v>0</v>
      </c>
      <c r="X482" s="63" t="n">
        <f aca="false">IFERROR(N482/W482,0)</f>
        <v>0</v>
      </c>
      <c r="Y482" s="68"/>
      <c r="Z482" s="57"/>
      <c r="AA482" s="69" t="str">
        <f aca="false">IF(OR(U482="",Y482="",Z482=""),"",IF(AND(U482&gt;Y482,-U482&lt;Z482),"Ok","Not Ok"))</f>
        <v/>
      </c>
      <c r="AB482" s="70"/>
    </row>
    <row r="483" customFormat="false" ht="12.8" hidden="false" customHeight="false" outlineLevel="0" collapsed="false">
      <c r="A483" s="48" t="n">
        <f aca="false">TB_audited!A466</f>
        <v>0</v>
      </c>
      <c r="B483" s="49"/>
      <c r="C483" s="50"/>
      <c r="D483" s="51" t="n">
        <f aca="false">TB_audited!B466</f>
        <v>0</v>
      </c>
      <c r="E483" s="52" t="n">
        <f aca="false">TB_audited!C466</f>
        <v>0</v>
      </c>
      <c r="F483" s="53" t="n">
        <f aca="false">TB_audited!D466</f>
        <v>0</v>
      </c>
      <c r="G483" s="54" t="n">
        <f aca="false">IF($D$8="Interim",TB_audited!G466,TB_audited!E466)</f>
        <v>0</v>
      </c>
      <c r="H483" s="55" t="str">
        <f aca="false">IFERROR(VLOOKUP($A483,RA_result!$B$3:$N$62,11,0),"")</f>
        <v/>
      </c>
      <c r="I483" s="55" t="str">
        <f aca="false">IFERROR(VLOOKUP($A483,RA_result!$B$3:$N$62,12,0),"")</f>
        <v/>
      </c>
      <c r="J483" s="55" t="str">
        <f aca="false">IFERROR(VLOOKUP($A483,RA_result!$B$3:$N$62,13,0),"")</f>
        <v/>
      </c>
      <c r="K483" s="56"/>
      <c r="L483" s="56"/>
      <c r="M483" s="57" t="n">
        <f aca="false">G483</f>
        <v>0</v>
      </c>
      <c r="N483" s="54" t="n">
        <f aca="false">G483-M483</f>
        <v>0</v>
      </c>
      <c r="O483" s="55" t="str">
        <f aca="false">IFERROR(VLOOKUP($A483,RA_result!$B$3:$N$62,7,0),"")</f>
        <v/>
      </c>
      <c r="P483" s="52" t="str">
        <f aca="false">IFERROR(VLOOKUP($A483,RA_result!$B$3:$N$62,9,0),"")</f>
        <v/>
      </c>
      <c r="Q483" s="52" t="str">
        <f aca="false">IFERROR(VLOOKUP($A483,RA_result!$B$3:$N$62,10,0),"")</f>
        <v/>
      </c>
      <c r="R483" s="58" t="s">
        <v>55</v>
      </c>
      <c r="S483" s="59" t="str">
        <f aca="false">IFERROR(VLOOKUP($A483,RA_result!$B$3:$N$62,4,0),"")</f>
        <v/>
      </c>
      <c r="T483" s="60" t="s">
        <v>56</v>
      </c>
      <c r="U483" s="59" t="str">
        <f aca="false">IFERROR(IF(VLOOKUP($A483,RA_result!$B$3:$N$62,6,0)="",S483*T483,VLOOKUP($A483,RA_result!$B$3:$N$62,6,0)),"")</f>
        <v/>
      </c>
      <c r="V483" s="61" t="s">
        <v>56</v>
      </c>
      <c r="W483" s="62" t="n">
        <f aca="false">IFERROR((S483*30%)/V483,0)</f>
        <v>0</v>
      </c>
      <c r="X483" s="63" t="n">
        <f aca="false">IFERROR(N483/W483,0)</f>
        <v>0</v>
      </c>
      <c r="Y483" s="68"/>
      <c r="Z483" s="57"/>
      <c r="AA483" s="69" t="str">
        <f aca="false">IF(OR(U483="",Y483="",Z483=""),"",IF(AND(U483&gt;Y483,-U483&lt;Z483),"Ok","Not Ok"))</f>
        <v/>
      </c>
      <c r="AB483" s="70"/>
    </row>
    <row r="484" customFormat="false" ht="12.8" hidden="false" customHeight="false" outlineLevel="0" collapsed="false">
      <c r="A484" s="48" t="n">
        <f aca="false">TB_audited!A467</f>
        <v>0</v>
      </c>
      <c r="B484" s="49"/>
      <c r="C484" s="50"/>
      <c r="D484" s="51" t="n">
        <f aca="false">TB_audited!B467</f>
        <v>0</v>
      </c>
      <c r="E484" s="52" t="n">
        <f aca="false">TB_audited!C467</f>
        <v>0</v>
      </c>
      <c r="F484" s="53" t="n">
        <f aca="false">TB_audited!D467</f>
        <v>0</v>
      </c>
      <c r="G484" s="54" t="n">
        <f aca="false">IF($D$8="Interim",TB_audited!G467,TB_audited!E467)</f>
        <v>0</v>
      </c>
      <c r="H484" s="55" t="str">
        <f aca="false">IFERROR(VLOOKUP($A484,RA_result!$B$3:$N$62,11,0),"")</f>
        <v/>
      </c>
      <c r="I484" s="55" t="str">
        <f aca="false">IFERROR(VLOOKUP($A484,RA_result!$B$3:$N$62,12,0),"")</f>
        <v/>
      </c>
      <c r="J484" s="55" t="str">
        <f aca="false">IFERROR(VLOOKUP($A484,RA_result!$B$3:$N$62,13,0),"")</f>
        <v/>
      </c>
      <c r="K484" s="56"/>
      <c r="L484" s="56"/>
      <c r="M484" s="57" t="n">
        <f aca="false">G484</f>
        <v>0</v>
      </c>
      <c r="N484" s="54" t="n">
        <f aca="false">G484-M484</f>
        <v>0</v>
      </c>
      <c r="O484" s="55" t="str">
        <f aca="false">IFERROR(VLOOKUP($A484,RA_result!$B$3:$N$62,7,0),"")</f>
        <v/>
      </c>
      <c r="P484" s="52" t="str">
        <f aca="false">IFERROR(VLOOKUP($A484,RA_result!$B$3:$N$62,9,0),"")</f>
        <v/>
      </c>
      <c r="Q484" s="52" t="str">
        <f aca="false">IFERROR(VLOOKUP($A484,RA_result!$B$3:$N$62,10,0),"")</f>
        <v/>
      </c>
      <c r="R484" s="58" t="s">
        <v>55</v>
      </c>
      <c r="S484" s="59" t="str">
        <f aca="false">IFERROR(VLOOKUP($A484,RA_result!$B$3:$N$62,4,0),"")</f>
        <v/>
      </c>
      <c r="T484" s="60" t="s">
        <v>56</v>
      </c>
      <c r="U484" s="59" t="str">
        <f aca="false">IFERROR(IF(VLOOKUP($A484,RA_result!$B$3:$N$62,6,0)="",S484*T484,VLOOKUP($A484,RA_result!$B$3:$N$62,6,0)),"")</f>
        <v/>
      </c>
      <c r="V484" s="61" t="s">
        <v>56</v>
      </c>
      <c r="W484" s="62" t="n">
        <f aca="false">IFERROR((S484*30%)/V484,0)</f>
        <v>0</v>
      </c>
      <c r="X484" s="63" t="n">
        <f aca="false">IFERROR(N484/W484,0)</f>
        <v>0</v>
      </c>
      <c r="Y484" s="68"/>
      <c r="Z484" s="57"/>
      <c r="AA484" s="69" t="str">
        <f aca="false">IF(OR(U484="",Y484="",Z484=""),"",IF(AND(U484&gt;Y484,-U484&lt;Z484),"Ok","Not Ok"))</f>
        <v/>
      </c>
      <c r="AB484" s="70"/>
    </row>
    <row r="485" customFormat="false" ht="12.8" hidden="false" customHeight="false" outlineLevel="0" collapsed="false">
      <c r="A485" s="48" t="n">
        <f aca="false">TB_audited!A468</f>
        <v>0</v>
      </c>
      <c r="B485" s="49"/>
      <c r="C485" s="50"/>
      <c r="D485" s="51" t="n">
        <f aca="false">TB_audited!B468</f>
        <v>0</v>
      </c>
      <c r="E485" s="52" t="n">
        <f aca="false">TB_audited!C468</f>
        <v>0</v>
      </c>
      <c r="F485" s="53" t="n">
        <f aca="false">TB_audited!D468</f>
        <v>0</v>
      </c>
      <c r="G485" s="54" t="n">
        <f aca="false">IF($D$8="Interim",TB_audited!G468,TB_audited!E468)</f>
        <v>0</v>
      </c>
      <c r="H485" s="55" t="str">
        <f aca="false">IFERROR(VLOOKUP($A485,RA_result!$B$3:$N$62,11,0),"")</f>
        <v/>
      </c>
      <c r="I485" s="55" t="str">
        <f aca="false">IFERROR(VLOOKUP($A485,RA_result!$B$3:$N$62,12,0),"")</f>
        <v/>
      </c>
      <c r="J485" s="55" t="str">
        <f aca="false">IFERROR(VLOOKUP($A485,RA_result!$B$3:$N$62,13,0),"")</f>
        <v/>
      </c>
      <c r="K485" s="56"/>
      <c r="L485" s="56"/>
      <c r="M485" s="57" t="n">
        <f aca="false">G485</f>
        <v>0</v>
      </c>
      <c r="N485" s="54" t="n">
        <f aca="false">G485-M485</f>
        <v>0</v>
      </c>
      <c r="O485" s="55" t="str">
        <f aca="false">IFERROR(VLOOKUP($A485,RA_result!$B$3:$N$62,7,0),"")</f>
        <v/>
      </c>
      <c r="P485" s="52" t="str">
        <f aca="false">IFERROR(VLOOKUP($A485,RA_result!$B$3:$N$62,9,0),"")</f>
        <v/>
      </c>
      <c r="Q485" s="52" t="str">
        <f aca="false">IFERROR(VLOOKUP($A485,RA_result!$B$3:$N$62,10,0),"")</f>
        <v/>
      </c>
      <c r="R485" s="58" t="s">
        <v>55</v>
      </c>
      <c r="S485" s="59" t="str">
        <f aca="false">IFERROR(VLOOKUP($A485,RA_result!$B$3:$N$62,4,0),"")</f>
        <v/>
      </c>
      <c r="T485" s="60" t="s">
        <v>56</v>
      </c>
      <c r="U485" s="59" t="str">
        <f aca="false">IFERROR(IF(VLOOKUP($A485,RA_result!$B$3:$N$62,6,0)="",S485*T485,VLOOKUP($A485,RA_result!$B$3:$N$62,6,0)),"")</f>
        <v/>
      </c>
      <c r="V485" s="61" t="s">
        <v>56</v>
      </c>
      <c r="W485" s="62" t="n">
        <f aca="false">IFERROR((S485*30%)/V485,0)</f>
        <v>0</v>
      </c>
      <c r="X485" s="63" t="n">
        <f aca="false">IFERROR(N485/W485,0)</f>
        <v>0</v>
      </c>
      <c r="Y485" s="68"/>
      <c r="Z485" s="57"/>
      <c r="AA485" s="69" t="str">
        <f aca="false">IF(OR(U485="",Y485="",Z485=""),"",IF(AND(U485&gt;Y485,-U485&lt;Z485),"Ok","Not Ok"))</f>
        <v/>
      </c>
      <c r="AB485" s="70"/>
    </row>
    <row r="486" customFormat="false" ht="12.8" hidden="false" customHeight="false" outlineLevel="0" collapsed="false">
      <c r="A486" s="48" t="n">
        <f aca="false">TB_audited!A469</f>
        <v>0</v>
      </c>
      <c r="B486" s="49"/>
      <c r="C486" s="50"/>
      <c r="D486" s="51" t="n">
        <f aca="false">TB_audited!B469</f>
        <v>0</v>
      </c>
      <c r="E486" s="52" t="n">
        <f aca="false">TB_audited!C469</f>
        <v>0</v>
      </c>
      <c r="F486" s="53" t="n">
        <f aca="false">TB_audited!D469</f>
        <v>0</v>
      </c>
      <c r="G486" s="54" t="n">
        <f aca="false">IF($D$8="Interim",TB_audited!G469,TB_audited!E469)</f>
        <v>0</v>
      </c>
      <c r="H486" s="55" t="str">
        <f aca="false">IFERROR(VLOOKUP($A486,RA_result!$B$3:$N$62,11,0),"")</f>
        <v/>
      </c>
      <c r="I486" s="55" t="str">
        <f aca="false">IFERROR(VLOOKUP($A486,RA_result!$B$3:$N$62,12,0),"")</f>
        <v/>
      </c>
      <c r="J486" s="55" t="str">
        <f aca="false">IFERROR(VLOOKUP($A486,RA_result!$B$3:$N$62,13,0),"")</f>
        <v/>
      </c>
      <c r="K486" s="56"/>
      <c r="L486" s="56"/>
      <c r="M486" s="57" t="n">
        <f aca="false">G486</f>
        <v>0</v>
      </c>
      <c r="N486" s="54" t="n">
        <f aca="false">G486-M486</f>
        <v>0</v>
      </c>
      <c r="O486" s="55" t="str">
        <f aca="false">IFERROR(VLOOKUP($A486,RA_result!$B$3:$N$62,7,0),"")</f>
        <v/>
      </c>
      <c r="P486" s="52" t="str">
        <f aca="false">IFERROR(VLOOKUP($A486,RA_result!$B$3:$N$62,9,0),"")</f>
        <v/>
      </c>
      <c r="Q486" s="52" t="str">
        <f aca="false">IFERROR(VLOOKUP($A486,RA_result!$B$3:$N$62,10,0),"")</f>
        <v/>
      </c>
      <c r="R486" s="58" t="s">
        <v>55</v>
      </c>
      <c r="S486" s="59" t="str">
        <f aca="false">IFERROR(VLOOKUP($A486,RA_result!$B$3:$N$62,4,0),"")</f>
        <v/>
      </c>
      <c r="T486" s="60" t="s">
        <v>56</v>
      </c>
      <c r="U486" s="59" t="str">
        <f aca="false">IFERROR(IF(VLOOKUP($A486,RA_result!$B$3:$N$62,6,0)="",S486*T486,VLOOKUP($A486,RA_result!$B$3:$N$62,6,0)),"")</f>
        <v/>
      </c>
      <c r="V486" s="61" t="s">
        <v>56</v>
      </c>
      <c r="W486" s="62" t="n">
        <f aca="false">IFERROR((S486*30%)/V486,0)</f>
        <v>0</v>
      </c>
      <c r="X486" s="63" t="n">
        <f aca="false">IFERROR(N486/W486,0)</f>
        <v>0</v>
      </c>
      <c r="Y486" s="68"/>
      <c r="Z486" s="57"/>
      <c r="AA486" s="69" t="str">
        <f aca="false">IF(OR(U486="",Y486="",Z486=""),"",IF(AND(U486&gt;Y486,-U486&lt;Z486),"Ok","Not Ok"))</f>
        <v/>
      </c>
      <c r="AB486" s="70"/>
    </row>
    <row r="487" customFormat="false" ht="12.8" hidden="false" customHeight="false" outlineLevel="0" collapsed="false">
      <c r="A487" s="48" t="n">
        <f aca="false">TB_audited!A470</f>
        <v>0</v>
      </c>
      <c r="B487" s="49"/>
      <c r="C487" s="50"/>
      <c r="D487" s="51" t="n">
        <f aca="false">TB_audited!B470</f>
        <v>0</v>
      </c>
      <c r="E487" s="52" t="n">
        <f aca="false">TB_audited!C470</f>
        <v>0</v>
      </c>
      <c r="F487" s="53" t="n">
        <f aca="false">TB_audited!D470</f>
        <v>0</v>
      </c>
      <c r="G487" s="54" t="n">
        <f aca="false">IF($D$8="Interim",TB_audited!G470,TB_audited!E470)</f>
        <v>0</v>
      </c>
      <c r="H487" s="55" t="str">
        <f aca="false">IFERROR(VLOOKUP($A487,RA_result!$B$3:$N$62,11,0),"")</f>
        <v/>
      </c>
      <c r="I487" s="55" t="str">
        <f aca="false">IFERROR(VLOOKUP($A487,RA_result!$B$3:$N$62,12,0),"")</f>
        <v/>
      </c>
      <c r="J487" s="55" t="str">
        <f aca="false">IFERROR(VLOOKUP($A487,RA_result!$B$3:$N$62,13,0),"")</f>
        <v/>
      </c>
      <c r="K487" s="56"/>
      <c r="L487" s="56"/>
      <c r="M487" s="57" t="n">
        <f aca="false">G487</f>
        <v>0</v>
      </c>
      <c r="N487" s="54" t="n">
        <f aca="false">G487-M487</f>
        <v>0</v>
      </c>
      <c r="O487" s="55" t="str">
        <f aca="false">IFERROR(VLOOKUP($A487,RA_result!$B$3:$N$62,7,0),"")</f>
        <v/>
      </c>
      <c r="P487" s="52" t="str">
        <f aca="false">IFERROR(VLOOKUP($A487,RA_result!$B$3:$N$62,9,0),"")</f>
        <v/>
      </c>
      <c r="Q487" s="52" t="str">
        <f aca="false">IFERROR(VLOOKUP($A487,RA_result!$B$3:$N$62,10,0),"")</f>
        <v/>
      </c>
      <c r="R487" s="58" t="s">
        <v>55</v>
      </c>
      <c r="S487" s="59" t="str">
        <f aca="false">IFERROR(VLOOKUP($A487,RA_result!$B$3:$N$62,4,0),"")</f>
        <v/>
      </c>
      <c r="T487" s="60" t="s">
        <v>56</v>
      </c>
      <c r="U487" s="59" t="str">
        <f aca="false">IFERROR(IF(VLOOKUP($A487,RA_result!$B$3:$N$62,6,0)="",S487*T487,VLOOKUP($A487,RA_result!$B$3:$N$62,6,0)),"")</f>
        <v/>
      </c>
      <c r="V487" s="61" t="s">
        <v>56</v>
      </c>
      <c r="W487" s="62" t="n">
        <f aca="false">IFERROR((S487*30%)/V487,0)</f>
        <v>0</v>
      </c>
      <c r="X487" s="63" t="n">
        <f aca="false">IFERROR(N487/W487,0)</f>
        <v>0</v>
      </c>
      <c r="Y487" s="68"/>
      <c r="Z487" s="57"/>
      <c r="AA487" s="69" t="str">
        <f aca="false">IF(OR(U487="",Y487="",Z487=""),"",IF(AND(U487&gt;Y487,-U487&lt;Z487),"Ok","Not Ok"))</f>
        <v/>
      </c>
      <c r="AB487" s="70"/>
    </row>
    <row r="488" customFormat="false" ht="12.8" hidden="false" customHeight="false" outlineLevel="0" collapsed="false">
      <c r="A488" s="48" t="n">
        <f aca="false">TB_audited!A471</f>
        <v>0</v>
      </c>
      <c r="B488" s="49"/>
      <c r="C488" s="50"/>
      <c r="D488" s="51" t="n">
        <f aca="false">TB_audited!B471</f>
        <v>0</v>
      </c>
      <c r="E488" s="52" t="n">
        <f aca="false">TB_audited!C471</f>
        <v>0</v>
      </c>
      <c r="F488" s="53" t="n">
        <f aca="false">TB_audited!D471</f>
        <v>0</v>
      </c>
      <c r="G488" s="54" t="n">
        <f aca="false">IF($D$8="Interim",TB_audited!G471,TB_audited!E471)</f>
        <v>0</v>
      </c>
      <c r="H488" s="55" t="str">
        <f aca="false">IFERROR(VLOOKUP($A488,RA_result!$B$3:$N$62,11,0),"")</f>
        <v/>
      </c>
      <c r="I488" s="55" t="str">
        <f aca="false">IFERROR(VLOOKUP($A488,RA_result!$B$3:$N$62,12,0),"")</f>
        <v/>
      </c>
      <c r="J488" s="55" t="str">
        <f aca="false">IFERROR(VLOOKUP($A488,RA_result!$B$3:$N$62,13,0),"")</f>
        <v/>
      </c>
      <c r="K488" s="56"/>
      <c r="L488" s="56"/>
      <c r="M488" s="57" t="n">
        <f aca="false">G488</f>
        <v>0</v>
      </c>
      <c r="N488" s="54" t="n">
        <f aca="false">G488-M488</f>
        <v>0</v>
      </c>
      <c r="O488" s="55" t="str">
        <f aca="false">IFERROR(VLOOKUP($A488,RA_result!$B$3:$N$62,7,0),"")</f>
        <v/>
      </c>
      <c r="P488" s="52" t="str">
        <f aca="false">IFERROR(VLOOKUP($A488,RA_result!$B$3:$N$62,9,0),"")</f>
        <v/>
      </c>
      <c r="Q488" s="52" t="str">
        <f aca="false">IFERROR(VLOOKUP($A488,RA_result!$B$3:$N$62,10,0),"")</f>
        <v/>
      </c>
      <c r="R488" s="58" t="s">
        <v>55</v>
      </c>
      <c r="S488" s="59" t="str">
        <f aca="false">IFERROR(VLOOKUP($A488,RA_result!$B$3:$N$62,4,0),"")</f>
        <v/>
      </c>
      <c r="T488" s="60" t="s">
        <v>56</v>
      </c>
      <c r="U488" s="59" t="str">
        <f aca="false">IFERROR(IF(VLOOKUP($A488,RA_result!$B$3:$N$62,6,0)="",S488*T488,VLOOKUP($A488,RA_result!$B$3:$N$62,6,0)),"")</f>
        <v/>
      </c>
      <c r="V488" s="61" t="s">
        <v>56</v>
      </c>
      <c r="W488" s="62" t="n">
        <f aca="false">IFERROR((S488*30%)/V488,0)</f>
        <v>0</v>
      </c>
      <c r="X488" s="63" t="n">
        <f aca="false">IFERROR(N488/W488,0)</f>
        <v>0</v>
      </c>
      <c r="Y488" s="68"/>
      <c r="Z488" s="57"/>
      <c r="AA488" s="69" t="str">
        <f aca="false">IF(OR(U488="",Y488="",Z488=""),"",IF(AND(U488&gt;Y488,-U488&lt;Z488),"Ok","Not Ok"))</f>
        <v/>
      </c>
      <c r="AB488" s="70"/>
    </row>
    <row r="489" customFormat="false" ht="12.8" hidden="false" customHeight="false" outlineLevel="0" collapsed="false">
      <c r="A489" s="48" t="n">
        <f aca="false">TB_audited!A472</f>
        <v>0</v>
      </c>
      <c r="B489" s="49"/>
      <c r="C489" s="50"/>
      <c r="D489" s="51" t="n">
        <f aca="false">TB_audited!B472</f>
        <v>0</v>
      </c>
      <c r="E489" s="52" t="n">
        <f aca="false">TB_audited!C472</f>
        <v>0</v>
      </c>
      <c r="F489" s="53" t="n">
        <f aca="false">TB_audited!D472</f>
        <v>0</v>
      </c>
      <c r="G489" s="54" t="n">
        <f aca="false">IF($D$8="Interim",TB_audited!G472,TB_audited!E472)</f>
        <v>0</v>
      </c>
      <c r="H489" s="55" t="str">
        <f aca="false">IFERROR(VLOOKUP($A489,RA_result!$B$3:$N$62,11,0),"")</f>
        <v/>
      </c>
      <c r="I489" s="55" t="str">
        <f aca="false">IFERROR(VLOOKUP($A489,RA_result!$B$3:$N$62,12,0),"")</f>
        <v/>
      </c>
      <c r="J489" s="55" t="str">
        <f aca="false">IFERROR(VLOOKUP($A489,RA_result!$B$3:$N$62,13,0),"")</f>
        <v/>
      </c>
      <c r="K489" s="56"/>
      <c r="L489" s="56"/>
      <c r="M489" s="57" t="n">
        <f aca="false">G489</f>
        <v>0</v>
      </c>
      <c r="N489" s="54" t="n">
        <f aca="false">G489-M489</f>
        <v>0</v>
      </c>
      <c r="O489" s="55" t="str">
        <f aca="false">IFERROR(VLOOKUP($A489,RA_result!$B$3:$N$62,7,0),"")</f>
        <v/>
      </c>
      <c r="P489" s="52" t="str">
        <f aca="false">IFERROR(VLOOKUP($A489,RA_result!$B$3:$N$62,9,0),"")</f>
        <v/>
      </c>
      <c r="Q489" s="52" t="str">
        <f aca="false">IFERROR(VLOOKUP($A489,RA_result!$B$3:$N$62,10,0),"")</f>
        <v/>
      </c>
      <c r="R489" s="58" t="s">
        <v>55</v>
      </c>
      <c r="S489" s="59" t="str">
        <f aca="false">IFERROR(VLOOKUP($A489,RA_result!$B$3:$N$62,4,0),"")</f>
        <v/>
      </c>
      <c r="T489" s="60" t="s">
        <v>56</v>
      </c>
      <c r="U489" s="59" t="str">
        <f aca="false">IFERROR(IF(VLOOKUP($A489,RA_result!$B$3:$N$62,6,0)="",S489*T489,VLOOKUP($A489,RA_result!$B$3:$N$62,6,0)),"")</f>
        <v/>
      </c>
      <c r="V489" s="61" t="s">
        <v>56</v>
      </c>
      <c r="W489" s="62" t="n">
        <f aca="false">IFERROR((S489*30%)/V489,0)</f>
        <v>0</v>
      </c>
      <c r="X489" s="63" t="n">
        <f aca="false">IFERROR(N489/W489,0)</f>
        <v>0</v>
      </c>
      <c r="Y489" s="68"/>
      <c r="Z489" s="57"/>
      <c r="AA489" s="69" t="str">
        <f aca="false">IF(OR(U489="",Y489="",Z489=""),"",IF(AND(U489&gt;Y489,-U489&lt;Z489),"Ok","Not Ok"))</f>
        <v/>
      </c>
      <c r="AB489" s="70"/>
    </row>
    <row r="490" customFormat="false" ht="12.8" hidden="false" customHeight="false" outlineLevel="0" collapsed="false">
      <c r="A490" s="48" t="n">
        <f aca="false">TB_audited!A473</f>
        <v>0</v>
      </c>
      <c r="B490" s="49"/>
      <c r="C490" s="50"/>
      <c r="D490" s="51" t="n">
        <f aca="false">TB_audited!B473</f>
        <v>0</v>
      </c>
      <c r="E490" s="52" t="n">
        <f aca="false">TB_audited!C473</f>
        <v>0</v>
      </c>
      <c r="F490" s="53" t="n">
        <f aca="false">TB_audited!D473</f>
        <v>0</v>
      </c>
      <c r="G490" s="54" t="n">
        <f aca="false">IF($D$8="Interim",TB_audited!G473,TB_audited!E473)</f>
        <v>0</v>
      </c>
      <c r="H490" s="55" t="str">
        <f aca="false">IFERROR(VLOOKUP($A490,RA_result!$B$3:$N$62,11,0),"")</f>
        <v/>
      </c>
      <c r="I490" s="55" t="str">
        <f aca="false">IFERROR(VLOOKUP($A490,RA_result!$B$3:$N$62,12,0),"")</f>
        <v/>
      </c>
      <c r="J490" s="55" t="str">
        <f aca="false">IFERROR(VLOOKUP($A490,RA_result!$B$3:$N$62,13,0),"")</f>
        <v/>
      </c>
      <c r="K490" s="56"/>
      <c r="L490" s="56"/>
      <c r="M490" s="57" t="n">
        <f aca="false">G490</f>
        <v>0</v>
      </c>
      <c r="N490" s="54" t="n">
        <f aca="false">G490-M490</f>
        <v>0</v>
      </c>
      <c r="O490" s="55" t="str">
        <f aca="false">IFERROR(VLOOKUP($A490,RA_result!$B$3:$N$62,7,0),"")</f>
        <v/>
      </c>
      <c r="P490" s="52" t="str">
        <f aca="false">IFERROR(VLOOKUP($A490,RA_result!$B$3:$N$62,9,0),"")</f>
        <v/>
      </c>
      <c r="Q490" s="52" t="str">
        <f aca="false">IFERROR(VLOOKUP($A490,RA_result!$B$3:$N$62,10,0),"")</f>
        <v/>
      </c>
      <c r="R490" s="58" t="s">
        <v>55</v>
      </c>
      <c r="S490" s="59" t="str">
        <f aca="false">IFERROR(VLOOKUP($A490,RA_result!$B$3:$N$62,4,0),"")</f>
        <v/>
      </c>
      <c r="T490" s="60" t="s">
        <v>56</v>
      </c>
      <c r="U490" s="59" t="str">
        <f aca="false">IFERROR(IF(VLOOKUP($A490,RA_result!$B$3:$N$62,6,0)="",S490*T490,VLOOKUP($A490,RA_result!$B$3:$N$62,6,0)),"")</f>
        <v/>
      </c>
      <c r="V490" s="61" t="s">
        <v>56</v>
      </c>
      <c r="W490" s="62" t="n">
        <f aca="false">IFERROR((S490*30%)/V490,0)</f>
        <v>0</v>
      </c>
      <c r="X490" s="63" t="n">
        <f aca="false">IFERROR(N490/W490,0)</f>
        <v>0</v>
      </c>
      <c r="Y490" s="68"/>
      <c r="Z490" s="57"/>
      <c r="AA490" s="69" t="str">
        <f aca="false">IF(OR(U490="",Y490="",Z490=""),"",IF(AND(U490&gt;Y490,-U490&lt;Z490),"Ok","Not Ok"))</f>
        <v/>
      </c>
      <c r="AB490" s="70"/>
    </row>
    <row r="491" customFormat="false" ht="12.8" hidden="false" customHeight="false" outlineLevel="0" collapsed="false">
      <c r="A491" s="48" t="n">
        <f aca="false">TB_audited!A474</f>
        <v>0</v>
      </c>
      <c r="B491" s="49"/>
      <c r="C491" s="50"/>
      <c r="D491" s="51" t="n">
        <f aca="false">TB_audited!B474</f>
        <v>0</v>
      </c>
      <c r="E491" s="52" t="n">
        <f aca="false">TB_audited!C474</f>
        <v>0</v>
      </c>
      <c r="F491" s="53" t="n">
        <f aca="false">TB_audited!D474</f>
        <v>0</v>
      </c>
      <c r="G491" s="54" t="n">
        <f aca="false">IF($D$8="Interim",TB_audited!G474,TB_audited!E474)</f>
        <v>0</v>
      </c>
      <c r="H491" s="55" t="str">
        <f aca="false">IFERROR(VLOOKUP($A491,RA_result!$B$3:$N$62,11,0),"")</f>
        <v/>
      </c>
      <c r="I491" s="55" t="str">
        <f aca="false">IFERROR(VLOOKUP($A491,RA_result!$B$3:$N$62,12,0),"")</f>
        <v/>
      </c>
      <c r="J491" s="55" t="str">
        <f aca="false">IFERROR(VLOOKUP($A491,RA_result!$B$3:$N$62,13,0),"")</f>
        <v/>
      </c>
      <c r="K491" s="56"/>
      <c r="L491" s="56"/>
      <c r="M491" s="57" t="n">
        <f aca="false">G491</f>
        <v>0</v>
      </c>
      <c r="N491" s="54" t="n">
        <f aca="false">G491-M491</f>
        <v>0</v>
      </c>
      <c r="O491" s="55" t="str">
        <f aca="false">IFERROR(VLOOKUP($A491,RA_result!$B$3:$N$62,7,0),"")</f>
        <v/>
      </c>
      <c r="P491" s="52" t="str">
        <f aca="false">IFERROR(VLOOKUP($A491,RA_result!$B$3:$N$62,9,0),"")</f>
        <v/>
      </c>
      <c r="Q491" s="52" t="str">
        <f aca="false">IFERROR(VLOOKUP($A491,RA_result!$B$3:$N$62,10,0),"")</f>
        <v/>
      </c>
      <c r="R491" s="58" t="s">
        <v>55</v>
      </c>
      <c r="S491" s="59" t="str">
        <f aca="false">IFERROR(VLOOKUP($A491,RA_result!$B$3:$N$62,4,0),"")</f>
        <v/>
      </c>
      <c r="T491" s="60" t="s">
        <v>56</v>
      </c>
      <c r="U491" s="59" t="str">
        <f aca="false">IFERROR(IF(VLOOKUP($A491,RA_result!$B$3:$N$62,6,0)="",S491*T491,VLOOKUP($A491,RA_result!$B$3:$N$62,6,0)),"")</f>
        <v/>
      </c>
      <c r="V491" s="61" t="s">
        <v>56</v>
      </c>
      <c r="W491" s="62" t="n">
        <f aca="false">IFERROR((S491*30%)/V491,0)</f>
        <v>0</v>
      </c>
      <c r="X491" s="63" t="n">
        <f aca="false">IFERROR(N491/W491,0)</f>
        <v>0</v>
      </c>
      <c r="Y491" s="68"/>
      <c r="Z491" s="57"/>
      <c r="AA491" s="69" t="str">
        <f aca="false">IF(OR(U491="",Y491="",Z491=""),"",IF(AND(U491&gt;Y491,-U491&lt;Z491),"Ok","Not Ok"))</f>
        <v/>
      </c>
      <c r="AB491" s="70"/>
    </row>
    <row r="492" customFormat="false" ht="12.8" hidden="false" customHeight="false" outlineLevel="0" collapsed="false">
      <c r="A492" s="48" t="n">
        <f aca="false">TB_audited!A475</f>
        <v>0</v>
      </c>
      <c r="B492" s="49"/>
      <c r="C492" s="50"/>
      <c r="D492" s="51" t="n">
        <f aca="false">TB_audited!B475</f>
        <v>0</v>
      </c>
      <c r="E492" s="52" t="n">
        <f aca="false">TB_audited!C475</f>
        <v>0</v>
      </c>
      <c r="F492" s="53" t="n">
        <f aca="false">TB_audited!D475</f>
        <v>0</v>
      </c>
      <c r="G492" s="54" t="n">
        <f aca="false">IF($D$8="Interim",TB_audited!G475,TB_audited!E475)</f>
        <v>0</v>
      </c>
      <c r="H492" s="55" t="str">
        <f aca="false">IFERROR(VLOOKUP($A492,RA_result!$B$3:$N$62,11,0),"")</f>
        <v/>
      </c>
      <c r="I492" s="55" t="str">
        <f aca="false">IFERROR(VLOOKUP($A492,RA_result!$B$3:$N$62,12,0),"")</f>
        <v/>
      </c>
      <c r="J492" s="55" t="str">
        <f aca="false">IFERROR(VLOOKUP($A492,RA_result!$B$3:$N$62,13,0),"")</f>
        <v/>
      </c>
      <c r="K492" s="56"/>
      <c r="L492" s="56"/>
      <c r="M492" s="57" t="n">
        <f aca="false">G492</f>
        <v>0</v>
      </c>
      <c r="N492" s="54" t="n">
        <f aca="false">G492-M492</f>
        <v>0</v>
      </c>
      <c r="O492" s="55" t="str">
        <f aca="false">IFERROR(VLOOKUP($A492,RA_result!$B$3:$N$62,7,0),"")</f>
        <v/>
      </c>
      <c r="P492" s="52" t="str">
        <f aca="false">IFERROR(VLOOKUP($A492,RA_result!$B$3:$N$62,9,0),"")</f>
        <v/>
      </c>
      <c r="Q492" s="52" t="str">
        <f aca="false">IFERROR(VLOOKUP($A492,RA_result!$B$3:$N$62,10,0),"")</f>
        <v/>
      </c>
      <c r="R492" s="58" t="s">
        <v>55</v>
      </c>
      <c r="S492" s="59" t="str">
        <f aca="false">IFERROR(VLOOKUP($A492,RA_result!$B$3:$N$62,4,0),"")</f>
        <v/>
      </c>
      <c r="T492" s="60" t="s">
        <v>56</v>
      </c>
      <c r="U492" s="59" t="str">
        <f aca="false">IFERROR(IF(VLOOKUP($A492,RA_result!$B$3:$N$62,6,0)="",S492*T492,VLOOKUP($A492,RA_result!$B$3:$N$62,6,0)),"")</f>
        <v/>
      </c>
      <c r="V492" s="61" t="s">
        <v>56</v>
      </c>
      <c r="W492" s="62" t="n">
        <f aca="false">IFERROR((S492*30%)/V492,0)</f>
        <v>0</v>
      </c>
      <c r="X492" s="63" t="n">
        <f aca="false">IFERROR(N492/W492,0)</f>
        <v>0</v>
      </c>
      <c r="Y492" s="68"/>
      <c r="Z492" s="57"/>
      <c r="AA492" s="69" t="str">
        <f aca="false">IF(OR(U492="",Y492="",Z492=""),"",IF(AND(U492&gt;Y492,-U492&lt;Z492),"Ok","Not Ok"))</f>
        <v/>
      </c>
      <c r="AB492" s="70"/>
    </row>
    <row r="493" customFormat="false" ht="12.8" hidden="false" customHeight="false" outlineLevel="0" collapsed="false">
      <c r="A493" s="48" t="n">
        <f aca="false">TB_audited!A476</f>
        <v>0</v>
      </c>
      <c r="B493" s="49"/>
      <c r="C493" s="50"/>
      <c r="D493" s="51" t="n">
        <f aca="false">TB_audited!B476</f>
        <v>0</v>
      </c>
      <c r="E493" s="52" t="n">
        <f aca="false">TB_audited!C476</f>
        <v>0</v>
      </c>
      <c r="F493" s="53" t="n">
        <f aca="false">TB_audited!D476</f>
        <v>0</v>
      </c>
      <c r="G493" s="54" t="n">
        <f aca="false">IF($D$8="Interim",TB_audited!G476,TB_audited!E476)</f>
        <v>0</v>
      </c>
      <c r="H493" s="55" t="str">
        <f aca="false">IFERROR(VLOOKUP($A493,RA_result!$B$3:$N$62,11,0),"")</f>
        <v/>
      </c>
      <c r="I493" s="55" t="str">
        <f aca="false">IFERROR(VLOOKUP($A493,RA_result!$B$3:$N$62,12,0),"")</f>
        <v/>
      </c>
      <c r="J493" s="55" t="str">
        <f aca="false">IFERROR(VLOOKUP($A493,RA_result!$B$3:$N$62,13,0),"")</f>
        <v/>
      </c>
      <c r="K493" s="56"/>
      <c r="L493" s="56"/>
      <c r="M493" s="57" t="n">
        <f aca="false">G493</f>
        <v>0</v>
      </c>
      <c r="N493" s="54" t="n">
        <f aca="false">G493-M493</f>
        <v>0</v>
      </c>
      <c r="O493" s="55" t="str">
        <f aca="false">IFERROR(VLOOKUP($A493,RA_result!$B$3:$N$62,7,0),"")</f>
        <v/>
      </c>
      <c r="P493" s="52" t="str">
        <f aca="false">IFERROR(VLOOKUP($A493,RA_result!$B$3:$N$62,9,0),"")</f>
        <v/>
      </c>
      <c r="Q493" s="52" t="str">
        <f aca="false">IFERROR(VLOOKUP($A493,RA_result!$B$3:$N$62,10,0),"")</f>
        <v/>
      </c>
      <c r="R493" s="58" t="s">
        <v>55</v>
      </c>
      <c r="S493" s="59" t="str">
        <f aca="false">IFERROR(VLOOKUP($A493,RA_result!$B$3:$N$62,4,0),"")</f>
        <v/>
      </c>
      <c r="T493" s="60" t="s">
        <v>56</v>
      </c>
      <c r="U493" s="59" t="str">
        <f aca="false">IFERROR(IF(VLOOKUP($A493,RA_result!$B$3:$N$62,6,0)="",S493*T493,VLOOKUP($A493,RA_result!$B$3:$N$62,6,0)),"")</f>
        <v/>
      </c>
      <c r="V493" s="61" t="s">
        <v>56</v>
      </c>
      <c r="W493" s="62" t="n">
        <f aca="false">IFERROR((S493*30%)/V493,0)</f>
        <v>0</v>
      </c>
      <c r="X493" s="63" t="n">
        <f aca="false">IFERROR(N493/W493,0)</f>
        <v>0</v>
      </c>
      <c r="Y493" s="68"/>
      <c r="Z493" s="57"/>
      <c r="AA493" s="69" t="str">
        <f aca="false">IF(OR(U493="",Y493="",Z493=""),"",IF(AND(U493&gt;Y493,-U493&lt;Z493),"Ok","Not Ok"))</f>
        <v/>
      </c>
      <c r="AB493" s="70"/>
    </row>
    <row r="494" customFormat="false" ht="12.8" hidden="false" customHeight="false" outlineLevel="0" collapsed="false">
      <c r="A494" s="48" t="n">
        <f aca="false">TB_audited!A477</f>
        <v>0</v>
      </c>
      <c r="B494" s="49"/>
      <c r="C494" s="50"/>
      <c r="D494" s="51" t="n">
        <f aca="false">TB_audited!B477</f>
        <v>0</v>
      </c>
      <c r="E494" s="52" t="n">
        <f aca="false">TB_audited!C477</f>
        <v>0</v>
      </c>
      <c r="F494" s="53" t="n">
        <f aca="false">TB_audited!D477</f>
        <v>0</v>
      </c>
      <c r="G494" s="54" t="n">
        <f aca="false">IF($D$8="Interim",TB_audited!G477,TB_audited!E477)</f>
        <v>0</v>
      </c>
      <c r="H494" s="55" t="str">
        <f aca="false">IFERROR(VLOOKUP($A494,RA_result!$B$3:$N$62,11,0),"")</f>
        <v/>
      </c>
      <c r="I494" s="55" t="str">
        <f aca="false">IFERROR(VLOOKUP($A494,RA_result!$B$3:$N$62,12,0),"")</f>
        <v/>
      </c>
      <c r="J494" s="55" t="str">
        <f aca="false">IFERROR(VLOOKUP($A494,RA_result!$B$3:$N$62,13,0),"")</f>
        <v/>
      </c>
      <c r="K494" s="56"/>
      <c r="L494" s="56"/>
      <c r="M494" s="57" t="n">
        <f aca="false">G494</f>
        <v>0</v>
      </c>
      <c r="N494" s="54" t="n">
        <f aca="false">G494-M494</f>
        <v>0</v>
      </c>
      <c r="O494" s="55" t="str">
        <f aca="false">IFERROR(VLOOKUP($A494,RA_result!$B$3:$N$62,7,0),"")</f>
        <v/>
      </c>
      <c r="P494" s="52" t="str">
        <f aca="false">IFERROR(VLOOKUP($A494,RA_result!$B$3:$N$62,9,0),"")</f>
        <v/>
      </c>
      <c r="Q494" s="52" t="str">
        <f aca="false">IFERROR(VLOOKUP($A494,RA_result!$B$3:$N$62,10,0),"")</f>
        <v/>
      </c>
      <c r="R494" s="58" t="s">
        <v>55</v>
      </c>
      <c r="S494" s="59" t="str">
        <f aca="false">IFERROR(VLOOKUP($A494,RA_result!$B$3:$N$62,4,0),"")</f>
        <v/>
      </c>
      <c r="T494" s="60" t="s">
        <v>56</v>
      </c>
      <c r="U494" s="59" t="str">
        <f aca="false">IFERROR(IF(VLOOKUP($A494,RA_result!$B$3:$N$62,6,0)="",S494*T494,VLOOKUP($A494,RA_result!$B$3:$N$62,6,0)),"")</f>
        <v/>
      </c>
      <c r="V494" s="61" t="s">
        <v>56</v>
      </c>
      <c r="W494" s="62" t="n">
        <f aca="false">IFERROR((S494*30%)/V494,0)</f>
        <v>0</v>
      </c>
      <c r="X494" s="63" t="n">
        <f aca="false">IFERROR(N494/W494,0)</f>
        <v>0</v>
      </c>
      <c r="Y494" s="68"/>
      <c r="Z494" s="57"/>
      <c r="AA494" s="69" t="str">
        <f aca="false">IF(OR(U494="",Y494="",Z494=""),"",IF(AND(U494&gt;Y494,-U494&lt;Z494),"Ok","Not Ok"))</f>
        <v/>
      </c>
      <c r="AB494" s="70"/>
    </row>
    <row r="495" customFormat="false" ht="12.8" hidden="false" customHeight="false" outlineLevel="0" collapsed="false">
      <c r="A495" s="48" t="n">
        <f aca="false">TB_audited!A478</f>
        <v>0</v>
      </c>
      <c r="B495" s="49"/>
      <c r="C495" s="50"/>
      <c r="D495" s="51" t="n">
        <f aca="false">TB_audited!B478</f>
        <v>0</v>
      </c>
      <c r="E495" s="52" t="n">
        <f aca="false">TB_audited!C478</f>
        <v>0</v>
      </c>
      <c r="F495" s="53" t="n">
        <f aca="false">TB_audited!D478</f>
        <v>0</v>
      </c>
      <c r="G495" s="54" t="n">
        <f aca="false">IF($D$8="Interim",TB_audited!G478,TB_audited!E478)</f>
        <v>0</v>
      </c>
      <c r="H495" s="55" t="str">
        <f aca="false">IFERROR(VLOOKUP($A495,RA_result!$B$3:$N$62,11,0),"")</f>
        <v/>
      </c>
      <c r="I495" s="55" t="str">
        <f aca="false">IFERROR(VLOOKUP($A495,RA_result!$B$3:$N$62,12,0),"")</f>
        <v/>
      </c>
      <c r="J495" s="55" t="str">
        <f aca="false">IFERROR(VLOOKUP($A495,RA_result!$B$3:$N$62,13,0),"")</f>
        <v/>
      </c>
      <c r="K495" s="56"/>
      <c r="L495" s="56"/>
      <c r="M495" s="57" t="n">
        <f aca="false">G495</f>
        <v>0</v>
      </c>
      <c r="N495" s="54" t="n">
        <f aca="false">G495-M495</f>
        <v>0</v>
      </c>
      <c r="O495" s="55" t="str">
        <f aca="false">IFERROR(VLOOKUP($A495,RA_result!$B$3:$N$62,7,0),"")</f>
        <v/>
      </c>
      <c r="P495" s="52" t="str">
        <f aca="false">IFERROR(VLOOKUP($A495,RA_result!$B$3:$N$62,9,0),"")</f>
        <v/>
      </c>
      <c r="Q495" s="52" t="str">
        <f aca="false">IFERROR(VLOOKUP($A495,RA_result!$B$3:$N$62,10,0),"")</f>
        <v/>
      </c>
      <c r="R495" s="58" t="s">
        <v>55</v>
      </c>
      <c r="S495" s="59" t="str">
        <f aca="false">IFERROR(VLOOKUP($A495,RA_result!$B$3:$N$62,4,0),"")</f>
        <v/>
      </c>
      <c r="T495" s="60" t="s">
        <v>56</v>
      </c>
      <c r="U495" s="59" t="str">
        <f aca="false">IFERROR(IF(VLOOKUP($A495,RA_result!$B$3:$N$62,6,0)="",S495*T495,VLOOKUP($A495,RA_result!$B$3:$N$62,6,0)),"")</f>
        <v/>
      </c>
      <c r="V495" s="61" t="s">
        <v>56</v>
      </c>
      <c r="W495" s="62" t="n">
        <f aca="false">IFERROR((S495*30%)/V495,0)</f>
        <v>0</v>
      </c>
      <c r="X495" s="63" t="n">
        <f aca="false">IFERROR(N495/W495,0)</f>
        <v>0</v>
      </c>
      <c r="Y495" s="68"/>
      <c r="Z495" s="57"/>
      <c r="AA495" s="69" t="str">
        <f aca="false">IF(OR(U495="",Y495="",Z495=""),"",IF(AND(U495&gt;Y495,-U495&lt;Z495),"Ok","Not Ok"))</f>
        <v/>
      </c>
      <c r="AB495" s="70"/>
    </row>
    <row r="496" customFormat="false" ht="12.8" hidden="false" customHeight="false" outlineLevel="0" collapsed="false">
      <c r="A496" s="48" t="n">
        <f aca="false">TB_audited!A479</f>
        <v>0</v>
      </c>
      <c r="B496" s="49"/>
      <c r="C496" s="50"/>
      <c r="D496" s="51" t="n">
        <f aca="false">TB_audited!B479</f>
        <v>0</v>
      </c>
      <c r="E496" s="52" t="n">
        <f aca="false">TB_audited!C479</f>
        <v>0</v>
      </c>
      <c r="F496" s="53" t="n">
        <f aca="false">TB_audited!D479</f>
        <v>0</v>
      </c>
      <c r="G496" s="54" t="n">
        <f aca="false">IF($D$8="Interim",TB_audited!G479,TB_audited!E479)</f>
        <v>0</v>
      </c>
      <c r="H496" s="55" t="str">
        <f aca="false">IFERROR(VLOOKUP($A496,RA_result!$B$3:$N$62,11,0),"")</f>
        <v/>
      </c>
      <c r="I496" s="55" t="str">
        <f aca="false">IFERROR(VLOOKUP($A496,RA_result!$B$3:$N$62,12,0),"")</f>
        <v/>
      </c>
      <c r="J496" s="55" t="str">
        <f aca="false">IFERROR(VLOOKUP($A496,RA_result!$B$3:$N$62,13,0),"")</f>
        <v/>
      </c>
      <c r="K496" s="56"/>
      <c r="L496" s="56"/>
      <c r="M496" s="57" t="n">
        <f aca="false">G496</f>
        <v>0</v>
      </c>
      <c r="N496" s="54" t="n">
        <f aca="false">G496-M496</f>
        <v>0</v>
      </c>
      <c r="O496" s="55" t="str">
        <f aca="false">IFERROR(VLOOKUP($A496,RA_result!$B$3:$N$62,7,0),"")</f>
        <v/>
      </c>
      <c r="P496" s="52" t="str">
        <f aca="false">IFERROR(VLOOKUP($A496,RA_result!$B$3:$N$62,9,0),"")</f>
        <v/>
      </c>
      <c r="Q496" s="52" t="str">
        <f aca="false">IFERROR(VLOOKUP($A496,RA_result!$B$3:$N$62,10,0),"")</f>
        <v/>
      </c>
      <c r="R496" s="58" t="s">
        <v>55</v>
      </c>
      <c r="S496" s="59" t="str">
        <f aca="false">IFERROR(VLOOKUP($A496,RA_result!$B$3:$N$62,4,0),"")</f>
        <v/>
      </c>
      <c r="T496" s="60" t="s">
        <v>56</v>
      </c>
      <c r="U496" s="59" t="str">
        <f aca="false">IFERROR(IF(VLOOKUP($A496,RA_result!$B$3:$N$62,6,0)="",S496*T496,VLOOKUP($A496,RA_result!$B$3:$N$62,6,0)),"")</f>
        <v/>
      </c>
      <c r="V496" s="61" t="s">
        <v>56</v>
      </c>
      <c r="W496" s="62" t="n">
        <f aca="false">IFERROR((S496*30%)/V496,0)</f>
        <v>0</v>
      </c>
      <c r="X496" s="63" t="n">
        <f aca="false">IFERROR(N496/W496,0)</f>
        <v>0</v>
      </c>
      <c r="Y496" s="68"/>
      <c r="Z496" s="57"/>
      <c r="AA496" s="69" t="str">
        <f aca="false">IF(OR(U496="",Y496="",Z496=""),"",IF(AND(U496&gt;Y496,-U496&lt;Z496),"Ok","Not Ok"))</f>
        <v/>
      </c>
      <c r="AB496" s="70"/>
    </row>
    <row r="497" customFormat="false" ht="12.8" hidden="false" customHeight="false" outlineLevel="0" collapsed="false">
      <c r="A497" s="48" t="n">
        <f aca="false">TB_audited!A480</f>
        <v>0</v>
      </c>
      <c r="B497" s="49"/>
      <c r="C497" s="50"/>
      <c r="D497" s="51" t="n">
        <f aca="false">TB_audited!B480</f>
        <v>0</v>
      </c>
      <c r="E497" s="52" t="n">
        <f aca="false">TB_audited!C480</f>
        <v>0</v>
      </c>
      <c r="F497" s="53" t="n">
        <f aca="false">TB_audited!D480</f>
        <v>0</v>
      </c>
      <c r="G497" s="54" t="n">
        <f aca="false">IF($D$8="Interim",TB_audited!G480,TB_audited!E480)</f>
        <v>0</v>
      </c>
      <c r="H497" s="55" t="str">
        <f aca="false">IFERROR(VLOOKUP($A497,RA_result!$B$3:$N$62,11,0),"")</f>
        <v/>
      </c>
      <c r="I497" s="55" t="str">
        <f aca="false">IFERROR(VLOOKUP($A497,RA_result!$B$3:$N$62,12,0),"")</f>
        <v/>
      </c>
      <c r="J497" s="55" t="str">
        <f aca="false">IFERROR(VLOOKUP($A497,RA_result!$B$3:$N$62,13,0),"")</f>
        <v/>
      </c>
      <c r="K497" s="56"/>
      <c r="L497" s="56"/>
      <c r="M497" s="57" t="n">
        <f aca="false">G497</f>
        <v>0</v>
      </c>
      <c r="N497" s="54" t="n">
        <f aca="false">G497-M497</f>
        <v>0</v>
      </c>
      <c r="O497" s="55" t="str">
        <f aca="false">IFERROR(VLOOKUP($A497,RA_result!$B$3:$N$62,7,0),"")</f>
        <v/>
      </c>
      <c r="P497" s="52" t="str">
        <f aca="false">IFERROR(VLOOKUP($A497,RA_result!$B$3:$N$62,9,0),"")</f>
        <v/>
      </c>
      <c r="Q497" s="52" t="str">
        <f aca="false">IFERROR(VLOOKUP($A497,RA_result!$B$3:$N$62,10,0),"")</f>
        <v/>
      </c>
      <c r="R497" s="58" t="s">
        <v>55</v>
      </c>
      <c r="S497" s="59" t="str">
        <f aca="false">IFERROR(VLOOKUP($A497,RA_result!$B$3:$N$62,4,0),"")</f>
        <v/>
      </c>
      <c r="T497" s="60" t="s">
        <v>56</v>
      </c>
      <c r="U497" s="59" t="str">
        <f aca="false">IFERROR(IF(VLOOKUP($A497,RA_result!$B$3:$N$62,6,0)="",S497*T497,VLOOKUP($A497,RA_result!$B$3:$N$62,6,0)),"")</f>
        <v/>
      </c>
      <c r="V497" s="61" t="s">
        <v>56</v>
      </c>
      <c r="W497" s="62" t="n">
        <f aca="false">IFERROR((S497*30%)/V497,0)</f>
        <v>0</v>
      </c>
      <c r="X497" s="63" t="n">
        <f aca="false">IFERROR(N497/W497,0)</f>
        <v>0</v>
      </c>
      <c r="Y497" s="68"/>
      <c r="Z497" s="57"/>
      <c r="AA497" s="69" t="str">
        <f aca="false">IF(OR(U497="",Y497="",Z497=""),"",IF(AND(U497&gt;Y497,-U497&lt;Z497),"Ok","Not Ok"))</f>
        <v/>
      </c>
      <c r="AB497" s="70"/>
    </row>
    <row r="498" customFormat="false" ht="12.8" hidden="false" customHeight="false" outlineLevel="0" collapsed="false">
      <c r="A498" s="48" t="n">
        <f aca="false">TB_audited!A481</f>
        <v>0</v>
      </c>
      <c r="B498" s="49"/>
      <c r="C498" s="50"/>
      <c r="D498" s="51" t="n">
        <f aca="false">TB_audited!B481</f>
        <v>0</v>
      </c>
      <c r="E498" s="52" t="n">
        <f aca="false">TB_audited!C481</f>
        <v>0</v>
      </c>
      <c r="F498" s="53" t="n">
        <f aca="false">TB_audited!D481</f>
        <v>0</v>
      </c>
      <c r="G498" s="54" t="n">
        <f aca="false">IF($D$8="Interim",TB_audited!G481,TB_audited!E481)</f>
        <v>0</v>
      </c>
      <c r="H498" s="55" t="str">
        <f aca="false">IFERROR(VLOOKUP($A498,RA_result!$B$3:$N$62,11,0),"")</f>
        <v/>
      </c>
      <c r="I498" s="55" t="str">
        <f aca="false">IFERROR(VLOOKUP($A498,RA_result!$B$3:$N$62,12,0),"")</f>
        <v/>
      </c>
      <c r="J498" s="55" t="str">
        <f aca="false">IFERROR(VLOOKUP($A498,RA_result!$B$3:$N$62,13,0),"")</f>
        <v/>
      </c>
      <c r="K498" s="56"/>
      <c r="L498" s="56"/>
      <c r="M498" s="57" t="n">
        <f aca="false">G498</f>
        <v>0</v>
      </c>
      <c r="N498" s="54" t="n">
        <f aca="false">G498-M498</f>
        <v>0</v>
      </c>
      <c r="O498" s="55" t="str">
        <f aca="false">IFERROR(VLOOKUP($A498,RA_result!$B$3:$N$62,7,0),"")</f>
        <v/>
      </c>
      <c r="P498" s="52" t="str">
        <f aca="false">IFERROR(VLOOKUP($A498,RA_result!$B$3:$N$62,9,0),"")</f>
        <v/>
      </c>
      <c r="Q498" s="52" t="str">
        <f aca="false">IFERROR(VLOOKUP($A498,RA_result!$B$3:$N$62,10,0),"")</f>
        <v/>
      </c>
      <c r="R498" s="58" t="s">
        <v>55</v>
      </c>
      <c r="S498" s="59" t="str">
        <f aca="false">IFERROR(VLOOKUP($A498,RA_result!$B$3:$N$62,4,0),"")</f>
        <v/>
      </c>
      <c r="T498" s="60" t="s">
        <v>56</v>
      </c>
      <c r="U498" s="59" t="str">
        <f aca="false">IFERROR(IF(VLOOKUP($A498,RA_result!$B$3:$N$62,6,0)="",S498*T498,VLOOKUP($A498,RA_result!$B$3:$N$62,6,0)),"")</f>
        <v/>
      </c>
      <c r="V498" s="61" t="s">
        <v>56</v>
      </c>
      <c r="W498" s="62" t="n">
        <f aca="false">IFERROR((S498*30%)/V498,0)</f>
        <v>0</v>
      </c>
      <c r="X498" s="63" t="n">
        <f aca="false">IFERROR(N498/W498,0)</f>
        <v>0</v>
      </c>
      <c r="Y498" s="68"/>
      <c r="Z498" s="57"/>
      <c r="AA498" s="69" t="str">
        <f aca="false">IF(OR(U498="",Y498="",Z498=""),"",IF(AND(U498&gt;Y498,-U498&lt;Z498),"Ok","Not Ok"))</f>
        <v/>
      </c>
      <c r="AB498" s="70"/>
    </row>
    <row r="499" customFormat="false" ht="12.8" hidden="false" customHeight="false" outlineLevel="0" collapsed="false">
      <c r="A499" s="48" t="n">
        <f aca="false">TB_audited!A482</f>
        <v>0</v>
      </c>
      <c r="B499" s="49"/>
      <c r="C499" s="50"/>
      <c r="D499" s="51" t="n">
        <f aca="false">TB_audited!B482</f>
        <v>0</v>
      </c>
      <c r="E499" s="52" t="n">
        <f aca="false">TB_audited!C482</f>
        <v>0</v>
      </c>
      <c r="F499" s="53" t="n">
        <f aca="false">TB_audited!D482</f>
        <v>0</v>
      </c>
      <c r="G499" s="54" t="n">
        <f aca="false">IF($D$8="Interim",TB_audited!G482,TB_audited!E482)</f>
        <v>0</v>
      </c>
      <c r="H499" s="55" t="str">
        <f aca="false">IFERROR(VLOOKUP($A499,RA_result!$B$3:$N$62,11,0),"")</f>
        <v/>
      </c>
      <c r="I499" s="55" t="str">
        <f aca="false">IFERROR(VLOOKUP($A499,RA_result!$B$3:$N$62,12,0),"")</f>
        <v/>
      </c>
      <c r="J499" s="55" t="str">
        <f aca="false">IFERROR(VLOOKUP($A499,RA_result!$B$3:$N$62,13,0),"")</f>
        <v/>
      </c>
      <c r="K499" s="56"/>
      <c r="L499" s="56"/>
      <c r="M499" s="57" t="n">
        <f aca="false">G499</f>
        <v>0</v>
      </c>
      <c r="N499" s="54" t="n">
        <f aca="false">G499-M499</f>
        <v>0</v>
      </c>
      <c r="O499" s="55" t="str">
        <f aca="false">IFERROR(VLOOKUP($A499,RA_result!$B$3:$N$62,7,0),"")</f>
        <v/>
      </c>
      <c r="P499" s="52" t="str">
        <f aca="false">IFERROR(VLOOKUP($A499,RA_result!$B$3:$N$62,9,0),"")</f>
        <v/>
      </c>
      <c r="Q499" s="52" t="str">
        <f aca="false">IFERROR(VLOOKUP($A499,RA_result!$B$3:$N$62,10,0),"")</f>
        <v/>
      </c>
      <c r="R499" s="58" t="s">
        <v>55</v>
      </c>
      <c r="S499" s="59" t="str">
        <f aca="false">IFERROR(VLOOKUP($A499,RA_result!$B$3:$N$62,4,0),"")</f>
        <v/>
      </c>
      <c r="T499" s="60" t="s">
        <v>56</v>
      </c>
      <c r="U499" s="59" t="str">
        <f aca="false">IFERROR(IF(VLOOKUP($A499,RA_result!$B$3:$N$62,6,0)="",S499*T499,VLOOKUP($A499,RA_result!$B$3:$N$62,6,0)),"")</f>
        <v/>
      </c>
      <c r="V499" s="61" t="s">
        <v>56</v>
      </c>
      <c r="W499" s="62" t="n">
        <f aca="false">IFERROR((S499*30%)/V499,0)</f>
        <v>0</v>
      </c>
      <c r="X499" s="63" t="n">
        <f aca="false">IFERROR(N499/W499,0)</f>
        <v>0</v>
      </c>
      <c r="Y499" s="68"/>
      <c r="Z499" s="57"/>
      <c r="AA499" s="69" t="str">
        <f aca="false">IF(OR(U499="",Y499="",Z499=""),"",IF(AND(U499&gt;Y499,-U499&lt;Z499),"Ok","Not Ok"))</f>
        <v/>
      </c>
      <c r="AB499" s="70"/>
    </row>
    <row r="500" customFormat="false" ht="12.8" hidden="false" customHeight="false" outlineLevel="0" collapsed="false">
      <c r="A500" s="48" t="n">
        <f aca="false">TB_audited!A483</f>
        <v>0</v>
      </c>
      <c r="B500" s="49"/>
      <c r="C500" s="50"/>
      <c r="D500" s="51" t="n">
        <f aca="false">TB_audited!B483</f>
        <v>0</v>
      </c>
      <c r="E500" s="52" t="n">
        <f aca="false">TB_audited!C483</f>
        <v>0</v>
      </c>
      <c r="F500" s="53" t="n">
        <f aca="false">TB_audited!D483</f>
        <v>0</v>
      </c>
      <c r="G500" s="54" t="n">
        <f aca="false">IF($D$8="Interim",TB_audited!G483,TB_audited!E483)</f>
        <v>0</v>
      </c>
      <c r="H500" s="55" t="str">
        <f aca="false">IFERROR(VLOOKUP($A500,RA_result!$B$3:$N$62,11,0),"")</f>
        <v/>
      </c>
      <c r="I500" s="55" t="str">
        <f aca="false">IFERROR(VLOOKUP($A500,RA_result!$B$3:$N$62,12,0),"")</f>
        <v/>
      </c>
      <c r="J500" s="55" t="str">
        <f aca="false">IFERROR(VLOOKUP($A500,RA_result!$B$3:$N$62,13,0),"")</f>
        <v/>
      </c>
      <c r="K500" s="56"/>
      <c r="L500" s="56"/>
      <c r="M500" s="57" t="n">
        <f aca="false">G500</f>
        <v>0</v>
      </c>
      <c r="N500" s="54" t="n">
        <f aca="false">G500-M500</f>
        <v>0</v>
      </c>
      <c r="O500" s="55" t="str">
        <f aca="false">IFERROR(VLOOKUP($A500,RA_result!$B$3:$N$62,7,0),"")</f>
        <v/>
      </c>
      <c r="P500" s="52" t="str">
        <f aca="false">IFERROR(VLOOKUP($A500,RA_result!$B$3:$N$62,9,0),"")</f>
        <v/>
      </c>
      <c r="Q500" s="52" t="str">
        <f aca="false">IFERROR(VLOOKUP($A500,RA_result!$B$3:$N$62,10,0),"")</f>
        <v/>
      </c>
      <c r="R500" s="58" t="s">
        <v>55</v>
      </c>
      <c r="S500" s="59" t="str">
        <f aca="false">IFERROR(VLOOKUP($A500,RA_result!$B$3:$N$62,4,0),"")</f>
        <v/>
      </c>
      <c r="T500" s="60" t="s">
        <v>56</v>
      </c>
      <c r="U500" s="59" t="str">
        <f aca="false">IFERROR(IF(VLOOKUP($A500,RA_result!$B$3:$N$62,6,0)="",S500*T500,VLOOKUP($A500,RA_result!$B$3:$N$62,6,0)),"")</f>
        <v/>
      </c>
      <c r="V500" s="61" t="s">
        <v>56</v>
      </c>
      <c r="W500" s="62" t="n">
        <f aca="false">IFERROR((S500*30%)/V500,0)</f>
        <v>0</v>
      </c>
      <c r="X500" s="63" t="n">
        <f aca="false">IFERROR(N500/W500,0)</f>
        <v>0</v>
      </c>
      <c r="Y500" s="68"/>
      <c r="Z500" s="57"/>
      <c r="AA500" s="69" t="str">
        <f aca="false">IF(OR(U500="",Y500="",Z500=""),"",IF(AND(U500&gt;Y500,-U500&lt;Z500),"Ok","Not Ok"))</f>
        <v/>
      </c>
      <c r="AB500" s="70"/>
    </row>
    <row r="501" customFormat="false" ht="12.8" hidden="false" customHeight="false" outlineLevel="0" collapsed="false">
      <c r="A501" s="48" t="n">
        <f aca="false">TB_audited!A484</f>
        <v>0</v>
      </c>
      <c r="B501" s="49"/>
      <c r="C501" s="50"/>
      <c r="D501" s="51" t="n">
        <f aca="false">TB_audited!B484</f>
        <v>0</v>
      </c>
      <c r="E501" s="52" t="n">
        <f aca="false">TB_audited!C484</f>
        <v>0</v>
      </c>
      <c r="F501" s="53" t="n">
        <f aca="false">TB_audited!D484</f>
        <v>0</v>
      </c>
      <c r="G501" s="54" t="n">
        <f aca="false">IF($D$8="Interim",TB_audited!G484,TB_audited!E484)</f>
        <v>0</v>
      </c>
      <c r="H501" s="55" t="str">
        <f aca="false">IFERROR(VLOOKUP($A501,RA_result!$B$3:$N$62,11,0),"")</f>
        <v/>
      </c>
      <c r="I501" s="55" t="str">
        <f aca="false">IFERROR(VLOOKUP($A501,RA_result!$B$3:$N$62,12,0),"")</f>
        <v/>
      </c>
      <c r="J501" s="55" t="str">
        <f aca="false">IFERROR(VLOOKUP($A501,RA_result!$B$3:$N$62,13,0),"")</f>
        <v/>
      </c>
      <c r="K501" s="56"/>
      <c r="L501" s="56"/>
      <c r="M501" s="57" t="n">
        <f aca="false">G501</f>
        <v>0</v>
      </c>
      <c r="N501" s="54" t="n">
        <f aca="false">G501-M501</f>
        <v>0</v>
      </c>
      <c r="O501" s="55" t="str">
        <f aca="false">IFERROR(VLOOKUP($A501,RA_result!$B$3:$N$62,7,0),"")</f>
        <v/>
      </c>
      <c r="P501" s="52" t="str">
        <f aca="false">IFERROR(VLOOKUP($A501,RA_result!$B$3:$N$62,9,0),"")</f>
        <v/>
      </c>
      <c r="Q501" s="52" t="str">
        <f aca="false">IFERROR(VLOOKUP($A501,RA_result!$B$3:$N$62,10,0),"")</f>
        <v/>
      </c>
      <c r="R501" s="58" t="s">
        <v>55</v>
      </c>
      <c r="S501" s="59" t="str">
        <f aca="false">IFERROR(VLOOKUP($A501,RA_result!$B$3:$N$62,4,0),"")</f>
        <v/>
      </c>
      <c r="T501" s="60" t="s">
        <v>56</v>
      </c>
      <c r="U501" s="59" t="str">
        <f aca="false">IFERROR(IF(VLOOKUP($A501,RA_result!$B$3:$N$62,6,0)="",S501*T501,VLOOKUP($A501,RA_result!$B$3:$N$62,6,0)),"")</f>
        <v/>
      </c>
      <c r="V501" s="61" t="s">
        <v>56</v>
      </c>
      <c r="W501" s="62" t="n">
        <f aca="false">IFERROR((S501*30%)/V501,0)</f>
        <v>0</v>
      </c>
      <c r="X501" s="63" t="n">
        <f aca="false">IFERROR(N501/W501,0)</f>
        <v>0</v>
      </c>
      <c r="Y501" s="68"/>
      <c r="Z501" s="57"/>
      <c r="AA501" s="69" t="str">
        <f aca="false">IF(OR(U501="",Y501="",Z501=""),"",IF(AND(U501&gt;Y501,-U501&lt;Z501),"Ok","Not Ok"))</f>
        <v/>
      </c>
      <c r="AB501" s="70"/>
    </row>
    <row r="502" customFormat="false" ht="12.8" hidden="false" customHeight="false" outlineLevel="0" collapsed="false">
      <c r="A502" s="48" t="n">
        <f aca="false">TB_audited!A485</f>
        <v>0</v>
      </c>
      <c r="B502" s="49"/>
      <c r="C502" s="50"/>
      <c r="D502" s="51" t="n">
        <f aca="false">TB_audited!B485</f>
        <v>0</v>
      </c>
      <c r="E502" s="52" t="n">
        <f aca="false">TB_audited!C485</f>
        <v>0</v>
      </c>
      <c r="F502" s="53" t="n">
        <f aca="false">TB_audited!D485</f>
        <v>0</v>
      </c>
      <c r="G502" s="54" t="n">
        <f aca="false">IF($D$8="Interim",TB_audited!G485,TB_audited!E485)</f>
        <v>0</v>
      </c>
      <c r="H502" s="55" t="str">
        <f aca="false">IFERROR(VLOOKUP($A502,RA_result!$B$3:$N$62,11,0),"")</f>
        <v/>
      </c>
      <c r="I502" s="55" t="str">
        <f aca="false">IFERROR(VLOOKUP($A502,RA_result!$B$3:$N$62,12,0),"")</f>
        <v/>
      </c>
      <c r="J502" s="55" t="str">
        <f aca="false">IFERROR(VLOOKUP($A502,RA_result!$B$3:$N$62,13,0),"")</f>
        <v/>
      </c>
      <c r="K502" s="56"/>
      <c r="L502" s="56"/>
      <c r="M502" s="57" t="n">
        <f aca="false">G502</f>
        <v>0</v>
      </c>
      <c r="N502" s="54" t="n">
        <f aca="false">G502-M502</f>
        <v>0</v>
      </c>
      <c r="O502" s="55" t="str">
        <f aca="false">IFERROR(VLOOKUP($A502,RA_result!$B$3:$N$62,7,0),"")</f>
        <v/>
      </c>
      <c r="P502" s="52" t="str">
        <f aca="false">IFERROR(VLOOKUP($A502,RA_result!$B$3:$N$62,9,0),"")</f>
        <v/>
      </c>
      <c r="Q502" s="52" t="str">
        <f aca="false">IFERROR(VLOOKUP($A502,RA_result!$B$3:$N$62,10,0),"")</f>
        <v/>
      </c>
      <c r="R502" s="58" t="s">
        <v>55</v>
      </c>
      <c r="S502" s="59" t="str">
        <f aca="false">IFERROR(VLOOKUP($A502,RA_result!$B$3:$N$62,4,0),"")</f>
        <v/>
      </c>
      <c r="T502" s="60" t="s">
        <v>56</v>
      </c>
      <c r="U502" s="59" t="str">
        <f aca="false">IFERROR(IF(VLOOKUP($A502,RA_result!$B$3:$N$62,6,0)="",S502*T502,VLOOKUP($A502,RA_result!$B$3:$N$62,6,0)),"")</f>
        <v/>
      </c>
      <c r="V502" s="61" t="s">
        <v>56</v>
      </c>
      <c r="W502" s="62" t="n">
        <f aca="false">IFERROR((S502*30%)/V502,0)</f>
        <v>0</v>
      </c>
      <c r="X502" s="63" t="n">
        <f aca="false">IFERROR(N502/W502,0)</f>
        <v>0</v>
      </c>
      <c r="Y502" s="68"/>
      <c r="Z502" s="57"/>
      <c r="AA502" s="69" t="str">
        <f aca="false">IF(OR(U502="",Y502="",Z502=""),"",IF(AND(U502&gt;Y502,-U502&lt;Z502),"Ok","Not Ok"))</f>
        <v/>
      </c>
      <c r="AB502" s="70"/>
    </row>
    <row r="503" customFormat="false" ht="12.8" hidden="false" customHeight="false" outlineLevel="0" collapsed="false">
      <c r="A503" s="48" t="n">
        <f aca="false">TB_audited!A486</f>
        <v>0</v>
      </c>
      <c r="B503" s="49"/>
      <c r="C503" s="50"/>
      <c r="D503" s="51" t="n">
        <f aca="false">TB_audited!B486</f>
        <v>0</v>
      </c>
      <c r="E503" s="52" t="n">
        <f aca="false">TB_audited!C486</f>
        <v>0</v>
      </c>
      <c r="F503" s="53" t="n">
        <f aca="false">TB_audited!D486</f>
        <v>0</v>
      </c>
      <c r="G503" s="54" t="n">
        <f aca="false">IF($D$8="Interim",TB_audited!G486,TB_audited!E486)</f>
        <v>0</v>
      </c>
      <c r="H503" s="55" t="str">
        <f aca="false">IFERROR(VLOOKUP($A503,RA_result!$B$3:$N$62,11,0),"")</f>
        <v/>
      </c>
      <c r="I503" s="55" t="str">
        <f aca="false">IFERROR(VLOOKUP($A503,RA_result!$B$3:$N$62,12,0),"")</f>
        <v/>
      </c>
      <c r="J503" s="55" t="str">
        <f aca="false">IFERROR(VLOOKUP($A503,RA_result!$B$3:$N$62,13,0),"")</f>
        <v/>
      </c>
      <c r="K503" s="56"/>
      <c r="L503" s="56"/>
      <c r="M503" s="57" t="n">
        <f aca="false">G503</f>
        <v>0</v>
      </c>
      <c r="N503" s="54" t="n">
        <f aca="false">G503-M503</f>
        <v>0</v>
      </c>
      <c r="O503" s="55" t="str">
        <f aca="false">IFERROR(VLOOKUP($A503,RA_result!$B$3:$N$62,7,0),"")</f>
        <v/>
      </c>
      <c r="P503" s="52" t="str">
        <f aca="false">IFERROR(VLOOKUP($A503,RA_result!$B$3:$N$62,9,0),"")</f>
        <v/>
      </c>
      <c r="Q503" s="52" t="str">
        <f aca="false">IFERROR(VLOOKUP($A503,RA_result!$B$3:$N$62,10,0),"")</f>
        <v/>
      </c>
      <c r="R503" s="58" t="s">
        <v>55</v>
      </c>
      <c r="S503" s="59" t="str">
        <f aca="false">IFERROR(VLOOKUP($A503,RA_result!$B$3:$N$62,4,0),"")</f>
        <v/>
      </c>
      <c r="T503" s="60" t="s">
        <v>56</v>
      </c>
      <c r="U503" s="59" t="str">
        <f aca="false">IFERROR(IF(VLOOKUP($A503,RA_result!$B$3:$N$62,6,0)="",S503*T503,VLOOKUP($A503,RA_result!$B$3:$N$62,6,0)),"")</f>
        <v/>
      </c>
      <c r="V503" s="61" t="s">
        <v>56</v>
      </c>
      <c r="W503" s="62" t="n">
        <f aca="false">IFERROR((S503*30%)/V503,0)</f>
        <v>0</v>
      </c>
      <c r="X503" s="63" t="n">
        <f aca="false">IFERROR(N503/W503,0)</f>
        <v>0</v>
      </c>
      <c r="Y503" s="68"/>
      <c r="Z503" s="57"/>
      <c r="AA503" s="69" t="str">
        <f aca="false">IF(OR(U503="",Y503="",Z503=""),"",IF(AND(U503&gt;Y503,-U503&lt;Z503),"Ok","Not Ok"))</f>
        <v/>
      </c>
      <c r="AB503" s="70"/>
    </row>
    <row r="504" customFormat="false" ht="12.8" hidden="false" customHeight="false" outlineLevel="0" collapsed="false">
      <c r="A504" s="48" t="n">
        <f aca="false">TB_audited!A487</f>
        <v>0</v>
      </c>
      <c r="B504" s="49"/>
      <c r="C504" s="50"/>
      <c r="D504" s="51" t="n">
        <f aca="false">TB_audited!B487</f>
        <v>0</v>
      </c>
      <c r="E504" s="52" t="n">
        <f aca="false">TB_audited!C487</f>
        <v>0</v>
      </c>
      <c r="F504" s="53" t="n">
        <f aca="false">TB_audited!D487</f>
        <v>0</v>
      </c>
      <c r="G504" s="54" t="n">
        <f aca="false">IF($D$8="Interim",TB_audited!G487,TB_audited!E487)</f>
        <v>0</v>
      </c>
      <c r="H504" s="55" t="str">
        <f aca="false">IFERROR(VLOOKUP($A504,RA_result!$B$3:$N$62,11,0),"")</f>
        <v/>
      </c>
      <c r="I504" s="55" t="str">
        <f aca="false">IFERROR(VLOOKUP($A504,RA_result!$B$3:$N$62,12,0),"")</f>
        <v/>
      </c>
      <c r="J504" s="55" t="str">
        <f aca="false">IFERROR(VLOOKUP($A504,RA_result!$B$3:$N$62,13,0),"")</f>
        <v/>
      </c>
      <c r="K504" s="56"/>
      <c r="L504" s="56"/>
      <c r="M504" s="57" t="n">
        <f aca="false">G504</f>
        <v>0</v>
      </c>
      <c r="N504" s="54" t="n">
        <f aca="false">G504-M504</f>
        <v>0</v>
      </c>
      <c r="O504" s="55" t="str">
        <f aca="false">IFERROR(VLOOKUP($A504,RA_result!$B$3:$N$62,7,0),"")</f>
        <v/>
      </c>
      <c r="P504" s="52" t="str">
        <f aca="false">IFERROR(VLOOKUP($A504,RA_result!$B$3:$N$62,9,0),"")</f>
        <v/>
      </c>
      <c r="Q504" s="52" t="str">
        <f aca="false">IFERROR(VLOOKUP($A504,RA_result!$B$3:$N$62,10,0),"")</f>
        <v/>
      </c>
      <c r="R504" s="58" t="s">
        <v>55</v>
      </c>
      <c r="S504" s="59" t="str">
        <f aca="false">IFERROR(VLOOKUP($A504,RA_result!$B$3:$N$62,4,0),"")</f>
        <v/>
      </c>
      <c r="T504" s="60" t="s">
        <v>56</v>
      </c>
      <c r="U504" s="59" t="str">
        <f aca="false">IFERROR(IF(VLOOKUP($A504,RA_result!$B$3:$N$62,6,0)="",S504*T504,VLOOKUP($A504,RA_result!$B$3:$N$62,6,0)),"")</f>
        <v/>
      </c>
      <c r="V504" s="61" t="s">
        <v>56</v>
      </c>
      <c r="W504" s="62" t="n">
        <f aca="false">IFERROR((S504*30%)/V504,0)</f>
        <v>0</v>
      </c>
      <c r="X504" s="63" t="n">
        <f aca="false">IFERROR(N504/W504,0)</f>
        <v>0</v>
      </c>
      <c r="Y504" s="68"/>
      <c r="Z504" s="57"/>
      <c r="AA504" s="69" t="str">
        <f aca="false">IF(OR(U504="",Y504="",Z504=""),"",IF(AND(U504&gt;Y504,-U504&lt;Z504),"Ok","Not Ok"))</f>
        <v/>
      </c>
      <c r="AB504" s="70"/>
    </row>
    <row r="505" customFormat="false" ht="12.8" hidden="false" customHeight="false" outlineLevel="0" collapsed="false">
      <c r="A505" s="48" t="n">
        <f aca="false">TB_audited!A488</f>
        <v>0</v>
      </c>
      <c r="B505" s="49"/>
      <c r="C505" s="50"/>
      <c r="D505" s="51" t="n">
        <f aca="false">TB_audited!B488</f>
        <v>0</v>
      </c>
      <c r="E505" s="52" t="n">
        <f aca="false">TB_audited!C488</f>
        <v>0</v>
      </c>
      <c r="F505" s="53" t="n">
        <f aca="false">TB_audited!D488</f>
        <v>0</v>
      </c>
      <c r="G505" s="54" t="n">
        <f aca="false">IF($D$8="Interim",TB_audited!G488,TB_audited!E488)</f>
        <v>0</v>
      </c>
      <c r="H505" s="55" t="str">
        <f aca="false">IFERROR(VLOOKUP($A505,RA_result!$B$3:$N$62,11,0),"")</f>
        <v/>
      </c>
      <c r="I505" s="55" t="str">
        <f aca="false">IFERROR(VLOOKUP($A505,RA_result!$B$3:$N$62,12,0),"")</f>
        <v/>
      </c>
      <c r="J505" s="55" t="str">
        <f aca="false">IFERROR(VLOOKUP($A505,RA_result!$B$3:$N$62,13,0),"")</f>
        <v/>
      </c>
      <c r="K505" s="56"/>
      <c r="L505" s="56"/>
      <c r="M505" s="57" t="n">
        <f aca="false">G505</f>
        <v>0</v>
      </c>
      <c r="N505" s="54" t="n">
        <f aca="false">G505-M505</f>
        <v>0</v>
      </c>
      <c r="O505" s="55" t="str">
        <f aca="false">IFERROR(VLOOKUP($A505,RA_result!$B$3:$N$62,7,0),"")</f>
        <v/>
      </c>
      <c r="P505" s="52" t="str">
        <f aca="false">IFERROR(VLOOKUP($A505,RA_result!$B$3:$N$62,9,0),"")</f>
        <v/>
      </c>
      <c r="Q505" s="52" t="str">
        <f aca="false">IFERROR(VLOOKUP($A505,RA_result!$B$3:$N$62,10,0),"")</f>
        <v/>
      </c>
      <c r="R505" s="58" t="s">
        <v>55</v>
      </c>
      <c r="S505" s="59" t="str">
        <f aca="false">IFERROR(VLOOKUP($A505,RA_result!$B$3:$N$62,4,0),"")</f>
        <v/>
      </c>
      <c r="T505" s="60" t="s">
        <v>56</v>
      </c>
      <c r="U505" s="59" t="str">
        <f aca="false">IFERROR(IF(VLOOKUP($A505,RA_result!$B$3:$N$62,6,0)="",S505*T505,VLOOKUP($A505,RA_result!$B$3:$N$62,6,0)),"")</f>
        <v/>
      </c>
      <c r="V505" s="61" t="s">
        <v>56</v>
      </c>
      <c r="W505" s="62" t="n">
        <f aca="false">IFERROR((S505*30%)/V505,0)</f>
        <v>0</v>
      </c>
      <c r="X505" s="63" t="n">
        <f aca="false">IFERROR(N505/W505,0)</f>
        <v>0</v>
      </c>
      <c r="Y505" s="68"/>
      <c r="Z505" s="57"/>
      <c r="AA505" s="69" t="str">
        <f aca="false">IF(OR(U505="",Y505="",Z505=""),"",IF(AND(U505&gt;Y505,-U505&lt;Z505),"Ok","Not Ok"))</f>
        <v/>
      </c>
      <c r="AB505" s="70"/>
    </row>
    <row r="506" customFormat="false" ht="12.8" hidden="false" customHeight="false" outlineLevel="0" collapsed="false">
      <c r="A506" s="48" t="n">
        <f aca="false">TB_audited!A489</f>
        <v>0</v>
      </c>
      <c r="B506" s="49"/>
      <c r="C506" s="50"/>
      <c r="D506" s="51" t="n">
        <f aca="false">TB_audited!B489</f>
        <v>0</v>
      </c>
      <c r="E506" s="52" t="n">
        <f aca="false">TB_audited!C489</f>
        <v>0</v>
      </c>
      <c r="F506" s="53" t="n">
        <f aca="false">TB_audited!D489</f>
        <v>0</v>
      </c>
      <c r="G506" s="54" t="n">
        <f aca="false">IF($D$8="Interim",TB_audited!G489,TB_audited!E489)</f>
        <v>0</v>
      </c>
      <c r="H506" s="55" t="str">
        <f aca="false">IFERROR(VLOOKUP($A506,RA_result!$B$3:$N$62,11,0),"")</f>
        <v/>
      </c>
      <c r="I506" s="55" t="str">
        <f aca="false">IFERROR(VLOOKUP($A506,RA_result!$B$3:$N$62,12,0),"")</f>
        <v/>
      </c>
      <c r="J506" s="55" t="str">
        <f aca="false">IFERROR(VLOOKUP($A506,RA_result!$B$3:$N$62,13,0),"")</f>
        <v/>
      </c>
      <c r="K506" s="56"/>
      <c r="L506" s="56"/>
      <c r="M506" s="57" t="n">
        <f aca="false">G506</f>
        <v>0</v>
      </c>
      <c r="N506" s="54" t="n">
        <f aca="false">G506-M506</f>
        <v>0</v>
      </c>
      <c r="O506" s="55" t="str">
        <f aca="false">IFERROR(VLOOKUP($A506,RA_result!$B$3:$N$62,7,0),"")</f>
        <v/>
      </c>
      <c r="P506" s="52" t="str">
        <f aca="false">IFERROR(VLOOKUP($A506,RA_result!$B$3:$N$62,9,0),"")</f>
        <v/>
      </c>
      <c r="Q506" s="52" t="str">
        <f aca="false">IFERROR(VLOOKUP($A506,RA_result!$B$3:$N$62,10,0),"")</f>
        <v/>
      </c>
      <c r="R506" s="58" t="s">
        <v>55</v>
      </c>
      <c r="S506" s="59" t="str">
        <f aca="false">IFERROR(VLOOKUP($A506,RA_result!$B$3:$N$62,4,0),"")</f>
        <v/>
      </c>
      <c r="T506" s="60" t="s">
        <v>56</v>
      </c>
      <c r="U506" s="59" t="str">
        <f aca="false">IFERROR(IF(VLOOKUP($A506,RA_result!$B$3:$N$62,6,0)="",S506*T506,VLOOKUP($A506,RA_result!$B$3:$N$62,6,0)),"")</f>
        <v/>
      </c>
      <c r="V506" s="61" t="s">
        <v>56</v>
      </c>
      <c r="W506" s="62" t="n">
        <f aca="false">IFERROR((S506*30%)/V506,0)</f>
        <v>0</v>
      </c>
      <c r="X506" s="63" t="n">
        <f aca="false">IFERROR(N506/W506,0)</f>
        <v>0</v>
      </c>
      <c r="Y506" s="68"/>
      <c r="Z506" s="57"/>
      <c r="AA506" s="69" t="str">
        <f aca="false">IF(OR(U506="",Y506="",Z506=""),"",IF(AND(U506&gt;Y506,-U506&lt;Z506),"Ok","Not Ok"))</f>
        <v/>
      </c>
      <c r="AB506" s="70"/>
    </row>
    <row r="507" customFormat="false" ht="12.8" hidden="false" customHeight="false" outlineLevel="0" collapsed="false">
      <c r="A507" s="48" t="n">
        <f aca="false">TB_audited!A490</f>
        <v>0</v>
      </c>
      <c r="B507" s="49"/>
      <c r="C507" s="50"/>
      <c r="D507" s="51" t="n">
        <f aca="false">TB_audited!B490</f>
        <v>0</v>
      </c>
      <c r="E507" s="52" t="n">
        <f aca="false">TB_audited!C490</f>
        <v>0</v>
      </c>
      <c r="F507" s="53" t="n">
        <f aca="false">TB_audited!D490</f>
        <v>0</v>
      </c>
      <c r="G507" s="54" t="n">
        <f aca="false">IF($D$8="Interim",TB_audited!G490,TB_audited!E490)</f>
        <v>0</v>
      </c>
      <c r="H507" s="55" t="str">
        <f aca="false">IFERROR(VLOOKUP($A507,RA_result!$B$3:$N$62,11,0),"")</f>
        <v/>
      </c>
      <c r="I507" s="55" t="str">
        <f aca="false">IFERROR(VLOOKUP($A507,RA_result!$B$3:$N$62,12,0),"")</f>
        <v/>
      </c>
      <c r="J507" s="55" t="str">
        <f aca="false">IFERROR(VLOOKUP($A507,RA_result!$B$3:$N$62,13,0),"")</f>
        <v/>
      </c>
      <c r="K507" s="56"/>
      <c r="L507" s="56"/>
      <c r="M507" s="57" t="n">
        <f aca="false">G507</f>
        <v>0</v>
      </c>
      <c r="N507" s="54" t="n">
        <f aca="false">G507-M507</f>
        <v>0</v>
      </c>
      <c r="O507" s="55" t="str">
        <f aca="false">IFERROR(VLOOKUP($A507,RA_result!$B$3:$N$62,7,0),"")</f>
        <v/>
      </c>
      <c r="P507" s="52" t="str">
        <f aca="false">IFERROR(VLOOKUP($A507,RA_result!$B$3:$N$62,9,0),"")</f>
        <v/>
      </c>
      <c r="Q507" s="52" t="str">
        <f aca="false">IFERROR(VLOOKUP($A507,RA_result!$B$3:$N$62,10,0),"")</f>
        <v/>
      </c>
      <c r="R507" s="58" t="s">
        <v>55</v>
      </c>
      <c r="S507" s="59" t="str">
        <f aca="false">IFERROR(VLOOKUP($A507,RA_result!$B$3:$N$62,4,0),"")</f>
        <v/>
      </c>
      <c r="T507" s="60" t="s">
        <v>56</v>
      </c>
      <c r="U507" s="59" t="str">
        <f aca="false">IFERROR(IF(VLOOKUP($A507,RA_result!$B$3:$N$62,6,0)="",S507*T507,VLOOKUP($A507,RA_result!$B$3:$N$62,6,0)),"")</f>
        <v/>
      </c>
      <c r="V507" s="61" t="s">
        <v>56</v>
      </c>
      <c r="W507" s="62" t="n">
        <f aca="false">IFERROR((S507*30%)/V507,0)</f>
        <v>0</v>
      </c>
      <c r="X507" s="63" t="n">
        <f aca="false">IFERROR(N507/W507,0)</f>
        <v>0</v>
      </c>
      <c r="Y507" s="68"/>
      <c r="Z507" s="57"/>
      <c r="AA507" s="69" t="str">
        <f aca="false">IF(OR(U507="",Y507="",Z507=""),"",IF(AND(U507&gt;Y507,-U507&lt;Z507),"Ok","Not Ok"))</f>
        <v/>
      </c>
      <c r="AB507" s="70"/>
    </row>
    <row r="508" customFormat="false" ht="12.8" hidden="false" customHeight="false" outlineLevel="0" collapsed="false">
      <c r="A508" s="48" t="n">
        <f aca="false">TB_audited!A491</f>
        <v>0</v>
      </c>
      <c r="B508" s="49"/>
      <c r="C508" s="50"/>
      <c r="D508" s="51" t="n">
        <f aca="false">TB_audited!B491</f>
        <v>0</v>
      </c>
      <c r="E508" s="52" t="n">
        <f aca="false">TB_audited!C491</f>
        <v>0</v>
      </c>
      <c r="F508" s="53" t="n">
        <f aca="false">TB_audited!D491</f>
        <v>0</v>
      </c>
      <c r="G508" s="54" t="n">
        <f aca="false">IF($D$8="Interim",TB_audited!G491,TB_audited!E491)</f>
        <v>0</v>
      </c>
      <c r="H508" s="55" t="str">
        <f aca="false">IFERROR(VLOOKUP($A508,RA_result!$B$3:$N$62,11,0),"")</f>
        <v/>
      </c>
      <c r="I508" s="55" t="str">
        <f aca="false">IFERROR(VLOOKUP($A508,RA_result!$B$3:$N$62,12,0),"")</f>
        <v/>
      </c>
      <c r="J508" s="55" t="str">
        <f aca="false">IFERROR(VLOOKUP($A508,RA_result!$B$3:$N$62,13,0),"")</f>
        <v/>
      </c>
      <c r="K508" s="56"/>
      <c r="L508" s="56"/>
      <c r="M508" s="57" t="n">
        <f aca="false">G508</f>
        <v>0</v>
      </c>
      <c r="N508" s="54" t="n">
        <f aca="false">G508-M508</f>
        <v>0</v>
      </c>
      <c r="O508" s="55" t="str">
        <f aca="false">IFERROR(VLOOKUP($A508,RA_result!$B$3:$N$62,7,0),"")</f>
        <v/>
      </c>
      <c r="P508" s="52" t="str">
        <f aca="false">IFERROR(VLOOKUP($A508,RA_result!$B$3:$N$62,9,0),"")</f>
        <v/>
      </c>
      <c r="Q508" s="52" t="str">
        <f aca="false">IFERROR(VLOOKUP($A508,RA_result!$B$3:$N$62,10,0),"")</f>
        <v/>
      </c>
      <c r="R508" s="58" t="s">
        <v>55</v>
      </c>
      <c r="S508" s="59" t="str">
        <f aca="false">IFERROR(VLOOKUP($A508,RA_result!$B$3:$N$62,4,0),"")</f>
        <v/>
      </c>
      <c r="T508" s="60" t="s">
        <v>56</v>
      </c>
      <c r="U508" s="59" t="str">
        <f aca="false">IFERROR(IF(VLOOKUP($A508,RA_result!$B$3:$N$62,6,0)="",S508*T508,VLOOKUP($A508,RA_result!$B$3:$N$62,6,0)),"")</f>
        <v/>
      </c>
      <c r="V508" s="61" t="s">
        <v>56</v>
      </c>
      <c r="W508" s="62" t="n">
        <f aca="false">IFERROR((S508*30%)/V508,0)</f>
        <v>0</v>
      </c>
      <c r="X508" s="63" t="n">
        <f aca="false">IFERROR(N508/W508,0)</f>
        <v>0</v>
      </c>
      <c r="Y508" s="68"/>
      <c r="Z508" s="57"/>
      <c r="AA508" s="69" t="str">
        <f aca="false">IF(OR(U508="",Y508="",Z508=""),"",IF(AND(U508&gt;Y508,-U508&lt;Z508),"Ok","Not Ok"))</f>
        <v/>
      </c>
      <c r="AB508" s="70"/>
    </row>
    <row r="509" customFormat="false" ht="12.8" hidden="false" customHeight="false" outlineLevel="0" collapsed="false">
      <c r="A509" s="48" t="n">
        <f aca="false">TB_audited!A492</f>
        <v>0</v>
      </c>
      <c r="B509" s="49"/>
      <c r="C509" s="50"/>
      <c r="D509" s="51" t="n">
        <f aca="false">TB_audited!B492</f>
        <v>0</v>
      </c>
      <c r="E509" s="52" t="n">
        <f aca="false">TB_audited!C492</f>
        <v>0</v>
      </c>
      <c r="F509" s="53" t="n">
        <f aca="false">TB_audited!D492</f>
        <v>0</v>
      </c>
      <c r="G509" s="54" t="n">
        <f aca="false">IF($D$8="Interim",TB_audited!G492,TB_audited!E492)</f>
        <v>0</v>
      </c>
      <c r="H509" s="55" t="str">
        <f aca="false">IFERROR(VLOOKUP($A509,RA_result!$B$3:$N$62,11,0),"")</f>
        <v/>
      </c>
      <c r="I509" s="55" t="str">
        <f aca="false">IFERROR(VLOOKUP($A509,RA_result!$B$3:$N$62,12,0),"")</f>
        <v/>
      </c>
      <c r="J509" s="55" t="str">
        <f aca="false">IFERROR(VLOOKUP($A509,RA_result!$B$3:$N$62,13,0),"")</f>
        <v/>
      </c>
      <c r="K509" s="56"/>
      <c r="L509" s="56"/>
      <c r="M509" s="57" t="n">
        <f aca="false">G509</f>
        <v>0</v>
      </c>
      <c r="N509" s="54" t="n">
        <f aca="false">G509-M509</f>
        <v>0</v>
      </c>
      <c r="O509" s="55" t="str">
        <f aca="false">IFERROR(VLOOKUP($A509,RA_result!$B$3:$N$62,7,0),"")</f>
        <v/>
      </c>
      <c r="P509" s="52" t="str">
        <f aca="false">IFERROR(VLOOKUP($A509,RA_result!$B$3:$N$62,9,0),"")</f>
        <v/>
      </c>
      <c r="Q509" s="52" t="str">
        <f aca="false">IFERROR(VLOOKUP($A509,RA_result!$B$3:$N$62,10,0),"")</f>
        <v/>
      </c>
      <c r="R509" s="58" t="s">
        <v>55</v>
      </c>
      <c r="S509" s="59" t="str">
        <f aca="false">IFERROR(VLOOKUP($A509,RA_result!$B$3:$N$62,4,0),"")</f>
        <v/>
      </c>
      <c r="T509" s="60" t="s">
        <v>56</v>
      </c>
      <c r="U509" s="59" t="str">
        <f aca="false">IFERROR(IF(VLOOKUP($A509,RA_result!$B$3:$N$62,6,0)="",S509*T509,VLOOKUP($A509,RA_result!$B$3:$N$62,6,0)),"")</f>
        <v/>
      </c>
      <c r="V509" s="61" t="s">
        <v>56</v>
      </c>
      <c r="W509" s="62" t="n">
        <f aca="false">IFERROR((S509*30%)/V509,0)</f>
        <v>0</v>
      </c>
      <c r="X509" s="63" t="n">
        <f aca="false">IFERROR(N509/W509,0)</f>
        <v>0</v>
      </c>
      <c r="Y509" s="68"/>
      <c r="Z509" s="57"/>
      <c r="AA509" s="69" t="str">
        <f aca="false">IF(OR(U509="",Y509="",Z509=""),"",IF(AND(U509&gt;Y509,-U509&lt;Z509),"Ok","Not Ok"))</f>
        <v/>
      </c>
      <c r="AB509" s="70"/>
    </row>
    <row r="510" customFormat="false" ht="12.8" hidden="false" customHeight="false" outlineLevel="0" collapsed="false">
      <c r="A510" s="48" t="n">
        <f aca="false">TB_audited!A493</f>
        <v>0</v>
      </c>
      <c r="B510" s="49"/>
      <c r="C510" s="50"/>
      <c r="D510" s="51" t="n">
        <f aca="false">TB_audited!B493</f>
        <v>0</v>
      </c>
      <c r="E510" s="52" t="n">
        <f aca="false">TB_audited!C493</f>
        <v>0</v>
      </c>
      <c r="F510" s="53" t="n">
        <f aca="false">TB_audited!D493</f>
        <v>0</v>
      </c>
      <c r="G510" s="54" t="n">
        <f aca="false">IF($D$8="Interim",TB_audited!G493,TB_audited!E493)</f>
        <v>0</v>
      </c>
      <c r="H510" s="55" t="str">
        <f aca="false">IFERROR(VLOOKUP($A510,RA_result!$B$3:$N$62,11,0),"")</f>
        <v/>
      </c>
      <c r="I510" s="55" t="str">
        <f aca="false">IFERROR(VLOOKUP($A510,RA_result!$B$3:$N$62,12,0),"")</f>
        <v/>
      </c>
      <c r="J510" s="55" t="str">
        <f aca="false">IFERROR(VLOOKUP($A510,RA_result!$B$3:$N$62,13,0),"")</f>
        <v/>
      </c>
      <c r="K510" s="56"/>
      <c r="L510" s="56"/>
      <c r="M510" s="57" t="n">
        <f aca="false">G510</f>
        <v>0</v>
      </c>
      <c r="N510" s="54" t="n">
        <f aca="false">G510-M510</f>
        <v>0</v>
      </c>
      <c r="O510" s="55" t="str">
        <f aca="false">IFERROR(VLOOKUP($A510,RA_result!$B$3:$N$62,7,0),"")</f>
        <v/>
      </c>
      <c r="P510" s="52" t="str">
        <f aca="false">IFERROR(VLOOKUP($A510,RA_result!$B$3:$N$62,9,0),"")</f>
        <v/>
      </c>
      <c r="Q510" s="52" t="str">
        <f aca="false">IFERROR(VLOOKUP($A510,RA_result!$B$3:$N$62,10,0),"")</f>
        <v/>
      </c>
      <c r="R510" s="58" t="s">
        <v>55</v>
      </c>
      <c r="S510" s="59" t="str">
        <f aca="false">IFERROR(VLOOKUP($A510,RA_result!$B$3:$N$62,4,0),"")</f>
        <v/>
      </c>
      <c r="T510" s="60" t="s">
        <v>56</v>
      </c>
      <c r="U510" s="59" t="str">
        <f aca="false">IFERROR(IF(VLOOKUP($A510,RA_result!$B$3:$N$62,6,0)="",S510*T510,VLOOKUP($A510,RA_result!$B$3:$N$62,6,0)),"")</f>
        <v/>
      </c>
      <c r="V510" s="61" t="s">
        <v>56</v>
      </c>
      <c r="W510" s="62" t="n">
        <f aca="false">IFERROR((S510*30%)/V510,0)</f>
        <v>0</v>
      </c>
      <c r="X510" s="63" t="n">
        <f aca="false">IFERROR(N510/W510,0)</f>
        <v>0</v>
      </c>
      <c r="Y510" s="68"/>
      <c r="Z510" s="57"/>
      <c r="AA510" s="69" t="str">
        <f aca="false">IF(OR(U510="",Y510="",Z510=""),"",IF(AND(U510&gt;Y510,-U510&lt;Z510),"Ok","Not Ok"))</f>
        <v/>
      </c>
      <c r="AB510" s="70"/>
    </row>
    <row r="511" customFormat="false" ht="12.8" hidden="false" customHeight="false" outlineLevel="0" collapsed="false">
      <c r="A511" s="48" t="n">
        <f aca="false">TB_audited!A494</f>
        <v>0</v>
      </c>
      <c r="B511" s="49"/>
      <c r="C511" s="50"/>
      <c r="D511" s="51" t="n">
        <f aca="false">TB_audited!B494</f>
        <v>0</v>
      </c>
      <c r="E511" s="52" t="n">
        <f aca="false">TB_audited!C494</f>
        <v>0</v>
      </c>
      <c r="F511" s="53" t="n">
        <f aca="false">TB_audited!D494</f>
        <v>0</v>
      </c>
      <c r="G511" s="54" t="n">
        <f aca="false">IF($D$8="Interim",TB_audited!G494,TB_audited!E494)</f>
        <v>0</v>
      </c>
      <c r="H511" s="55" t="str">
        <f aca="false">IFERROR(VLOOKUP($A511,RA_result!$B$3:$N$62,11,0),"")</f>
        <v/>
      </c>
      <c r="I511" s="55" t="str">
        <f aca="false">IFERROR(VLOOKUP($A511,RA_result!$B$3:$N$62,12,0),"")</f>
        <v/>
      </c>
      <c r="J511" s="55" t="str">
        <f aca="false">IFERROR(VLOOKUP($A511,RA_result!$B$3:$N$62,13,0),"")</f>
        <v/>
      </c>
      <c r="K511" s="56"/>
      <c r="L511" s="56"/>
      <c r="M511" s="57" t="n">
        <f aca="false">G511</f>
        <v>0</v>
      </c>
      <c r="N511" s="54" t="n">
        <f aca="false">G511-M511</f>
        <v>0</v>
      </c>
      <c r="O511" s="55" t="str">
        <f aca="false">IFERROR(VLOOKUP($A511,RA_result!$B$3:$N$62,7,0),"")</f>
        <v/>
      </c>
      <c r="P511" s="52" t="str">
        <f aca="false">IFERROR(VLOOKUP($A511,RA_result!$B$3:$N$62,9,0),"")</f>
        <v/>
      </c>
      <c r="Q511" s="52" t="str">
        <f aca="false">IFERROR(VLOOKUP($A511,RA_result!$B$3:$N$62,10,0),"")</f>
        <v/>
      </c>
      <c r="R511" s="58" t="s">
        <v>55</v>
      </c>
      <c r="S511" s="59" t="str">
        <f aca="false">IFERROR(VLOOKUP($A511,RA_result!$B$3:$N$62,4,0),"")</f>
        <v/>
      </c>
      <c r="T511" s="60" t="s">
        <v>56</v>
      </c>
      <c r="U511" s="59" t="str">
        <f aca="false">IFERROR(IF(VLOOKUP($A511,RA_result!$B$3:$N$62,6,0)="",S511*T511,VLOOKUP($A511,RA_result!$B$3:$N$62,6,0)),"")</f>
        <v/>
      </c>
      <c r="V511" s="61" t="s">
        <v>56</v>
      </c>
      <c r="W511" s="62" t="n">
        <f aca="false">IFERROR((S511*30%)/V511,0)</f>
        <v>0</v>
      </c>
      <c r="X511" s="63" t="n">
        <f aca="false">IFERROR(N511/W511,0)</f>
        <v>0</v>
      </c>
      <c r="Y511" s="68"/>
      <c r="Z511" s="57"/>
      <c r="AA511" s="69" t="str">
        <f aca="false">IF(OR(U511="",Y511="",Z511=""),"",IF(AND(U511&gt;Y511,-U511&lt;Z511),"Ok","Not Ok"))</f>
        <v/>
      </c>
      <c r="AB511" s="70"/>
    </row>
    <row r="512" customFormat="false" ht="12.8" hidden="false" customHeight="false" outlineLevel="0" collapsed="false">
      <c r="A512" s="48" t="n">
        <f aca="false">TB_audited!A495</f>
        <v>0</v>
      </c>
      <c r="B512" s="49"/>
      <c r="C512" s="50"/>
      <c r="D512" s="51" t="n">
        <f aca="false">TB_audited!B495</f>
        <v>0</v>
      </c>
      <c r="E512" s="52" t="n">
        <f aca="false">TB_audited!C495</f>
        <v>0</v>
      </c>
      <c r="F512" s="53" t="n">
        <f aca="false">TB_audited!D495</f>
        <v>0</v>
      </c>
      <c r="G512" s="54" t="n">
        <f aca="false">IF($D$8="Interim",TB_audited!G495,TB_audited!E495)</f>
        <v>0</v>
      </c>
      <c r="H512" s="55" t="str">
        <f aca="false">IFERROR(VLOOKUP($A512,RA_result!$B$3:$N$62,11,0),"")</f>
        <v/>
      </c>
      <c r="I512" s="55" t="str">
        <f aca="false">IFERROR(VLOOKUP($A512,RA_result!$B$3:$N$62,12,0),"")</f>
        <v/>
      </c>
      <c r="J512" s="55" t="str">
        <f aca="false">IFERROR(VLOOKUP($A512,RA_result!$B$3:$N$62,13,0),"")</f>
        <v/>
      </c>
      <c r="K512" s="56"/>
      <c r="L512" s="56"/>
      <c r="M512" s="57" t="n">
        <f aca="false">G512</f>
        <v>0</v>
      </c>
      <c r="N512" s="54" t="n">
        <f aca="false">G512-M512</f>
        <v>0</v>
      </c>
      <c r="O512" s="55" t="str">
        <f aca="false">IFERROR(VLOOKUP($A512,RA_result!$B$3:$N$62,7,0),"")</f>
        <v/>
      </c>
      <c r="P512" s="52" t="str">
        <f aca="false">IFERROR(VLOOKUP($A512,RA_result!$B$3:$N$62,9,0),"")</f>
        <v/>
      </c>
      <c r="Q512" s="52" t="str">
        <f aca="false">IFERROR(VLOOKUP($A512,RA_result!$B$3:$N$62,10,0),"")</f>
        <v/>
      </c>
      <c r="R512" s="58" t="s">
        <v>55</v>
      </c>
      <c r="S512" s="59" t="str">
        <f aca="false">IFERROR(VLOOKUP($A512,RA_result!$B$3:$N$62,4,0),"")</f>
        <v/>
      </c>
      <c r="T512" s="60" t="s">
        <v>56</v>
      </c>
      <c r="U512" s="59" t="str">
        <f aca="false">IFERROR(IF(VLOOKUP($A512,RA_result!$B$3:$N$62,6,0)="",S512*T512,VLOOKUP($A512,RA_result!$B$3:$N$62,6,0)),"")</f>
        <v/>
      </c>
      <c r="V512" s="61" t="s">
        <v>56</v>
      </c>
      <c r="W512" s="62" t="n">
        <f aca="false">IFERROR((S512*30%)/V512,0)</f>
        <v>0</v>
      </c>
      <c r="X512" s="63" t="n">
        <f aca="false">IFERROR(N512/W512,0)</f>
        <v>0</v>
      </c>
      <c r="Y512" s="68"/>
      <c r="Z512" s="57"/>
      <c r="AA512" s="69" t="str">
        <f aca="false">IF(OR(U512="",Y512="",Z512=""),"",IF(AND(U512&gt;Y512,-U512&lt;Z512),"Ok","Not Ok"))</f>
        <v/>
      </c>
      <c r="AB512" s="70"/>
    </row>
    <row r="513" customFormat="false" ht="12.8" hidden="false" customHeight="false" outlineLevel="0" collapsed="false">
      <c r="A513" s="48" t="n">
        <f aca="false">TB_audited!A496</f>
        <v>0</v>
      </c>
      <c r="B513" s="49"/>
      <c r="C513" s="50"/>
      <c r="D513" s="51" t="n">
        <f aca="false">TB_audited!B496</f>
        <v>0</v>
      </c>
      <c r="E513" s="52" t="n">
        <f aca="false">TB_audited!C496</f>
        <v>0</v>
      </c>
      <c r="F513" s="53" t="n">
        <f aca="false">TB_audited!D496</f>
        <v>0</v>
      </c>
      <c r="G513" s="54" t="n">
        <f aca="false">IF($D$8="Interim",TB_audited!G496,TB_audited!E496)</f>
        <v>0</v>
      </c>
      <c r="H513" s="55" t="str">
        <f aca="false">IFERROR(VLOOKUP($A513,RA_result!$B$3:$N$62,11,0),"")</f>
        <v/>
      </c>
      <c r="I513" s="55" t="str">
        <f aca="false">IFERROR(VLOOKUP($A513,RA_result!$B$3:$N$62,12,0),"")</f>
        <v/>
      </c>
      <c r="J513" s="55" t="str">
        <f aca="false">IFERROR(VLOOKUP($A513,RA_result!$B$3:$N$62,13,0),"")</f>
        <v/>
      </c>
      <c r="K513" s="56"/>
      <c r="L513" s="56"/>
      <c r="M513" s="57" t="n">
        <f aca="false">G513</f>
        <v>0</v>
      </c>
      <c r="N513" s="54" t="n">
        <f aca="false">G513-M513</f>
        <v>0</v>
      </c>
      <c r="O513" s="55" t="str">
        <f aca="false">IFERROR(VLOOKUP($A513,RA_result!$B$3:$N$62,7,0),"")</f>
        <v/>
      </c>
      <c r="P513" s="52" t="str">
        <f aca="false">IFERROR(VLOOKUP($A513,RA_result!$B$3:$N$62,9,0),"")</f>
        <v/>
      </c>
      <c r="Q513" s="52" t="str">
        <f aca="false">IFERROR(VLOOKUP($A513,RA_result!$B$3:$N$62,10,0),"")</f>
        <v/>
      </c>
      <c r="R513" s="58" t="s">
        <v>55</v>
      </c>
      <c r="S513" s="59" t="str">
        <f aca="false">IFERROR(VLOOKUP($A513,RA_result!$B$3:$N$62,4,0),"")</f>
        <v/>
      </c>
      <c r="T513" s="60" t="s">
        <v>56</v>
      </c>
      <c r="U513" s="59" t="str">
        <f aca="false">IFERROR(IF(VLOOKUP($A513,RA_result!$B$3:$N$62,6,0)="",S513*T513,VLOOKUP($A513,RA_result!$B$3:$N$62,6,0)),"")</f>
        <v/>
      </c>
      <c r="V513" s="61" t="s">
        <v>56</v>
      </c>
      <c r="W513" s="62" t="n">
        <f aca="false">IFERROR((S513*30%)/V513,0)</f>
        <v>0</v>
      </c>
      <c r="X513" s="63" t="n">
        <f aca="false">IFERROR(N513/W513,0)</f>
        <v>0</v>
      </c>
      <c r="Y513" s="68"/>
      <c r="Z513" s="57"/>
      <c r="AA513" s="69" t="str">
        <f aca="false">IF(OR(U513="",Y513="",Z513=""),"",IF(AND(U513&gt;Y513,-U513&lt;Z513),"Ok","Not Ok"))</f>
        <v/>
      </c>
      <c r="AB513" s="70"/>
    </row>
    <row r="514" customFormat="false" ht="12.8" hidden="false" customHeight="false" outlineLevel="0" collapsed="false">
      <c r="A514" s="48" t="n">
        <f aca="false">TB_audited!A497</f>
        <v>0</v>
      </c>
      <c r="B514" s="49"/>
      <c r="C514" s="50"/>
      <c r="D514" s="51" t="n">
        <f aca="false">TB_audited!B497</f>
        <v>0</v>
      </c>
      <c r="E514" s="52" t="n">
        <f aca="false">TB_audited!C497</f>
        <v>0</v>
      </c>
      <c r="F514" s="53" t="n">
        <f aca="false">TB_audited!D497</f>
        <v>0</v>
      </c>
      <c r="G514" s="54" t="n">
        <f aca="false">IF($D$8="Interim",TB_audited!G497,TB_audited!E497)</f>
        <v>0</v>
      </c>
      <c r="H514" s="55" t="str">
        <f aca="false">IFERROR(VLOOKUP($A514,RA_result!$B$3:$N$62,11,0),"")</f>
        <v/>
      </c>
      <c r="I514" s="55" t="str">
        <f aca="false">IFERROR(VLOOKUP($A514,RA_result!$B$3:$N$62,12,0),"")</f>
        <v/>
      </c>
      <c r="J514" s="55" t="str">
        <f aca="false">IFERROR(VLOOKUP($A514,RA_result!$B$3:$N$62,13,0),"")</f>
        <v/>
      </c>
      <c r="K514" s="56"/>
      <c r="L514" s="56"/>
      <c r="M514" s="57" t="n">
        <f aca="false">G514</f>
        <v>0</v>
      </c>
      <c r="N514" s="54" t="n">
        <f aca="false">G514-M514</f>
        <v>0</v>
      </c>
      <c r="O514" s="55" t="str">
        <f aca="false">IFERROR(VLOOKUP($A514,RA_result!$B$3:$N$62,7,0),"")</f>
        <v/>
      </c>
      <c r="P514" s="52" t="str">
        <f aca="false">IFERROR(VLOOKUP($A514,RA_result!$B$3:$N$62,9,0),"")</f>
        <v/>
      </c>
      <c r="Q514" s="52" t="str">
        <f aca="false">IFERROR(VLOOKUP($A514,RA_result!$B$3:$N$62,10,0),"")</f>
        <v/>
      </c>
      <c r="R514" s="58" t="s">
        <v>55</v>
      </c>
      <c r="S514" s="59" t="str">
        <f aca="false">IFERROR(VLOOKUP($A514,RA_result!$B$3:$N$62,4,0),"")</f>
        <v/>
      </c>
      <c r="T514" s="60" t="s">
        <v>56</v>
      </c>
      <c r="U514" s="59" t="str">
        <f aca="false">IFERROR(IF(VLOOKUP($A514,RA_result!$B$3:$N$62,6,0)="",S514*T514,VLOOKUP($A514,RA_result!$B$3:$N$62,6,0)),"")</f>
        <v/>
      </c>
      <c r="V514" s="61" t="s">
        <v>56</v>
      </c>
      <c r="W514" s="62" t="n">
        <f aca="false">IFERROR((S514*30%)/V514,0)</f>
        <v>0</v>
      </c>
      <c r="X514" s="63" t="n">
        <f aca="false">IFERROR(N514/W514,0)</f>
        <v>0</v>
      </c>
      <c r="Y514" s="68"/>
      <c r="Z514" s="57"/>
      <c r="AA514" s="69" t="str">
        <f aca="false">IF(OR(U514="",Y514="",Z514=""),"",IF(AND(U514&gt;Y514,-U514&lt;Z514),"Ok","Not Ok"))</f>
        <v/>
      </c>
      <c r="AB514" s="70"/>
    </row>
    <row r="515" customFormat="false" ht="12.8" hidden="false" customHeight="false" outlineLevel="0" collapsed="false">
      <c r="A515" s="48" t="n">
        <f aca="false">TB_audited!A498</f>
        <v>0</v>
      </c>
      <c r="B515" s="49"/>
      <c r="C515" s="50"/>
      <c r="D515" s="51" t="n">
        <f aca="false">TB_audited!B498</f>
        <v>0</v>
      </c>
      <c r="E515" s="52" t="n">
        <f aca="false">TB_audited!C498</f>
        <v>0</v>
      </c>
      <c r="F515" s="53" t="n">
        <f aca="false">TB_audited!D498</f>
        <v>0</v>
      </c>
      <c r="G515" s="54" t="n">
        <f aca="false">IF($D$8="Interim",TB_audited!G498,TB_audited!E498)</f>
        <v>0</v>
      </c>
      <c r="H515" s="55" t="str">
        <f aca="false">IFERROR(VLOOKUP($A515,RA_result!$B$3:$N$62,11,0),"")</f>
        <v/>
      </c>
      <c r="I515" s="55" t="str">
        <f aca="false">IFERROR(VLOOKUP($A515,RA_result!$B$3:$N$62,12,0),"")</f>
        <v/>
      </c>
      <c r="J515" s="55" t="str">
        <f aca="false">IFERROR(VLOOKUP($A515,RA_result!$B$3:$N$62,13,0),"")</f>
        <v/>
      </c>
      <c r="K515" s="56"/>
      <c r="L515" s="56"/>
      <c r="M515" s="57" t="n">
        <f aca="false">G515</f>
        <v>0</v>
      </c>
      <c r="N515" s="54" t="n">
        <f aca="false">G515-M515</f>
        <v>0</v>
      </c>
      <c r="O515" s="55" t="str">
        <f aca="false">IFERROR(VLOOKUP($A515,RA_result!$B$3:$N$62,7,0),"")</f>
        <v/>
      </c>
      <c r="P515" s="52" t="str">
        <f aca="false">IFERROR(VLOOKUP($A515,RA_result!$B$3:$N$62,9,0),"")</f>
        <v/>
      </c>
      <c r="Q515" s="52" t="str">
        <f aca="false">IFERROR(VLOOKUP($A515,RA_result!$B$3:$N$62,10,0),"")</f>
        <v/>
      </c>
      <c r="R515" s="58" t="s">
        <v>55</v>
      </c>
      <c r="S515" s="59" t="str">
        <f aca="false">IFERROR(VLOOKUP($A515,RA_result!$B$3:$N$62,4,0),"")</f>
        <v/>
      </c>
      <c r="T515" s="60" t="s">
        <v>56</v>
      </c>
      <c r="U515" s="59" t="str">
        <f aca="false">IFERROR(IF(VLOOKUP($A515,RA_result!$B$3:$N$62,6,0)="",S515*T515,VLOOKUP($A515,RA_result!$B$3:$N$62,6,0)),"")</f>
        <v/>
      </c>
      <c r="V515" s="61" t="s">
        <v>56</v>
      </c>
      <c r="W515" s="62" t="n">
        <f aca="false">IFERROR((S515*30%)/V515,0)</f>
        <v>0</v>
      </c>
      <c r="X515" s="63" t="n">
        <f aca="false">IFERROR(N515/W515,0)</f>
        <v>0</v>
      </c>
      <c r="Y515" s="68"/>
      <c r="Z515" s="57"/>
      <c r="AA515" s="69" t="str">
        <f aca="false">IF(OR(U515="",Y515="",Z515=""),"",IF(AND(U515&gt;Y515,-U515&lt;Z515),"Ok","Not Ok"))</f>
        <v/>
      </c>
      <c r="AB515" s="70"/>
    </row>
    <row r="516" customFormat="false" ht="12.8" hidden="false" customHeight="false" outlineLevel="0" collapsed="false">
      <c r="A516" s="48" t="n">
        <f aca="false">TB_audited!A499</f>
        <v>0</v>
      </c>
      <c r="B516" s="49"/>
      <c r="C516" s="50"/>
      <c r="D516" s="51" t="n">
        <f aca="false">TB_audited!B499</f>
        <v>0</v>
      </c>
      <c r="E516" s="52" t="n">
        <f aca="false">TB_audited!C499</f>
        <v>0</v>
      </c>
      <c r="F516" s="53" t="n">
        <f aca="false">TB_audited!D499</f>
        <v>0</v>
      </c>
      <c r="G516" s="54" t="n">
        <f aca="false">IF($D$8="Interim",TB_audited!G499,TB_audited!E499)</f>
        <v>0</v>
      </c>
      <c r="H516" s="55" t="str">
        <f aca="false">IFERROR(VLOOKUP($A516,RA_result!$B$3:$N$62,11,0),"")</f>
        <v/>
      </c>
      <c r="I516" s="55" t="str">
        <f aca="false">IFERROR(VLOOKUP($A516,RA_result!$B$3:$N$62,12,0),"")</f>
        <v/>
      </c>
      <c r="J516" s="55" t="str">
        <f aca="false">IFERROR(VLOOKUP($A516,RA_result!$B$3:$N$62,13,0),"")</f>
        <v/>
      </c>
      <c r="K516" s="56"/>
      <c r="L516" s="56"/>
      <c r="M516" s="57" t="n">
        <f aca="false">G516</f>
        <v>0</v>
      </c>
      <c r="N516" s="54" t="n">
        <f aca="false">G516-M516</f>
        <v>0</v>
      </c>
      <c r="O516" s="55" t="str">
        <f aca="false">IFERROR(VLOOKUP($A516,RA_result!$B$3:$N$62,7,0),"")</f>
        <v/>
      </c>
      <c r="P516" s="52" t="str">
        <f aca="false">IFERROR(VLOOKUP($A516,RA_result!$B$3:$N$62,9,0),"")</f>
        <v/>
      </c>
      <c r="Q516" s="52" t="str">
        <f aca="false">IFERROR(VLOOKUP($A516,RA_result!$B$3:$N$62,10,0),"")</f>
        <v/>
      </c>
      <c r="R516" s="58" t="s">
        <v>55</v>
      </c>
      <c r="S516" s="59" t="str">
        <f aca="false">IFERROR(VLOOKUP($A516,RA_result!$B$3:$N$62,4,0),"")</f>
        <v/>
      </c>
      <c r="T516" s="60" t="s">
        <v>56</v>
      </c>
      <c r="U516" s="59" t="str">
        <f aca="false">IFERROR(IF(VLOOKUP($A516,RA_result!$B$3:$N$62,6,0)="",S516*T516,VLOOKUP($A516,RA_result!$B$3:$N$62,6,0)),"")</f>
        <v/>
      </c>
      <c r="V516" s="61" t="s">
        <v>56</v>
      </c>
      <c r="W516" s="62" t="n">
        <f aca="false">IFERROR((S516*30%)/V516,0)</f>
        <v>0</v>
      </c>
      <c r="X516" s="63" t="n">
        <f aca="false">IFERROR(N516/W516,0)</f>
        <v>0</v>
      </c>
      <c r="Y516" s="68"/>
      <c r="Z516" s="57"/>
      <c r="AA516" s="69" t="str">
        <f aca="false">IF(OR(U516="",Y516="",Z516=""),"",IF(AND(U516&gt;Y516,-U516&lt;Z516),"Ok","Not Ok"))</f>
        <v/>
      </c>
      <c r="AB516" s="70"/>
    </row>
    <row r="517" customFormat="false" ht="12.8" hidden="false" customHeight="false" outlineLevel="0" collapsed="false">
      <c r="A517" s="48" t="n">
        <f aca="false">TB_audited!A500</f>
        <v>0</v>
      </c>
      <c r="B517" s="49"/>
      <c r="C517" s="50"/>
      <c r="D517" s="51" t="n">
        <f aca="false">TB_audited!B500</f>
        <v>0</v>
      </c>
      <c r="E517" s="52" t="n">
        <f aca="false">TB_audited!C500</f>
        <v>0</v>
      </c>
      <c r="F517" s="53" t="n">
        <f aca="false">TB_audited!D500</f>
        <v>0</v>
      </c>
      <c r="G517" s="54" t="n">
        <f aca="false">IF($D$8="Interim",TB_audited!G500,TB_audited!E500)</f>
        <v>0</v>
      </c>
      <c r="H517" s="55" t="str">
        <f aca="false">IFERROR(VLOOKUP($A517,RA_result!$B$3:$N$62,11,0),"")</f>
        <v/>
      </c>
      <c r="I517" s="55" t="str">
        <f aca="false">IFERROR(VLOOKUP($A517,RA_result!$B$3:$N$62,12,0),"")</f>
        <v/>
      </c>
      <c r="J517" s="55" t="str">
        <f aca="false">IFERROR(VLOOKUP($A517,RA_result!$B$3:$N$62,13,0),"")</f>
        <v/>
      </c>
      <c r="K517" s="56"/>
      <c r="L517" s="56"/>
      <c r="M517" s="57" t="n">
        <f aca="false">G517</f>
        <v>0</v>
      </c>
      <c r="N517" s="54" t="n">
        <f aca="false">G517-M517</f>
        <v>0</v>
      </c>
      <c r="O517" s="55" t="str">
        <f aca="false">IFERROR(VLOOKUP($A517,RA_result!$B$3:$N$62,7,0),"")</f>
        <v/>
      </c>
      <c r="P517" s="52" t="str">
        <f aca="false">IFERROR(VLOOKUP($A517,RA_result!$B$3:$N$62,9,0),"")</f>
        <v/>
      </c>
      <c r="Q517" s="52" t="str">
        <f aca="false">IFERROR(VLOOKUP($A517,RA_result!$B$3:$N$62,10,0),"")</f>
        <v/>
      </c>
      <c r="R517" s="58" t="s">
        <v>55</v>
      </c>
      <c r="S517" s="59" t="str">
        <f aca="false">IFERROR(VLOOKUP($A517,RA_result!$B$3:$N$62,4,0),"")</f>
        <v/>
      </c>
      <c r="T517" s="60" t="s">
        <v>56</v>
      </c>
      <c r="U517" s="59" t="str">
        <f aca="false">IFERROR(IF(VLOOKUP($A517,RA_result!$B$3:$N$62,6,0)="",S517*T517,VLOOKUP($A517,RA_result!$B$3:$N$62,6,0)),"")</f>
        <v/>
      </c>
      <c r="V517" s="61" t="s">
        <v>56</v>
      </c>
      <c r="W517" s="62" t="n">
        <f aca="false">IFERROR((S517*30%)/V517,0)</f>
        <v>0</v>
      </c>
      <c r="X517" s="63" t="n">
        <f aca="false">IFERROR(N517/W517,0)</f>
        <v>0</v>
      </c>
      <c r="Y517" s="68"/>
      <c r="Z517" s="57"/>
      <c r="AA517" s="69" t="str">
        <f aca="false">IF(OR(U517="",Y517="",Z517=""),"",IF(AND(U517&gt;Y517,-U517&lt;Z517),"Ok","Not Ok"))</f>
        <v/>
      </c>
      <c r="AB517" s="70"/>
    </row>
    <row r="518" customFormat="false" ht="12.8" hidden="false" customHeight="false" outlineLevel="0" collapsed="false">
      <c r="A518" s="48" t="n">
        <f aca="false">TB_audited!A501</f>
        <v>0</v>
      </c>
      <c r="B518" s="49"/>
      <c r="C518" s="50"/>
      <c r="D518" s="51" t="n">
        <f aca="false">TB_audited!B501</f>
        <v>0</v>
      </c>
      <c r="E518" s="52" t="n">
        <f aca="false">TB_audited!C501</f>
        <v>0</v>
      </c>
      <c r="F518" s="53" t="n">
        <f aca="false">TB_audited!D501</f>
        <v>0</v>
      </c>
      <c r="G518" s="54" t="n">
        <f aca="false">IF($D$8="Interim",TB_audited!G501,TB_audited!E501)</f>
        <v>0</v>
      </c>
      <c r="H518" s="55" t="str">
        <f aca="false">IFERROR(VLOOKUP($A518,RA_result!$B$3:$N$62,11,0),"")</f>
        <v/>
      </c>
      <c r="I518" s="55" t="str">
        <f aca="false">IFERROR(VLOOKUP($A518,RA_result!$B$3:$N$62,12,0),"")</f>
        <v/>
      </c>
      <c r="J518" s="55" t="str">
        <f aca="false">IFERROR(VLOOKUP($A518,RA_result!$B$3:$N$62,13,0),"")</f>
        <v/>
      </c>
      <c r="K518" s="56"/>
      <c r="L518" s="56"/>
      <c r="M518" s="57" t="n">
        <f aca="false">G518</f>
        <v>0</v>
      </c>
      <c r="N518" s="54" t="n">
        <f aca="false">G518-M518</f>
        <v>0</v>
      </c>
      <c r="O518" s="55" t="str">
        <f aca="false">IFERROR(VLOOKUP($A518,RA_result!$B$3:$N$62,7,0),"")</f>
        <v/>
      </c>
      <c r="P518" s="52" t="str">
        <f aca="false">IFERROR(VLOOKUP($A518,RA_result!$B$3:$N$62,9,0),"")</f>
        <v/>
      </c>
      <c r="Q518" s="52" t="str">
        <f aca="false">IFERROR(VLOOKUP($A518,RA_result!$B$3:$N$62,10,0),"")</f>
        <v/>
      </c>
      <c r="R518" s="58" t="s">
        <v>55</v>
      </c>
      <c r="S518" s="59" t="str">
        <f aca="false">IFERROR(VLOOKUP($A518,RA_result!$B$3:$N$62,4,0),"")</f>
        <v/>
      </c>
      <c r="T518" s="60" t="s">
        <v>56</v>
      </c>
      <c r="U518" s="59" t="str">
        <f aca="false">IFERROR(IF(VLOOKUP($A518,RA_result!$B$3:$N$62,6,0)="",S518*T518,VLOOKUP($A518,RA_result!$B$3:$N$62,6,0)),"")</f>
        <v/>
      </c>
      <c r="V518" s="61" t="s">
        <v>56</v>
      </c>
      <c r="W518" s="62" t="n">
        <f aca="false">IFERROR((S518*30%)/V518,0)</f>
        <v>0</v>
      </c>
      <c r="X518" s="63" t="n">
        <f aca="false">IFERROR(N518/W518,0)</f>
        <v>0</v>
      </c>
      <c r="Y518" s="68"/>
      <c r="Z518" s="57"/>
      <c r="AA518" s="69" t="str">
        <f aca="false">IF(OR(U518="",Y518="",Z518=""),"",IF(AND(U518&gt;Y518,-U518&lt;Z518),"Ok","Not Ok"))</f>
        <v/>
      </c>
      <c r="AB518" s="70"/>
    </row>
    <row r="519" customFormat="false" ht="12.8" hidden="false" customHeight="false" outlineLevel="0" collapsed="false">
      <c r="A519" s="48" t="n">
        <f aca="false">TB_audited!A502</f>
        <v>0</v>
      </c>
      <c r="B519" s="49"/>
      <c r="C519" s="50"/>
      <c r="D519" s="51" t="n">
        <f aca="false">TB_audited!B502</f>
        <v>0</v>
      </c>
      <c r="E519" s="52" t="n">
        <f aca="false">TB_audited!C502</f>
        <v>0</v>
      </c>
      <c r="F519" s="53" t="n">
        <f aca="false">TB_audited!D502</f>
        <v>0</v>
      </c>
      <c r="G519" s="54" t="n">
        <f aca="false">IF($D$8="Interim",TB_audited!G502,TB_audited!E502)</f>
        <v>0</v>
      </c>
      <c r="H519" s="55" t="str">
        <f aca="false">IFERROR(VLOOKUP($A519,RA_result!$B$3:$N$62,11,0),"")</f>
        <v/>
      </c>
      <c r="I519" s="55" t="str">
        <f aca="false">IFERROR(VLOOKUP($A519,RA_result!$B$3:$N$62,12,0),"")</f>
        <v/>
      </c>
      <c r="J519" s="55" t="str">
        <f aca="false">IFERROR(VLOOKUP($A519,RA_result!$B$3:$N$62,13,0),"")</f>
        <v/>
      </c>
      <c r="K519" s="56"/>
      <c r="L519" s="56"/>
      <c r="M519" s="57" t="n">
        <f aca="false">G519</f>
        <v>0</v>
      </c>
      <c r="N519" s="54" t="n">
        <f aca="false">G519-M519</f>
        <v>0</v>
      </c>
      <c r="O519" s="55" t="str">
        <f aca="false">IFERROR(VLOOKUP($A519,RA_result!$B$3:$N$62,7,0),"")</f>
        <v/>
      </c>
      <c r="P519" s="52" t="str">
        <f aca="false">IFERROR(VLOOKUP($A519,RA_result!$B$3:$N$62,9,0),"")</f>
        <v/>
      </c>
      <c r="Q519" s="52" t="str">
        <f aca="false">IFERROR(VLOOKUP($A519,RA_result!$B$3:$N$62,10,0),"")</f>
        <v/>
      </c>
      <c r="R519" s="58" t="s">
        <v>55</v>
      </c>
      <c r="S519" s="59" t="str">
        <f aca="false">IFERROR(VLOOKUP($A519,RA_result!$B$3:$N$62,4,0),"")</f>
        <v/>
      </c>
      <c r="T519" s="60" t="s">
        <v>56</v>
      </c>
      <c r="U519" s="59" t="str">
        <f aca="false">IFERROR(IF(VLOOKUP($A519,RA_result!$B$3:$N$62,6,0)="",S519*T519,VLOOKUP($A519,RA_result!$B$3:$N$62,6,0)),"")</f>
        <v/>
      </c>
      <c r="V519" s="61" t="s">
        <v>56</v>
      </c>
      <c r="W519" s="62" t="n">
        <f aca="false">IFERROR((S519*30%)/V519,0)</f>
        <v>0</v>
      </c>
      <c r="X519" s="63" t="n">
        <f aca="false">IFERROR(N519/W519,0)</f>
        <v>0</v>
      </c>
      <c r="Y519" s="68"/>
      <c r="Z519" s="57"/>
      <c r="AA519" s="69" t="str">
        <f aca="false">IF(OR(U519="",Y519="",Z519=""),"",IF(AND(U519&gt;Y519,-U519&lt;Z519),"Ok","Not Ok"))</f>
        <v/>
      </c>
      <c r="AB519" s="70"/>
    </row>
    <row r="520" customFormat="false" ht="12.8" hidden="false" customHeight="false" outlineLevel="0" collapsed="false">
      <c r="A520" s="48" t="n">
        <f aca="false">TB_audited!A503</f>
        <v>0</v>
      </c>
      <c r="B520" s="49"/>
      <c r="C520" s="50"/>
      <c r="D520" s="51" t="n">
        <f aca="false">TB_audited!B503</f>
        <v>0</v>
      </c>
      <c r="E520" s="52" t="n">
        <f aca="false">TB_audited!C503</f>
        <v>0</v>
      </c>
      <c r="F520" s="53" t="n">
        <f aca="false">TB_audited!D503</f>
        <v>0</v>
      </c>
      <c r="G520" s="54" t="n">
        <f aca="false">IF($D$8="Interim",TB_audited!G503,TB_audited!E503)</f>
        <v>0</v>
      </c>
      <c r="H520" s="55" t="str">
        <f aca="false">IFERROR(VLOOKUP($A520,RA_result!$B$3:$N$62,11,0),"")</f>
        <v/>
      </c>
      <c r="I520" s="55" t="str">
        <f aca="false">IFERROR(VLOOKUP($A520,RA_result!$B$3:$N$62,12,0),"")</f>
        <v/>
      </c>
      <c r="J520" s="55" t="str">
        <f aca="false">IFERROR(VLOOKUP($A520,RA_result!$B$3:$N$62,13,0),"")</f>
        <v/>
      </c>
      <c r="K520" s="56"/>
      <c r="L520" s="56"/>
      <c r="M520" s="57" t="n">
        <f aca="false">G520</f>
        <v>0</v>
      </c>
      <c r="N520" s="54" t="n">
        <f aca="false">G520-M520</f>
        <v>0</v>
      </c>
      <c r="O520" s="55" t="str">
        <f aca="false">IFERROR(VLOOKUP($A520,RA_result!$B$3:$N$62,7,0),"")</f>
        <v/>
      </c>
      <c r="P520" s="52" t="str">
        <f aca="false">IFERROR(VLOOKUP($A520,RA_result!$B$3:$N$62,9,0),"")</f>
        <v/>
      </c>
      <c r="Q520" s="52" t="str">
        <f aca="false">IFERROR(VLOOKUP($A520,RA_result!$B$3:$N$62,10,0),"")</f>
        <v/>
      </c>
      <c r="R520" s="58" t="s">
        <v>55</v>
      </c>
      <c r="S520" s="59" t="str">
        <f aca="false">IFERROR(VLOOKUP($A520,RA_result!$B$3:$N$62,4,0),"")</f>
        <v/>
      </c>
      <c r="T520" s="60" t="s">
        <v>56</v>
      </c>
      <c r="U520" s="59" t="str">
        <f aca="false">IFERROR(IF(VLOOKUP($A520,RA_result!$B$3:$N$62,6,0)="",S520*T520,VLOOKUP($A520,RA_result!$B$3:$N$62,6,0)),"")</f>
        <v/>
      </c>
      <c r="V520" s="61" t="s">
        <v>56</v>
      </c>
      <c r="W520" s="62" t="n">
        <f aca="false">IFERROR((S520*30%)/V520,0)</f>
        <v>0</v>
      </c>
      <c r="X520" s="63" t="n">
        <f aca="false">IFERROR(N520/W520,0)</f>
        <v>0</v>
      </c>
      <c r="Y520" s="68"/>
      <c r="Z520" s="57"/>
      <c r="AA520" s="69" t="str">
        <f aca="false">IF(OR(U520="",Y520="",Z520=""),"",IF(AND(U520&gt;Y520,-U520&lt;Z520),"Ok","Not Ok"))</f>
        <v/>
      </c>
      <c r="AB520" s="70"/>
    </row>
    <row r="521" customFormat="false" ht="12.8" hidden="false" customHeight="false" outlineLevel="0" collapsed="false">
      <c r="A521" s="48" t="n">
        <f aca="false">TB_audited!A504</f>
        <v>0</v>
      </c>
      <c r="B521" s="49"/>
      <c r="C521" s="50"/>
      <c r="D521" s="51" t="n">
        <f aca="false">TB_audited!B504</f>
        <v>0</v>
      </c>
      <c r="E521" s="52" t="n">
        <f aca="false">TB_audited!C504</f>
        <v>0</v>
      </c>
      <c r="F521" s="53" t="n">
        <f aca="false">TB_audited!D504</f>
        <v>0</v>
      </c>
      <c r="G521" s="54" t="n">
        <f aca="false">IF($D$8="Interim",TB_audited!G504,TB_audited!E504)</f>
        <v>0</v>
      </c>
      <c r="H521" s="55" t="str">
        <f aca="false">IFERROR(VLOOKUP($A521,RA_result!$B$3:$N$62,11,0),"")</f>
        <v/>
      </c>
      <c r="I521" s="55" t="str">
        <f aca="false">IFERROR(VLOOKUP($A521,RA_result!$B$3:$N$62,12,0),"")</f>
        <v/>
      </c>
      <c r="J521" s="55" t="str">
        <f aca="false">IFERROR(VLOOKUP($A521,RA_result!$B$3:$N$62,13,0),"")</f>
        <v/>
      </c>
      <c r="K521" s="56"/>
      <c r="L521" s="56"/>
      <c r="M521" s="57" t="n">
        <f aca="false">G521</f>
        <v>0</v>
      </c>
      <c r="N521" s="54" t="n">
        <f aca="false">G521-M521</f>
        <v>0</v>
      </c>
      <c r="O521" s="55" t="str">
        <f aca="false">IFERROR(VLOOKUP($A521,RA_result!$B$3:$N$62,7,0),"")</f>
        <v/>
      </c>
      <c r="P521" s="52" t="str">
        <f aca="false">IFERROR(VLOOKUP($A521,RA_result!$B$3:$N$62,9,0),"")</f>
        <v/>
      </c>
      <c r="Q521" s="52" t="str">
        <f aca="false">IFERROR(VLOOKUP($A521,RA_result!$B$3:$N$62,10,0),"")</f>
        <v/>
      </c>
      <c r="R521" s="58" t="s">
        <v>55</v>
      </c>
      <c r="S521" s="59" t="str">
        <f aca="false">IFERROR(VLOOKUP($A521,RA_result!$B$3:$N$62,4,0),"")</f>
        <v/>
      </c>
      <c r="T521" s="60" t="s">
        <v>56</v>
      </c>
      <c r="U521" s="59" t="str">
        <f aca="false">IFERROR(IF(VLOOKUP($A521,RA_result!$B$3:$N$62,6,0)="",S521*T521,VLOOKUP($A521,RA_result!$B$3:$N$62,6,0)),"")</f>
        <v/>
      </c>
      <c r="V521" s="61" t="s">
        <v>56</v>
      </c>
      <c r="W521" s="62" t="n">
        <f aca="false">IFERROR((S521*30%)/V521,0)</f>
        <v>0</v>
      </c>
      <c r="X521" s="63" t="n">
        <f aca="false">IFERROR(N521/W521,0)</f>
        <v>0</v>
      </c>
      <c r="Y521" s="68"/>
      <c r="Z521" s="57"/>
      <c r="AA521" s="69" t="str">
        <f aca="false">IF(OR(U521="",Y521="",Z521=""),"",IF(AND(U521&gt;Y521,-U521&lt;Z521),"Ok","Not Ok"))</f>
        <v/>
      </c>
      <c r="AB521" s="70"/>
    </row>
    <row r="522" customFormat="false" ht="12.8" hidden="false" customHeight="false" outlineLevel="0" collapsed="false">
      <c r="A522" s="48" t="n">
        <f aca="false">TB_audited!A505</f>
        <v>0</v>
      </c>
      <c r="B522" s="49"/>
      <c r="C522" s="50"/>
      <c r="D522" s="51" t="n">
        <f aca="false">TB_audited!B505</f>
        <v>0</v>
      </c>
      <c r="E522" s="52" t="n">
        <f aca="false">TB_audited!C505</f>
        <v>0</v>
      </c>
      <c r="F522" s="53" t="n">
        <f aca="false">TB_audited!D505</f>
        <v>0</v>
      </c>
      <c r="G522" s="54" t="n">
        <f aca="false">IF($D$8="Interim",TB_audited!G505,TB_audited!E505)</f>
        <v>0</v>
      </c>
      <c r="H522" s="55" t="str">
        <f aca="false">IFERROR(VLOOKUP($A522,RA_result!$B$3:$N$62,11,0),"")</f>
        <v/>
      </c>
      <c r="I522" s="55" t="str">
        <f aca="false">IFERROR(VLOOKUP($A522,RA_result!$B$3:$N$62,12,0),"")</f>
        <v/>
      </c>
      <c r="J522" s="55" t="str">
        <f aca="false">IFERROR(VLOOKUP($A522,RA_result!$B$3:$N$62,13,0),"")</f>
        <v/>
      </c>
      <c r="K522" s="56"/>
      <c r="L522" s="56"/>
      <c r="M522" s="57" t="n">
        <f aca="false">G522</f>
        <v>0</v>
      </c>
      <c r="N522" s="54" t="n">
        <f aca="false">G522-M522</f>
        <v>0</v>
      </c>
      <c r="O522" s="55" t="str">
        <f aca="false">IFERROR(VLOOKUP($A522,RA_result!$B$3:$N$62,7,0),"")</f>
        <v/>
      </c>
      <c r="P522" s="52" t="str">
        <f aca="false">IFERROR(VLOOKUP($A522,RA_result!$B$3:$N$62,9,0),"")</f>
        <v/>
      </c>
      <c r="Q522" s="52" t="str">
        <f aca="false">IFERROR(VLOOKUP($A522,RA_result!$B$3:$N$62,10,0),"")</f>
        <v/>
      </c>
      <c r="R522" s="58" t="s">
        <v>55</v>
      </c>
      <c r="S522" s="59" t="str">
        <f aca="false">IFERROR(VLOOKUP($A522,RA_result!$B$3:$N$62,4,0),"")</f>
        <v/>
      </c>
      <c r="T522" s="60" t="s">
        <v>56</v>
      </c>
      <c r="U522" s="59" t="str">
        <f aca="false">IFERROR(IF(VLOOKUP($A522,RA_result!$B$3:$N$62,6,0)="",S522*T522,VLOOKUP($A522,RA_result!$B$3:$N$62,6,0)),"")</f>
        <v/>
      </c>
      <c r="V522" s="61" t="s">
        <v>56</v>
      </c>
      <c r="W522" s="62" t="n">
        <f aca="false">IFERROR((S522*30%)/V522,0)</f>
        <v>0</v>
      </c>
      <c r="X522" s="63" t="n">
        <f aca="false">IFERROR(N522/W522,0)</f>
        <v>0</v>
      </c>
      <c r="Y522" s="68"/>
      <c r="Z522" s="57"/>
      <c r="AA522" s="69" t="str">
        <f aca="false">IF(OR(U522="",Y522="",Z522=""),"",IF(AND(U522&gt;Y522,-U522&lt;Z522),"Ok","Not Ok"))</f>
        <v/>
      </c>
      <c r="AB522" s="70"/>
    </row>
    <row r="523" customFormat="false" ht="12.8" hidden="false" customHeight="false" outlineLevel="0" collapsed="false">
      <c r="A523" s="48" t="n">
        <f aca="false">TB_audited!A506</f>
        <v>0</v>
      </c>
      <c r="B523" s="49"/>
      <c r="C523" s="50"/>
      <c r="D523" s="51" t="n">
        <f aca="false">TB_audited!B506</f>
        <v>0</v>
      </c>
      <c r="E523" s="52" t="n">
        <f aca="false">TB_audited!C506</f>
        <v>0</v>
      </c>
      <c r="F523" s="53" t="n">
        <f aca="false">TB_audited!D506</f>
        <v>0</v>
      </c>
      <c r="G523" s="54" t="n">
        <f aca="false">IF($D$8="Interim",TB_audited!G506,TB_audited!E506)</f>
        <v>0</v>
      </c>
      <c r="H523" s="55" t="str">
        <f aca="false">IFERROR(VLOOKUP($A523,RA_result!$B$3:$N$62,11,0),"")</f>
        <v/>
      </c>
      <c r="I523" s="55" t="str">
        <f aca="false">IFERROR(VLOOKUP($A523,RA_result!$B$3:$N$62,12,0),"")</f>
        <v/>
      </c>
      <c r="J523" s="55" t="str">
        <f aca="false">IFERROR(VLOOKUP($A523,RA_result!$B$3:$N$62,13,0),"")</f>
        <v/>
      </c>
      <c r="K523" s="56"/>
      <c r="L523" s="56"/>
      <c r="M523" s="57" t="n">
        <f aca="false">G523</f>
        <v>0</v>
      </c>
      <c r="N523" s="54" t="n">
        <f aca="false">G523-M523</f>
        <v>0</v>
      </c>
      <c r="O523" s="55" t="str">
        <f aca="false">IFERROR(VLOOKUP($A523,RA_result!$B$3:$N$62,7,0),"")</f>
        <v/>
      </c>
      <c r="P523" s="52" t="str">
        <f aca="false">IFERROR(VLOOKUP($A523,RA_result!$B$3:$N$62,9,0),"")</f>
        <v/>
      </c>
      <c r="Q523" s="52" t="str">
        <f aca="false">IFERROR(VLOOKUP($A523,RA_result!$B$3:$N$62,10,0),"")</f>
        <v/>
      </c>
      <c r="R523" s="58" t="s">
        <v>55</v>
      </c>
      <c r="S523" s="59" t="str">
        <f aca="false">IFERROR(VLOOKUP($A523,RA_result!$B$3:$N$62,4,0),"")</f>
        <v/>
      </c>
      <c r="T523" s="60" t="s">
        <v>56</v>
      </c>
      <c r="U523" s="59" t="str">
        <f aca="false">IFERROR(IF(VLOOKUP($A523,RA_result!$B$3:$N$62,6,0)="",S523*T523,VLOOKUP($A523,RA_result!$B$3:$N$62,6,0)),"")</f>
        <v/>
      </c>
      <c r="V523" s="61" t="s">
        <v>56</v>
      </c>
      <c r="W523" s="62" t="n">
        <f aca="false">IFERROR((S523*30%)/V523,0)</f>
        <v>0</v>
      </c>
      <c r="X523" s="63" t="n">
        <f aca="false">IFERROR(N523/W523,0)</f>
        <v>0</v>
      </c>
      <c r="Y523" s="68"/>
      <c r="Z523" s="57"/>
      <c r="AA523" s="69" t="str">
        <f aca="false">IF(OR(U523="",Y523="",Z523=""),"",IF(AND(U523&gt;Y523,-U523&lt;Z523),"Ok","Not Ok"))</f>
        <v/>
      </c>
      <c r="AB523" s="70"/>
    </row>
    <row r="524" customFormat="false" ht="12.8" hidden="false" customHeight="false" outlineLevel="0" collapsed="false">
      <c r="A524" s="48" t="n">
        <f aca="false">TB_audited!A507</f>
        <v>0</v>
      </c>
      <c r="B524" s="49"/>
      <c r="C524" s="50"/>
      <c r="D524" s="51" t="n">
        <f aca="false">TB_audited!B507</f>
        <v>0</v>
      </c>
      <c r="E524" s="52" t="n">
        <f aca="false">TB_audited!C507</f>
        <v>0</v>
      </c>
      <c r="F524" s="53" t="n">
        <f aca="false">TB_audited!D507</f>
        <v>0</v>
      </c>
      <c r="G524" s="54" t="n">
        <f aca="false">IF($D$8="Interim",TB_audited!G507,TB_audited!E507)</f>
        <v>0</v>
      </c>
      <c r="H524" s="55" t="str">
        <f aca="false">IFERROR(VLOOKUP($A524,RA_result!$B$3:$N$62,11,0),"")</f>
        <v/>
      </c>
      <c r="I524" s="55" t="str">
        <f aca="false">IFERROR(VLOOKUP($A524,RA_result!$B$3:$N$62,12,0),"")</f>
        <v/>
      </c>
      <c r="J524" s="55" t="str">
        <f aca="false">IFERROR(VLOOKUP($A524,RA_result!$B$3:$N$62,13,0),"")</f>
        <v/>
      </c>
      <c r="K524" s="56"/>
      <c r="L524" s="56"/>
      <c r="M524" s="57" t="n">
        <f aca="false">G524</f>
        <v>0</v>
      </c>
      <c r="N524" s="54" t="n">
        <f aca="false">G524-M524</f>
        <v>0</v>
      </c>
      <c r="O524" s="55" t="str">
        <f aca="false">IFERROR(VLOOKUP($A524,RA_result!$B$3:$N$62,7,0),"")</f>
        <v/>
      </c>
      <c r="P524" s="52" t="str">
        <f aca="false">IFERROR(VLOOKUP($A524,RA_result!$B$3:$N$62,9,0),"")</f>
        <v/>
      </c>
      <c r="Q524" s="52" t="str">
        <f aca="false">IFERROR(VLOOKUP($A524,RA_result!$B$3:$N$62,10,0),"")</f>
        <v/>
      </c>
      <c r="R524" s="58" t="s">
        <v>55</v>
      </c>
      <c r="S524" s="59" t="str">
        <f aca="false">IFERROR(VLOOKUP($A524,RA_result!$B$3:$N$62,4,0),"")</f>
        <v/>
      </c>
      <c r="T524" s="60" t="s">
        <v>56</v>
      </c>
      <c r="U524" s="59" t="str">
        <f aca="false">IFERROR(IF(VLOOKUP($A524,RA_result!$B$3:$N$62,6,0)="",S524*T524,VLOOKUP($A524,RA_result!$B$3:$N$62,6,0)),"")</f>
        <v/>
      </c>
      <c r="V524" s="61" t="s">
        <v>56</v>
      </c>
      <c r="W524" s="62" t="n">
        <f aca="false">IFERROR((S524*30%)/V524,0)</f>
        <v>0</v>
      </c>
      <c r="X524" s="63" t="n">
        <f aca="false">IFERROR(N524/W524,0)</f>
        <v>0</v>
      </c>
      <c r="Y524" s="68"/>
      <c r="Z524" s="57"/>
      <c r="AA524" s="69" t="str">
        <f aca="false">IF(OR(U524="",Y524="",Z524=""),"",IF(AND(U524&gt;Y524,-U524&lt;Z524),"Ok","Not Ok"))</f>
        <v/>
      </c>
      <c r="AB524" s="70"/>
    </row>
    <row r="525" customFormat="false" ht="12.8" hidden="false" customHeight="false" outlineLevel="0" collapsed="false">
      <c r="A525" s="48" t="n">
        <f aca="false">TB_audited!A508</f>
        <v>0</v>
      </c>
      <c r="B525" s="49"/>
      <c r="C525" s="50"/>
      <c r="D525" s="51" t="n">
        <f aca="false">TB_audited!B508</f>
        <v>0</v>
      </c>
      <c r="E525" s="52" t="n">
        <f aca="false">TB_audited!C508</f>
        <v>0</v>
      </c>
      <c r="F525" s="53" t="n">
        <f aca="false">TB_audited!D508</f>
        <v>0</v>
      </c>
      <c r="G525" s="54" t="n">
        <f aca="false">IF($D$8="Interim",TB_audited!G508,TB_audited!E508)</f>
        <v>0</v>
      </c>
      <c r="H525" s="55" t="str">
        <f aca="false">IFERROR(VLOOKUP($A525,RA_result!$B$3:$N$62,11,0),"")</f>
        <v/>
      </c>
      <c r="I525" s="55" t="str">
        <f aca="false">IFERROR(VLOOKUP($A525,RA_result!$B$3:$N$62,12,0),"")</f>
        <v/>
      </c>
      <c r="J525" s="55" t="str">
        <f aca="false">IFERROR(VLOOKUP($A525,RA_result!$B$3:$N$62,13,0),"")</f>
        <v/>
      </c>
      <c r="K525" s="56"/>
      <c r="L525" s="56"/>
      <c r="M525" s="57" t="n">
        <f aca="false">G525</f>
        <v>0</v>
      </c>
      <c r="N525" s="54" t="n">
        <f aca="false">G525-M525</f>
        <v>0</v>
      </c>
      <c r="O525" s="55" t="str">
        <f aca="false">IFERROR(VLOOKUP($A525,RA_result!$B$3:$N$62,7,0),"")</f>
        <v/>
      </c>
      <c r="P525" s="52" t="str">
        <f aca="false">IFERROR(VLOOKUP($A525,RA_result!$B$3:$N$62,9,0),"")</f>
        <v/>
      </c>
      <c r="Q525" s="52" t="str">
        <f aca="false">IFERROR(VLOOKUP($A525,RA_result!$B$3:$N$62,10,0),"")</f>
        <v/>
      </c>
      <c r="R525" s="58" t="s">
        <v>55</v>
      </c>
      <c r="S525" s="59" t="str">
        <f aca="false">IFERROR(VLOOKUP($A525,RA_result!$B$3:$N$62,4,0),"")</f>
        <v/>
      </c>
      <c r="T525" s="60" t="s">
        <v>56</v>
      </c>
      <c r="U525" s="59" t="str">
        <f aca="false">IFERROR(IF(VLOOKUP($A525,RA_result!$B$3:$N$62,6,0)="",S525*T525,VLOOKUP($A525,RA_result!$B$3:$N$62,6,0)),"")</f>
        <v/>
      </c>
      <c r="V525" s="61" t="s">
        <v>56</v>
      </c>
      <c r="W525" s="62" t="n">
        <f aca="false">IFERROR((S525*30%)/V525,0)</f>
        <v>0</v>
      </c>
      <c r="X525" s="63" t="n">
        <f aca="false">IFERROR(N525/W525,0)</f>
        <v>0</v>
      </c>
      <c r="Y525" s="68"/>
      <c r="Z525" s="57"/>
      <c r="AA525" s="69" t="str">
        <f aca="false">IF(OR(U525="",Y525="",Z525=""),"",IF(AND(U525&gt;Y525,-U525&lt;Z525),"Ok","Not Ok"))</f>
        <v/>
      </c>
      <c r="AB525" s="70"/>
    </row>
    <row r="526" customFormat="false" ht="12.8" hidden="false" customHeight="false" outlineLevel="0" collapsed="false">
      <c r="A526" s="48" t="n">
        <f aca="false">TB_audited!A509</f>
        <v>0</v>
      </c>
      <c r="B526" s="49"/>
      <c r="C526" s="50"/>
      <c r="D526" s="51" t="n">
        <f aca="false">TB_audited!B509</f>
        <v>0</v>
      </c>
      <c r="E526" s="52" t="n">
        <f aca="false">TB_audited!C509</f>
        <v>0</v>
      </c>
      <c r="F526" s="53" t="n">
        <f aca="false">TB_audited!D509</f>
        <v>0</v>
      </c>
      <c r="G526" s="54" t="n">
        <f aca="false">IF($D$8="Interim",TB_audited!G509,TB_audited!E509)</f>
        <v>0</v>
      </c>
      <c r="H526" s="55" t="str">
        <f aca="false">IFERROR(VLOOKUP($A526,RA_result!$B$3:$N$62,11,0),"")</f>
        <v/>
      </c>
      <c r="I526" s="55" t="str">
        <f aca="false">IFERROR(VLOOKUP($A526,RA_result!$B$3:$N$62,12,0),"")</f>
        <v/>
      </c>
      <c r="J526" s="55" t="str">
        <f aca="false">IFERROR(VLOOKUP($A526,RA_result!$B$3:$N$62,13,0),"")</f>
        <v/>
      </c>
      <c r="K526" s="56"/>
      <c r="L526" s="56"/>
      <c r="M526" s="57" t="n">
        <f aca="false">G526</f>
        <v>0</v>
      </c>
      <c r="N526" s="54" t="n">
        <f aca="false">G526-M526</f>
        <v>0</v>
      </c>
      <c r="O526" s="55" t="str">
        <f aca="false">IFERROR(VLOOKUP($A526,RA_result!$B$3:$N$62,7,0),"")</f>
        <v/>
      </c>
      <c r="P526" s="52" t="str">
        <f aca="false">IFERROR(VLOOKUP($A526,RA_result!$B$3:$N$62,9,0),"")</f>
        <v/>
      </c>
      <c r="Q526" s="52" t="str">
        <f aca="false">IFERROR(VLOOKUP($A526,RA_result!$B$3:$N$62,10,0),"")</f>
        <v/>
      </c>
      <c r="R526" s="58" t="s">
        <v>55</v>
      </c>
      <c r="S526" s="59" t="str">
        <f aca="false">IFERROR(VLOOKUP($A526,RA_result!$B$3:$N$62,4,0),"")</f>
        <v/>
      </c>
      <c r="T526" s="60" t="s">
        <v>56</v>
      </c>
      <c r="U526" s="59" t="str">
        <f aca="false">IFERROR(IF(VLOOKUP($A526,RA_result!$B$3:$N$62,6,0)="",S526*T526,VLOOKUP($A526,RA_result!$B$3:$N$62,6,0)),"")</f>
        <v/>
      </c>
      <c r="V526" s="61" t="s">
        <v>56</v>
      </c>
      <c r="W526" s="62" t="n">
        <f aca="false">IFERROR((S526*30%)/V526,0)</f>
        <v>0</v>
      </c>
      <c r="X526" s="63" t="n">
        <f aca="false">IFERROR(N526/W526,0)</f>
        <v>0</v>
      </c>
      <c r="Y526" s="68"/>
      <c r="Z526" s="57"/>
      <c r="AA526" s="69" t="str">
        <f aca="false">IF(OR(U526="",Y526="",Z526=""),"",IF(AND(U526&gt;Y526,-U526&lt;Z526),"Ok","Not Ok"))</f>
        <v/>
      </c>
      <c r="AB526" s="70"/>
    </row>
    <row r="527" customFormat="false" ht="12.8" hidden="false" customHeight="false" outlineLevel="0" collapsed="false">
      <c r="A527" s="48" t="n">
        <f aca="false">TB_audited!A510</f>
        <v>0</v>
      </c>
      <c r="B527" s="49"/>
      <c r="C527" s="50"/>
      <c r="D527" s="51" t="n">
        <f aca="false">TB_audited!B510</f>
        <v>0</v>
      </c>
      <c r="E527" s="52" t="n">
        <f aca="false">TB_audited!C510</f>
        <v>0</v>
      </c>
      <c r="F527" s="53" t="n">
        <f aca="false">TB_audited!D510</f>
        <v>0</v>
      </c>
      <c r="G527" s="54" t="n">
        <f aca="false">IF($D$8="Interim",TB_audited!G510,TB_audited!E510)</f>
        <v>0</v>
      </c>
      <c r="H527" s="55" t="str">
        <f aca="false">IFERROR(VLOOKUP($A527,RA_result!$B$3:$N$62,11,0),"")</f>
        <v/>
      </c>
      <c r="I527" s="55" t="str">
        <f aca="false">IFERROR(VLOOKUP($A527,RA_result!$B$3:$N$62,12,0),"")</f>
        <v/>
      </c>
      <c r="J527" s="55" t="str">
        <f aca="false">IFERROR(VLOOKUP($A527,RA_result!$B$3:$N$62,13,0),"")</f>
        <v/>
      </c>
      <c r="K527" s="56"/>
      <c r="L527" s="56"/>
      <c r="M527" s="57" t="n">
        <f aca="false">G527</f>
        <v>0</v>
      </c>
      <c r="N527" s="54" t="n">
        <f aca="false">G527-M527</f>
        <v>0</v>
      </c>
      <c r="O527" s="55" t="str">
        <f aca="false">IFERROR(VLOOKUP($A527,RA_result!$B$3:$N$62,7,0),"")</f>
        <v/>
      </c>
      <c r="P527" s="52" t="str">
        <f aca="false">IFERROR(VLOOKUP($A527,RA_result!$B$3:$N$62,9,0),"")</f>
        <v/>
      </c>
      <c r="Q527" s="52" t="str">
        <f aca="false">IFERROR(VLOOKUP($A527,RA_result!$B$3:$N$62,10,0),"")</f>
        <v/>
      </c>
      <c r="R527" s="58" t="s">
        <v>55</v>
      </c>
      <c r="S527" s="59" t="str">
        <f aca="false">IFERROR(VLOOKUP($A527,RA_result!$B$3:$N$62,4,0),"")</f>
        <v/>
      </c>
      <c r="T527" s="60" t="s">
        <v>56</v>
      </c>
      <c r="U527" s="59" t="str">
        <f aca="false">IFERROR(IF(VLOOKUP($A527,RA_result!$B$3:$N$62,6,0)="",S527*T527,VLOOKUP($A527,RA_result!$B$3:$N$62,6,0)),"")</f>
        <v/>
      </c>
      <c r="V527" s="61" t="s">
        <v>56</v>
      </c>
      <c r="W527" s="62" t="n">
        <f aca="false">IFERROR((S527*30%)/V527,0)</f>
        <v>0</v>
      </c>
      <c r="X527" s="63" t="n">
        <f aca="false">IFERROR(N527/W527,0)</f>
        <v>0</v>
      </c>
      <c r="Y527" s="68"/>
      <c r="Z527" s="57"/>
      <c r="AA527" s="69" t="str">
        <f aca="false">IF(OR(U527="",Y527="",Z527=""),"",IF(AND(U527&gt;Y527,-U527&lt;Z527),"Ok","Not Ok"))</f>
        <v/>
      </c>
      <c r="AB527" s="70"/>
    </row>
    <row r="528" customFormat="false" ht="12.8" hidden="false" customHeight="false" outlineLevel="0" collapsed="false">
      <c r="A528" s="48" t="n">
        <f aca="false">TB_audited!A511</f>
        <v>0</v>
      </c>
      <c r="B528" s="49"/>
      <c r="C528" s="50"/>
      <c r="D528" s="51" t="n">
        <f aca="false">TB_audited!B511</f>
        <v>0</v>
      </c>
      <c r="E528" s="52" t="n">
        <f aca="false">TB_audited!C511</f>
        <v>0</v>
      </c>
      <c r="F528" s="53" t="n">
        <f aca="false">TB_audited!D511</f>
        <v>0</v>
      </c>
      <c r="G528" s="54" t="n">
        <f aca="false">IF($D$8="Interim",TB_audited!G511,TB_audited!E511)</f>
        <v>0</v>
      </c>
      <c r="H528" s="55" t="str">
        <f aca="false">IFERROR(VLOOKUP($A528,RA_result!$B$3:$N$62,11,0),"")</f>
        <v/>
      </c>
      <c r="I528" s="55" t="str">
        <f aca="false">IFERROR(VLOOKUP($A528,RA_result!$B$3:$N$62,12,0),"")</f>
        <v/>
      </c>
      <c r="J528" s="55" t="str">
        <f aca="false">IFERROR(VLOOKUP($A528,RA_result!$B$3:$N$62,13,0),"")</f>
        <v/>
      </c>
      <c r="K528" s="56"/>
      <c r="L528" s="56"/>
      <c r="M528" s="57" t="n">
        <f aca="false">G528</f>
        <v>0</v>
      </c>
      <c r="N528" s="54" t="n">
        <f aca="false">G528-M528</f>
        <v>0</v>
      </c>
      <c r="O528" s="55" t="str">
        <f aca="false">IFERROR(VLOOKUP($A528,RA_result!$B$3:$N$62,7,0),"")</f>
        <v/>
      </c>
      <c r="P528" s="52" t="str">
        <f aca="false">IFERROR(VLOOKUP($A528,RA_result!$B$3:$N$62,9,0),"")</f>
        <v/>
      </c>
      <c r="Q528" s="52" t="str">
        <f aca="false">IFERROR(VLOOKUP($A528,RA_result!$B$3:$N$62,10,0),"")</f>
        <v/>
      </c>
      <c r="R528" s="58" t="s">
        <v>55</v>
      </c>
      <c r="S528" s="59" t="str">
        <f aca="false">IFERROR(VLOOKUP($A528,RA_result!$B$3:$N$62,4,0),"")</f>
        <v/>
      </c>
      <c r="T528" s="60" t="s">
        <v>56</v>
      </c>
      <c r="U528" s="59" t="str">
        <f aca="false">IFERROR(IF(VLOOKUP($A528,RA_result!$B$3:$N$62,6,0)="",S528*T528,VLOOKUP($A528,RA_result!$B$3:$N$62,6,0)),"")</f>
        <v/>
      </c>
      <c r="V528" s="61" t="s">
        <v>56</v>
      </c>
      <c r="W528" s="62" t="n">
        <f aca="false">IFERROR((S528*30%)/V528,0)</f>
        <v>0</v>
      </c>
      <c r="X528" s="63" t="n">
        <f aca="false">IFERROR(N528/W528,0)</f>
        <v>0</v>
      </c>
      <c r="Y528" s="68"/>
      <c r="Z528" s="57"/>
      <c r="AA528" s="69" t="str">
        <f aca="false">IF(OR(U528="",Y528="",Z528=""),"",IF(AND(U528&gt;Y528,-U528&lt;Z528),"Ok","Not Ok"))</f>
        <v/>
      </c>
      <c r="AB528" s="70"/>
    </row>
    <row r="529" customFormat="false" ht="12.8" hidden="false" customHeight="false" outlineLevel="0" collapsed="false">
      <c r="A529" s="48" t="n">
        <f aca="false">TB_audited!A512</f>
        <v>0</v>
      </c>
      <c r="B529" s="49"/>
      <c r="C529" s="50"/>
      <c r="D529" s="51" t="n">
        <f aca="false">TB_audited!B512</f>
        <v>0</v>
      </c>
      <c r="E529" s="52" t="n">
        <f aca="false">TB_audited!C512</f>
        <v>0</v>
      </c>
      <c r="F529" s="53" t="n">
        <f aca="false">TB_audited!D512</f>
        <v>0</v>
      </c>
      <c r="G529" s="54" t="n">
        <f aca="false">IF($D$8="Interim",TB_audited!G512,TB_audited!E512)</f>
        <v>0</v>
      </c>
      <c r="H529" s="55" t="str">
        <f aca="false">IFERROR(VLOOKUP($A529,RA_result!$B$3:$N$62,11,0),"")</f>
        <v/>
      </c>
      <c r="I529" s="55" t="str">
        <f aca="false">IFERROR(VLOOKUP($A529,RA_result!$B$3:$N$62,12,0),"")</f>
        <v/>
      </c>
      <c r="J529" s="55" t="str">
        <f aca="false">IFERROR(VLOOKUP($A529,RA_result!$B$3:$N$62,13,0),"")</f>
        <v/>
      </c>
      <c r="K529" s="56"/>
      <c r="L529" s="56"/>
      <c r="M529" s="57" t="n">
        <f aca="false">G529</f>
        <v>0</v>
      </c>
      <c r="N529" s="54" t="n">
        <f aca="false">G529-M529</f>
        <v>0</v>
      </c>
      <c r="O529" s="55" t="str">
        <f aca="false">IFERROR(VLOOKUP($A529,RA_result!$B$3:$N$62,7,0),"")</f>
        <v/>
      </c>
      <c r="P529" s="52" t="str">
        <f aca="false">IFERROR(VLOOKUP($A529,RA_result!$B$3:$N$62,9,0),"")</f>
        <v/>
      </c>
      <c r="Q529" s="52" t="str">
        <f aca="false">IFERROR(VLOOKUP($A529,RA_result!$B$3:$N$62,10,0),"")</f>
        <v/>
      </c>
      <c r="R529" s="58" t="s">
        <v>55</v>
      </c>
      <c r="S529" s="59" t="str">
        <f aca="false">IFERROR(VLOOKUP($A529,RA_result!$B$3:$N$62,4,0),"")</f>
        <v/>
      </c>
      <c r="T529" s="60" t="s">
        <v>56</v>
      </c>
      <c r="U529" s="59" t="str">
        <f aca="false">IFERROR(IF(VLOOKUP($A529,RA_result!$B$3:$N$62,6,0)="",S529*T529,VLOOKUP($A529,RA_result!$B$3:$N$62,6,0)),"")</f>
        <v/>
      </c>
      <c r="V529" s="61" t="s">
        <v>56</v>
      </c>
      <c r="W529" s="62" t="n">
        <f aca="false">IFERROR((S529*30%)/V529,0)</f>
        <v>0</v>
      </c>
      <c r="X529" s="63" t="n">
        <f aca="false">IFERROR(N529/W529,0)</f>
        <v>0</v>
      </c>
      <c r="Y529" s="68"/>
      <c r="Z529" s="57"/>
      <c r="AA529" s="69" t="str">
        <f aca="false">IF(OR(U529="",Y529="",Z529=""),"",IF(AND(U529&gt;Y529,-U529&lt;Z529),"Ok","Not Ok"))</f>
        <v/>
      </c>
      <c r="AB529" s="70"/>
    </row>
    <row r="530" customFormat="false" ht="12.8" hidden="false" customHeight="false" outlineLevel="0" collapsed="false">
      <c r="A530" s="48" t="n">
        <f aca="false">TB_audited!A513</f>
        <v>0</v>
      </c>
      <c r="B530" s="49"/>
      <c r="C530" s="50"/>
      <c r="D530" s="51" t="n">
        <f aca="false">TB_audited!B513</f>
        <v>0</v>
      </c>
      <c r="E530" s="52" t="n">
        <f aca="false">TB_audited!C513</f>
        <v>0</v>
      </c>
      <c r="F530" s="53" t="n">
        <f aca="false">TB_audited!D513</f>
        <v>0</v>
      </c>
      <c r="G530" s="54" t="n">
        <f aca="false">IF($D$8="Interim",TB_audited!G513,TB_audited!E513)</f>
        <v>0</v>
      </c>
      <c r="H530" s="55" t="str">
        <f aca="false">IFERROR(VLOOKUP($A530,RA_result!$B$3:$N$62,11,0),"")</f>
        <v/>
      </c>
      <c r="I530" s="55" t="str">
        <f aca="false">IFERROR(VLOOKUP($A530,RA_result!$B$3:$N$62,12,0),"")</f>
        <v/>
      </c>
      <c r="J530" s="55" t="str">
        <f aca="false">IFERROR(VLOOKUP($A530,RA_result!$B$3:$N$62,13,0),"")</f>
        <v/>
      </c>
      <c r="K530" s="56"/>
      <c r="L530" s="56"/>
      <c r="M530" s="57" t="n">
        <f aca="false">G530</f>
        <v>0</v>
      </c>
      <c r="N530" s="54" t="n">
        <f aca="false">G530-M530</f>
        <v>0</v>
      </c>
      <c r="O530" s="55" t="str">
        <f aca="false">IFERROR(VLOOKUP($A530,RA_result!$B$3:$N$62,7,0),"")</f>
        <v/>
      </c>
      <c r="P530" s="52" t="str">
        <f aca="false">IFERROR(VLOOKUP($A530,RA_result!$B$3:$N$62,9,0),"")</f>
        <v/>
      </c>
      <c r="Q530" s="52" t="str">
        <f aca="false">IFERROR(VLOOKUP($A530,RA_result!$B$3:$N$62,10,0),"")</f>
        <v/>
      </c>
      <c r="R530" s="58" t="s">
        <v>55</v>
      </c>
      <c r="S530" s="59" t="str">
        <f aca="false">IFERROR(VLOOKUP($A530,RA_result!$B$3:$N$62,4,0),"")</f>
        <v/>
      </c>
      <c r="T530" s="60" t="s">
        <v>56</v>
      </c>
      <c r="U530" s="59" t="str">
        <f aca="false">IFERROR(IF(VLOOKUP($A530,RA_result!$B$3:$N$62,6,0)="",S530*T530,VLOOKUP($A530,RA_result!$B$3:$N$62,6,0)),"")</f>
        <v/>
      </c>
      <c r="V530" s="61" t="s">
        <v>56</v>
      </c>
      <c r="W530" s="62" t="n">
        <f aca="false">IFERROR((S530*30%)/V530,0)</f>
        <v>0</v>
      </c>
      <c r="X530" s="63" t="n">
        <f aca="false">IFERROR(N530/W530,0)</f>
        <v>0</v>
      </c>
      <c r="Y530" s="68"/>
      <c r="Z530" s="57"/>
      <c r="AA530" s="69" t="str">
        <f aca="false">IF(OR(U530="",Y530="",Z530=""),"",IF(AND(U530&gt;Y530,-U530&lt;Z530),"Ok","Not Ok"))</f>
        <v/>
      </c>
      <c r="AB530" s="70"/>
    </row>
    <row r="531" customFormat="false" ht="12.8" hidden="false" customHeight="false" outlineLevel="0" collapsed="false">
      <c r="A531" s="48" t="n">
        <f aca="false">TB_audited!A514</f>
        <v>0</v>
      </c>
      <c r="B531" s="49"/>
      <c r="C531" s="50"/>
      <c r="D531" s="51" t="n">
        <f aca="false">TB_audited!B514</f>
        <v>0</v>
      </c>
      <c r="E531" s="52" t="n">
        <f aca="false">TB_audited!C514</f>
        <v>0</v>
      </c>
      <c r="F531" s="53" t="n">
        <f aca="false">TB_audited!D514</f>
        <v>0</v>
      </c>
      <c r="G531" s="54" t="n">
        <f aca="false">IF($D$8="Interim",TB_audited!G514,TB_audited!E514)</f>
        <v>0</v>
      </c>
      <c r="H531" s="55" t="str">
        <f aca="false">IFERROR(VLOOKUP($A531,RA_result!$B$3:$N$62,11,0),"")</f>
        <v/>
      </c>
      <c r="I531" s="55" t="str">
        <f aca="false">IFERROR(VLOOKUP($A531,RA_result!$B$3:$N$62,12,0),"")</f>
        <v/>
      </c>
      <c r="J531" s="55" t="str">
        <f aca="false">IFERROR(VLOOKUP($A531,RA_result!$B$3:$N$62,13,0),"")</f>
        <v/>
      </c>
      <c r="K531" s="56"/>
      <c r="L531" s="56"/>
      <c r="M531" s="57" t="n">
        <f aca="false">G531</f>
        <v>0</v>
      </c>
      <c r="N531" s="54" t="n">
        <f aca="false">G531-M531</f>
        <v>0</v>
      </c>
      <c r="O531" s="55" t="str">
        <f aca="false">IFERROR(VLOOKUP($A531,RA_result!$B$3:$N$62,7,0),"")</f>
        <v/>
      </c>
      <c r="P531" s="52" t="str">
        <f aca="false">IFERROR(VLOOKUP($A531,RA_result!$B$3:$N$62,9,0),"")</f>
        <v/>
      </c>
      <c r="Q531" s="52" t="str">
        <f aca="false">IFERROR(VLOOKUP($A531,RA_result!$B$3:$N$62,10,0),"")</f>
        <v/>
      </c>
      <c r="R531" s="58" t="s">
        <v>55</v>
      </c>
      <c r="S531" s="59" t="str">
        <f aca="false">IFERROR(VLOOKUP($A531,RA_result!$B$3:$N$62,4,0),"")</f>
        <v/>
      </c>
      <c r="T531" s="60" t="s">
        <v>56</v>
      </c>
      <c r="U531" s="59" t="str">
        <f aca="false">IFERROR(IF(VLOOKUP($A531,RA_result!$B$3:$N$62,6,0)="",S531*T531,VLOOKUP($A531,RA_result!$B$3:$N$62,6,0)),"")</f>
        <v/>
      </c>
      <c r="V531" s="61" t="s">
        <v>56</v>
      </c>
      <c r="W531" s="62" t="n">
        <f aca="false">IFERROR((S531*30%)/V531,0)</f>
        <v>0</v>
      </c>
      <c r="X531" s="63" t="n">
        <f aca="false">IFERROR(N531/W531,0)</f>
        <v>0</v>
      </c>
      <c r="Y531" s="68"/>
      <c r="Z531" s="57"/>
      <c r="AA531" s="69" t="str">
        <f aca="false">IF(OR(U531="",Y531="",Z531=""),"",IF(AND(U531&gt;Y531,-U531&lt;Z531),"Ok","Not Ok"))</f>
        <v/>
      </c>
      <c r="AB531" s="70"/>
    </row>
    <row r="532" customFormat="false" ht="12.8" hidden="false" customHeight="false" outlineLevel="0" collapsed="false">
      <c r="A532" s="48" t="n">
        <f aca="false">TB_audited!A515</f>
        <v>0</v>
      </c>
      <c r="B532" s="49"/>
      <c r="C532" s="50"/>
      <c r="D532" s="51" t="n">
        <f aca="false">TB_audited!B515</f>
        <v>0</v>
      </c>
      <c r="E532" s="52" t="n">
        <f aca="false">TB_audited!C515</f>
        <v>0</v>
      </c>
      <c r="F532" s="53" t="n">
        <f aca="false">TB_audited!D515</f>
        <v>0</v>
      </c>
      <c r="G532" s="54" t="n">
        <f aca="false">IF($D$8="Interim",TB_audited!G515,TB_audited!E515)</f>
        <v>0</v>
      </c>
      <c r="H532" s="55" t="str">
        <f aca="false">IFERROR(VLOOKUP($A532,RA_result!$B$3:$N$62,11,0),"")</f>
        <v/>
      </c>
      <c r="I532" s="55" t="str">
        <f aca="false">IFERROR(VLOOKUP($A532,RA_result!$B$3:$N$62,12,0),"")</f>
        <v/>
      </c>
      <c r="J532" s="55" t="str">
        <f aca="false">IFERROR(VLOOKUP($A532,RA_result!$B$3:$N$62,13,0),"")</f>
        <v/>
      </c>
      <c r="K532" s="56"/>
      <c r="L532" s="56"/>
      <c r="M532" s="57" t="n">
        <f aca="false">G532</f>
        <v>0</v>
      </c>
      <c r="N532" s="54" t="n">
        <f aca="false">G532-M532</f>
        <v>0</v>
      </c>
      <c r="O532" s="55" t="str">
        <f aca="false">IFERROR(VLOOKUP($A532,RA_result!$B$3:$N$62,7,0),"")</f>
        <v/>
      </c>
      <c r="P532" s="52" t="str">
        <f aca="false">IFERROR(VLOOKUP($A532,RA_result!$B$3:$N$62,9,0),"")</f>
        <v/>
      </c>
      <c r="Q532" s="52" t="str">
        <f aca="false">IFERROR(VLOOKUP($A532,RA_result!$B$3:$N$62,10,0),"")</f>
        <v/>
      </c>
      <c r="R532" s="58" t="s">
        <v>55</v>
      </c>
      <c r="S532" s="59" t="str">
        <f aca="false">IFERROR(VLOOKUP($A532,RA_result!$B$3:$N$62,4,0),"")</f>
        <v/>
      </c>
      <c r="T532" s="60" t="s">
        <v>56</v>
      </c>
      <c r="U532" s="59" t="str">
        <f aca="false">IFERROR(IF(VLOOKUP($A532,RA_result!$B$3:$N$62,6,0)="",S532*T532,VLOOKUP($A532,RA_result!$B$3:$N$62,6,0)),"")</f>
        <v/>
      </c>
      <c r="V532" s="61" t="s">
        <v>56</v>
      </c>
      <c r="W532" s="62" t="n">
        <f aca="false">IFERROR((S532*30%)/V532,0)</f>
        <v>0</v>
      </c>
      <c r="X532" s="63" t="n">
        <f aca="false">IFERROR(N532/W532,0)</f>
        <v>0</v>
      </c>
      <c r="Y532" s="68"/>
      <c r="Z532" s="57"/>
      <c r="AA532" s="69" t="str">
        <f aca="false">IF(OR(U532="",Y532="",Z532=""),"",IF(AND(U532&gt;Y532,-U532&lt;Z532),"Ok","Not Ok"))</f>
        <v/>
      </c>
      <c r="AB532" s="70"/>
    </row>
    <row r="533" customFormat="false" ht="12.8" hidden="false" customHeight="false" outlineLevel="0" collapsed="false">
      <c r="A533" s="48" t="n">
        <f aca="false">TB_audited!A516</f>
        <v>0</v>
      </c>
      <c r="B533" s="49"/>
      <c r="C533" s="50"/>
      <c r="D533" s="51" t="n">
        <f aca="false">TB_audited!B516</f>
        <v>0</v>
      </c>
      <c r="E533" s="52" t="n">
        <f aca="false">TB_audited!C516</f>
        <v>0</v>
      </c>
      <c r="F533" s="53" t="n">
        <f aca="false">TB_audited!D516</f>
        <v>0</v>
      </c>
      <c r="G533" s="54" t="n">
        <f aca="false">IF($D$8="Interim",TB_audited!G516,TB_audited!E516)</f>
        <v>0</v>
      </c>
      <c r="H533" s="55" t="str">
        <f aca="false">IFERROR(VLOOKUP($A533,RA_result!$B$3:$N$62,11,0),"")</f>
        <v/>
      </c>
      <c r="I533" s="55" t="str">
        <f aca="false">IFERROR(VLOOKUP($A533,RA_result!$B$3:$N$62,12,0),"")</f>
        <v/>
      </c>
      <c r="J533" s="55" t="str">
        <f aca="false">IFERROR(VLOOKUP($A533,RA_result!$B$3:$N$62,13,0),"")</f>
        <v/>
      </c>
      <c r="K533" s="56"/>
      <c r="L533" s="56"/>
      <c r="M533" s="57" t="n">
        <f aca="false">G533</f>
        <v>0</v>
      </c>
      <c r="N533" s="54" t="n">
        <f aca="false">G533-M533</f>
        <v>0</v>
      </c>
      <c r="O533" s="55" t="str">
        <f aca="false">IFERROR(VLOOKUP($A533,RA_result!$B$3:$N$62,7,0),"")</f>
        <v/>
      </c>
      <c r="P533" s="52" t="str">
        <f aca="false">IFERROR(VLOOKUP($A533,RA_result!$B$3:$N$62,9,0),"")</f>
        <v/>
      </c>
      <c r="Q533" s="52" t="str">
        <f aca="false">IFERROR(VLOOKUP($A533,RA_result!$B$3:$N$62,10,0),"")</f>
        <v/>
      </c>
      <c r="R533" s="58" t="s">
        <v>55</v>
      </c>
      <c r="S533" s="59" t="str">
        <f aca="false">IFERROR(VLOOKUP($A533,RA_result!$B$3:$N$62,4,0),"")</f>
        <v/>
      </c>
      <c r="T533" s="60" t="s">
        <v>56</v>
      </c>
      <c r="U533" s="59" t="str">
        <f aca="false">IFERROR(IF(VLOOKUP($A533,RA_result!$B$3:$N$62,6,0)="",S533*T533,VLOOKUP($A533,RA_result!$B$3:$N$62,6,0)),"")</f>
        <v/>
      </c>
      <c r="V533" s="61" t="s">
        <v>56</v>
      </c>
      <c r="W533" s="62" t="n">
        <f aca="false">IFERROR((S533*30%)/V533,0)</f>
        <v>0</v>
      </c>
      <c r="X533" s="63" t="n">
        <f aca="false">IFERROR(N533/W533,0)</f>
        <v>0</v>
      </c>
      <c r="Y533" s="68"/>
      <c r="Z533" s="57"/>
      <c r="AA533" s="69" t="str">
        <f aca="false">IF(OR(U533="",Y533="",Z533=""),"",IF(AND(U533&gt;Y533,-U533&lt;Z533),"Ok","Not Ok"))</f>
        <v/>
      </c>
      <c r="AB533" s="70"/>
    </row>
    <row r="534" customFormat="false" ht="12.8" hidden="false" customHeight="false" outlineLevel="0" collapsed="false">
      <c r="A534" s="48" t="n">
        <f aca="false">TB_audited!A517</f>
        <v>0</v>
      </c>
      <c r="B534" s="49"/>
      <c r="C534" s="50"/>
      <c r="D534" s="51" t="n">
        <f aca="false">TB_audited!B517</f>
        <v>0</v>
      </c>
      <c r="E534" s="52" t="n">
        <f aca="false">TB_audited!C517</f>
        <v>0</v>
      </c>
      <c r="F534" s="53" t="n">
        <f aca="false">TB_audited!D517</f>
        <v>0</v>
      </c>
      <c r="G534" s="54" t="n">
        <f aca="false">IF($D$8="Interim",TB_audited!G517,TB_audited!E517)</f>
        <v>0</v>
      </c>
      <c r="H534" s="55" t="str">
        <f aca="false">IFERROR(VLOOKUP($A534,RA_result!$B$3:$N$62,11,0),"")</f>
        <v/>
      </c>
      <c r="I534" s="55" t="str">
        <f aca="false">IFERROR(VLOOKUP($A534,RA_result!$B$3:$N$62,12,0),"")</f>
        <v/>
      </c>
      <c r="J534" s="55" t="str">
        <f aca="false">IFERROR(VLOOKUP($A534,RA_result!$B$3:$N$62,13,0),"")</f>
        <v/>
      </c>
      <c r="K534" s="56"/>
      <c r="L534" s="56"/>
      <c r="M534" s="57" t="n">
        <f aca="false">G534</f>
        <v>0</v>
      </c>
      <c r="N534" s="54" t="n">
        <f aca="false">G534-M534</f>
        <v>0</v>
      </c>
      <c r="O534" s="55" t="str">
        <f aca="false">IFERROR(VLOOKUP($A534,RA_result!$B$3:$N$62,7,0),"")</f>
        <v/>
      </c>
      <c r="P534" s="52" t="str">
        <f aca="false">IFERROR(VLOOKUP($A534,RA_result!$B$3:$N$62,9,0),"")</f>
        <v/>
      </c>
      <c r="Q534" s="52" t="str">
        <f aca="false">IFERROR(VLOOKUP($A534,RA_result!$B$3:$N$62,10,0),"")</f>
        <v/>
      </c>
      <c r="R534" s="58" t="s">
        <v>55</v>
      </c>
      <c r="S534" s="59" t="str">
        <f aca="false">IFERROR(VLOOKUP($A534,RA_result!$B$3:$N$62,4,0),"")</f>
        <v/>
      </c>
      <c r="T534" s="60" t="s">
        <v>56</v>
      </c>
      <c r="U534" s="59" t="str">
        <f aca="false">IFERROR(IF(VLOOKUP($A534,RA_result!$B$3:$N$62,6,0)="",S534*T534,VLOOKUP($A534,RA_result!$B$3:$N$62,6,0)),"")</f>
        <v/>
      </c>
      <c r="V534" s="61" t="s">
        <v>56</v>
      </c>
      <c r="W534" s="62" t="n">
        <f aca="false">IFERROR((S534*30%)/V534,0)</f>
        <v>0</v>
      </c>
      <c r="X534" s="63" t="n">
        <f aca="false">IFERROR(N534/W534,0)</f>
        <v>0</v>
      </c>
      <c r="Y534" s="68"/>
      <c r="Z534" s="57"/>
      <c r="AA534" s="69" t="str">
        <f aca="false">IF(OR(U534="",Y534="",Z534=""),"",IF(AND(U534&gt;Y534,-U534&lt;Z534),"Ok","Not Ok"))</f>
        <v/>
      </c>
      <c r="AB534" s="70"/>
    </row>
    <row r="535" customFormat="false" ht="12.8" hidden="false" customHeight="false" outlineLevel="0" collapsed="false">
      <c r="A535" s="48" t="n">
        <f aca="false">TB_audited!A518</f>
        <v>0</v>
      </c>
      <c r="B535" s="49"/>
      <c r="C535" s="50"/>
      <c r="D535" s="51" t="n">
        <f aca="false">TB_audited!B518</f>
        <v>0</v>
      </c>
      <c r="E535" s="52" t="n">
        <f aca="false">TB_audited!C518</f>
        <v>0</v>
      </c>
      <c r="F535" s="53" t="n">
        <f aca="false">TB_audited!D518</f>
        <v>0</v>
      </c>
      <c r="G535" s="54" t="n">
        <f aca="false">IF($D$8="Interim",TB_audited!G518,TB_audited!E518)</f>
        <v>0</v>
      </c>
      <c r="H535" s="55" t="str">
        <f aca="false">IFERROR(VLOOKUP($A535,RA_result!$B$3:$N$62,11,0),"")</f>
        <v/>
      </c>
      <c r="I535" s="55" t="str">
        <f aca="false">IFERROR(VLOOKUP($A535,RA_result!$B$3:$N$62,12,0),"")</f>
        <v/>
      </c>
      <c r="J535" s="55" t="str">
        <f aca="false">IFERROR(VLOOKUP($A535,RA_result!$B$3:$N$62,13,0),"")</f>
        <v/>
      </c>
      <c r="K535" s="56"/>
      <c r="L535" s="56"/>
      <c r="M535" s="57" t="n">
        <f aca="false">G535</f>
        <v>0</v>
      </c>
      <c r="N535" s="54" t="n">
        <f aca="false">G535-M535</f>
        <v>0</v>
      </c>
      <c r="O535" s="55" t="str">
        <f aca="false">IFERROR(VLOOKUP($A535,RA_result!$B$3:$N$62,7,0),"")</f>
        <v/>
      </c>
      <c r="P535" s="52" t="str">
        <f aca="false">IFERROR(VLOOKUP($A535,RA_result!$B$3:$N$62,9,0),"")</f>
        <v/>
      </c>
      <c r="Q535" s="52" t="str">
        <f aca="false">IFERROR(VLOOKUP($A535,RA_result!$B$3:$N$62,10,0),"")</f>
        <v/>
      </c>
      <c r="R535" s="58" t="s">
        <v>55</v>
      </c>
      <c r="S535" s="59" t="str">
        <f aca="false">IFERROR(VLOOKUP($A535,RA_result!$B$3:$N$62,4,0),"")</f>
        <v/>
      </c>
      <c r="T535" s="60" t="s">
        <v>56</v>
      </c>
      <c r="U535" s="59" t="str">
        <f aca="false">IFERROR(IF(VLOOKUP($A535,RA_result!$B$3:$N$62,6,0)="",S535*T535,VLOOKUP($A535,RA_result!$B$3:$N$62,6,0)),"")</f>
        <v/>
      </c>
      <c r="V535" s="61" t="s">
        <v>56</v>
      </c>
      <c r="W535" s="62" t="n">
        <f aca="false">IFERROR((S535*30%)/V535,0)</f>
        <v>0</v>
      </c>
      <c r="X535" s="63" t="n">
        <f aca="false">IFERROR(N535/W535,0)</f>
        <v>0</v>
      </c>
      <c r="Y535" s="68"/>
      <c r="Z535" s="57"/>
      <c r="AA535" s="69" t="str">
        <f aca="false">IF(OR(U535="",Y535="",Z535=""),"",IF(AND(U535&gt;Y535,-U535&lt;Z535),"Ok","Not Ok"))</f>
        <v/>
      </c>
      <c r="AB535" s="70"/>
    </row>
    <row r="536" customFormat="false" ht="12.8" hidden="false" customHeight="false" outlineLevel="0" collapsed="false">
      <c r="A536" s="48" t="n">
        <f aca="false">TB_audited!A519</f>
        <v>0</v>
      </c>
      <c r="B536" s="49"/>
      <c r="C536" s="50"/>
      <c r="D536" s="51" t="n">
        <f aca="false">TB_audited!B519</f>
        <v>0</v>
      </c>
      <c r="E536" s="52" t="n">
        <f aca="false">TB_audited!C519</f>
        <v>0</v>
      </c>
      <c r="F536" s="53" t="n">
        <f aca="false">TB_audited!D519</f>
        <v>0</v>
      </c>
      <c r="G536" s="54" t="n">
        <f aca="false">IF($D$8="Interim",TB_audited!G519,TB_audited!E519)</f>
        <v>0</v>
      </c>
      <c r="H536" s="55" t="str">
        <f aca="false">IFERROR(VLOOKUP($A536,RA_result!$B$3:$N$62,11,0),"")</f>
        <v/>
      </c>
      <c r="I536" s="55" t="str">
        <f aca="false">IFERROR(VLOOKUP($A536,RA_result!$B$3:$N$62,12,0),"")</f>
        <v/>
      </c>
      <c r="J536" s="55" t="str">
        <f aca="false">IFERROR(VLOOKUP($A536,RA_result!$B$3:$N$62,13,0),"")</f>
        <v/>
      </c>
      <c r="K536" s="56"/>
      <c r="L536" s="56"/>
      <c r="M536" s="57" t="n">
        <f aca="false">G536</f>
        <v>0</v>
      </c>
      <c r="N536" s="54" t="n">
        <f aca="false">G536-M536</f>
        <v>0</v>
      </c>
      <c r="O536" s="55" t="str">
        <f aca="false">IFERROR(VLOOKUP($A536,RA_result!$B$3:$N$62,7,0),"")</f>
        <v/>
      </c>
      <c r="P536" s="52" t="str">
        <f aca="false">IFERROR(VLOOKUP($A536,RA_result!$B$3:$N$62,9,0),"")</f>
        <v/>
      </c>
      <c r="Q536" s="52" t="str">
        <f aca="false">IFERROR(VLOOKUP($A536,RA_result!$B$3:$N$62,10,0),"")</f>
        <v/>
      </c>
      <c r="R536" s="58" t="s">
        <v>55</v>
      </c>
      <c r="S536" s="59" t="str">
        <f aca="false">IFERROR(VLOOKUP($A536,RA_result!$B$3:$N$62,4,0),"")</f>
        <v/>
      </c>
      <c r="T536" s="60" t="s">
        <v>56</v>
      </c>
      <c r="U536" s="59" t="str">
        <f aca="false">IFERROR(IF(VLOOKUP($A536,RA_result!$B$3:$N$62,6,0)="",S536*T536,VLOOKUP($A536,RA_result!$B$3:$N$62,6,0)),"")</f>
        <v/>
      </c>
      <c r="V536" s="61" t="s">
        <v>56</v>
      </c>
      <c r="W536" s="62" t="n">
        <f aca="false">IFERROR((S536*30%)/V536,0)</f>
        <v>0</v>
      </c>
      <c r="X536" s="63" t="n">
        <f aca="false">IFERROR(N536/W536,0)</f>
        <v>0</v>
      </c>
      <c r="Y536" s="68"/>
      <c r="Z536" s="57"/>
      <c r="AA536" s="69" t="str">
        <f aca="false">IF(OR(U536="",Y536="",Z536=""),"",IF(AND(U536&gt;Y536,-U536&lt;Z536),"Ok","Not Ok"))</f>
        <v/>
      </c>
      <c r="AB536" s="70"/>
    </row>
    <row r="537" customFormat="false" ht="12.8" hidden="false" customHeight="false" outlineLevel="0" collapsed="false">
      <c r="A537" s="48" t="n">
        <f aca="false">TB_audited!A520</f>
        <v>0</v>
      </c>
      <c r="B537" s="49"/>
      <c r="C537" s="50"/>
      <c r="D537" s="51" t="n">
        <f aca="false">TB_audited!B520</f>
        <v>0</v>
      </c>
      <c r="E537" s="52" t="n">
        <f aca="false">TB_audited!C520</f>
        <v>0</v>
      </c>
      <c r="F537" s="53" t="n">
        <f aca="false">TB_audited!D520</f>
        <v>0</v>
      </c>
      <c r="G537" s="54" t="n">
        <f aca="false">IF($D$8="Interim",TB_audited!G520,TB_audited!E520)</f>
        <v>0</v>
      </c>
      <c r="H537" s="55" t="str">
        <f aca="false">IFERROR(VLOOKUP($A537,RA_result!$B$3:$N$62,11,0),"")</f>
        <v/>
      </c>
      <c r="I537" s="55" t="str">
        <f aca="false">IFERROR(VLOOKUP($A537,RA_result!$B$3:$N$62,12,0),"")</f>
        <v/>
      </c>
      <c r="J537" s="55" t="str">
        <f aca="false">IFERROR(VLOOKUP($A537,RA_result!$B$3:$N$62,13,0),"")</f>
        <v/>
      </c>
      <c r="K537" s="56"/>
      <c r="L537" s="56"/>
      <c r="M537" s="57" t="n">
        <f aca="false">G537</f>
        <v>0</v>
      </c>
      <c r="N537" s="54" t="n">
        <f aca="false">G537-M537</f>
        <v>0</v>
      </c>
      <c r="O537" s="55" t="str">
        <f aca="false">IFERROR(VLOOKUP($A537,RA_result!$B$3:$N$62,7,0),"")</f>
        <v/>
      </c>
      <c r="P537" s="52" t="str">
        <f aca="false">IFERROR(VLOOKUP($A537,RA_result!$B$3:$N$62,9,0),"")</f>
        <v/>
      </c>
      <c r="Q537" s="52" t="str">
        <f aca="false">IFERROR(VLOOKUP($A537,RA_result!$B$3:$N$62,10,0),"")</f>
        <v/>
      </c>
      <c r="R537" s="58" t="s">
        <v>55</v>
      </c>
      <c r="S537" s="59" t="str">
        <f aca="false">IFERROR(VLOOKUP($A537,RA_result!$B$3:$N$62,4,0),"")</f>
        <v/>
      </c>
      <c r="T537" s="60" t="s">
        <v>56</v>
      </c>
      <c r="U537" s="59" t="str">
        <f aca="false">IFERROR(IF(VLOOKUP($A537,RA_result!$B$3:$N$62,6,0)="",S537*T537,VLOOKUP($A537,RA_result!$B$3:$N$62,6,0)),"")</f>
        <v/>
      </c>
      <c r="V537" s="61" t="s">
        <v>56</v>
      </c>
      <c r="W537" s="62" t="n">
        <f aca="false">IFERROR((S537*30%)/V537,0)</f>
        <v>0</v>
      </c>
      <c r="X537" s="63" t="n">
        <f aca="false">IFERROR(N537/W537,0)</f>
        <v>0</v>
      </c>
      <c r="Y537" s="68"/>
      <c r="Z537" s="57"/>
      <c r="AA537" s="69" t="str">
        <f aca="false">IF(OR(U537="",Y537="",Z537=""),"",IF(AND(U537&gt;Y537,-U537&lt;Z537),"Ok","Not Ok"))</f>
        <v/>
      </c>
      <c r="AB537" s="70"/>
    </row>
    <row r="538" customFormat="false" ht="12.8" hidden="false" customHeight="false" outlineLevel="0" collapsed="false">
      <c r="A538" s="48" t="n">
        <f aca="false">TB_audited!A521</f>
        <v>0</v>
      </c>
      <c r="B538" s="49"/>
      <c r="C538" s="50"/>
      <c r="D538" s="51" t="n">
        <f aca="false">TB_audited!B521</f>
        <v>0</v>
      </c>
      <c r="E538" s="52" t="n">
        <f aca="false">TB_audited!C521</f>
        <v>0</v>
      </c>
      <c r="F538" s="53" t="n">
        <f aca="false">TB_audited!D521</f>
        <v>0</v>
      </c>
      <c r="G538" s="54" t="n">
        <f aca="false">IF($D$8="Interim",TB_audited!G521,TB_audited!E521)</f>
        <v>0</v>
      </c>
      <c r="H538" s="55" t="str">
        <f aca="false">IFERROR(VLOOKUP($A538,RA_result!$B$3:$N$62,11,0),"")</f>
        <v/>
      </c>
      <c r="I538" s="55" t="str">
        <f aca="false">IFERROR(VLOOKUP($A538,RA_result!$B$3:$N$62,12,0),"")</f>
        <v/>
      </c>
      <c r="J538" s="55" t="str">
        <f aca="false">IFERROR(VLOOKUP($A538,RA_result!$B$3:$N$62,13,0),"")</f>
        <v/>
      </c>
      <c r="K538" s="56"/>
      <c r="L538" s="56"/>
      <c r="M538" s="57" t="n">
        <f aca="false">G538</f>
        <v>0</v>
      </c>
      <c r="N538" s="54" t="n">
        <f aca="false">G538-M538</f>
        <v>0</v>
      </c>
      <c r="O538" s="55" t="str">
        <f aca="false">IFERROR(VLOOKUP($A538,RA_result!$B$3:$N$62,7,0),"")</f>
        <v/>
      </c>
      <c r="P538" s="52" t="str">
        <f aca="false">IFERROR(VLOOKUP($A538,RA_result!$B$3:$N$62,9,0),"")</f>
        <v/>
      </c>
      <c r="Q538" s="52" t="str">
        <f aca="false">IFERROR(VLOOKUP($A538,RA_result!$B$3:$N$62,10,0),"")</f>
        <v/>
      </c>
      <c r="R538" s="58" t="s">
        <v>55</v>
      </c>
      <c r="S538" s="59" t="str">
        <f aca="false">IFERROR(VLOOKUP($A538,RA_result!$B$3:$N$62,4,0),"")</f>
        <v/>
      </c>
      <c r="T538" s="60" t="s">
        <v>56</v>
      </c>
      <c r="U538" s="59" t="str">
        <f aca="false">IFERROR(IF(VLOOKUP($A538,RA_result!$B$3:$N$62,6,0)="",S538*T538,VLOOKUP($A538,RA_result!$B$3:$N$62,6,0)),"")</f>
        <v/>
      </c>
      <c r="V538" s="61" t="s">
        <v>56</v>
      </c>
      <c r="W538" s="62" t="n">
        <f aca="false">IFERROR((S538*30%)/V538,0)</f>
        <v>0</v>
      </c>
      <c r="X538" s="63" t="n">
        <f aca="false">IFERROR(N538/W538,0)</f>
        <v>0</v>
      </c>
      <c r="Y538" s="68"/>
      <c r="Z538" s="57"/>
      <c r="AA538" s="69" t="str">
        <f aca="false">IF(OR(U538="",Y538="",Z538=""),"",IF(AND(U538&gt;Y538,-U538&lt;Z538),"Ok","Not Ok"))</f>
        <v/>
      </c>
      <c r="AB538" s="70"/>
    </row>
    <row r="539" customFormat="false" ht="12.8" hidden="false" customHeight="false" outlineLevel="0" collapsed="false">
      <c r="A539" s="48" t="n">
        <f aca="false">TB_audited!A522</f>
        <v>0</v>
      </c>
      <c r="B539" s="49"/>
      <c r="C539" s="50"/>
      <c r="D539" s="51" t="n">
        <f aca="false">TB_audited!B522</f>
        <v>0</v>
      </c>
      <c r="E539" s="52" t="n">
        <f aca="false">TB_audited!C522</f>
        <v>0</v>
      </c>
      <c r="F539" s="53" t="n">
        <f aca="false">TB_audited!D522</f>
        <v>0</v>
      </c>
      <c r="G539" s="54" t="n">
        <f aca="false">IF($D$8="Interim",TB_audited!G522,TB_audited!E522)</f>
        <v>0</v>
      </c>
      <c r="H539" s="55" t="str">
        <f aca="false">IFERROR(VLOOKUP($A539,RA_result!$B$3:$N$62,11,0),"")</f>
        <v/>
      </c>
      <c r="I539" s="55" t="str">
        <f aca="false">IFERROR(VLOOKUP($A539,RA_result!$B$3:$N$62,12,0),"")</f>
        <v/>
      </c>
      <c r="J539" s="55" t="str">
        <f aca="false">IFERROR(VLOOKUP($A539,RA_result!$B$3:$N$62,13,0),"")</f>
        <v/>
      </c>
      <c r="K539" s="56"/>
      <c r="L539" s="56"/>
      <c r="M539" s="57" t="n">
        <f aca="false">G539</f>
        <v>0</v>
      </c>
      <c r="N539" s="54" t="n">
        <f aca="false">G539-M539</f>
        <v>0</v>
      </c>
      <c r="O539" s="55" t="str">
        <f aca="false">IFERROR(VLOOKUP($A539,RA_result!$B$3:$N$62,7,0),"")</f>
        <v/>
      </c>
      <c r="P539" s="52" t="str">
        <f aca="false">IFERROR(VLOOKUP($A539,RA_result!$B$3:$N$62,9,0),"")</f>
        <v/>
      </c>
      <c r="Q539" s="52" t="str">
        <f aca="false">IFERROR(VLOOKUP($A539,RA_result!$B$3:$N$62,10,0),"")</f>
        <v/>
      </c>
      <c r="R539" s="58" t="s">
        <v>55</v>
      </c>
      <c r="S539" s="59" t="str">
        <f aca="false">IFERROR(VLOOKUP($A539,RA_result!$B$3:$N$62,4,0),"")</f>
        <v/>
      </c>
      <c r="T539" s="60" t="s">
        <v>56</v>
      </c>
      <c r="U539" s="59" t="str">
        <f aca="false">IFERROR(IF(VLOOKUP($A539,RA_result!$B$3:$N$62,6,0)="",S539*T539,VLOOKUP($A539,RA_result!$B$3:$N$62,6,0)),"")</f>
        <v/>
      </c>
      <c r="V539" s="61" t="s">
        <v>56</v>
      </c>
      <c r="W539" s="62" t="n">
        <f aca="false">IFERROR((S539*30%)/V539,0)</f>
        <v>0</v>
      </c>
      <c r="X539" s="63" t="n">
        <f aca="false">IFERROR(N539/W539,0)</f>
        <v>0</v>
      </c>
      <c r="Y539" s="68"/>
      <c r="Z539" s="57"/>
      <c r="AA539" s="69" t="str">
        <f aca="false">IF(OR(U539="",Y539="",Z539=""),"",IF(AND(U539&gt;Y539,-U539&lt;Z539),"Ok","Not Ok"))</f>
        <v/>
      </c>
      <c r="AB539" s="70"/>
    </row>
    <row r="540" customFormat="false" ht="12.8" hidden="false" customHeight="false" outlineLevel="0" collapsed="false">
      <c r="A540" s="48" t="n">
        <f aca="false">TB_audited!A523</f>
        <v>0</v>
      </c>
      <c r="B540" s="49"/>
      <c r="C540" s="50"/>
      <c r="D540" s="51" t="n">
        <f aca="false">TB_audited!B523</f>
        <v>0</v>
      </c>
      <c r="E540" s="52" t="n">
        <f aca="false">TB_audited!C523</f>
        <v>0</v>
      </c>
      <c r="F540" s="53" t="n">
        <f aca="false">TB_audited!D523</f>
        <v>0</v>
      </c>
      <c r="G540" s="54" t="n">
        <f aca="false">IF($D$8="Interim",TB_audited!G523,TB_audited!E523)</f>
        <v>0</v>
      </c>
      <c r="H540" s="55" t="str">
        <f aca="false">IFERROR(VLOOKUP($A540,RA_result!$B$3:$N$62,11,0),"")</f>
        <v/>
      </c>
      <c r="I540" s="55" t="str">
        <f aca="false">IFERROR(VLOOKUP($A540,RA_result!$B$3:$N$62,12,0),"")</f>
        <v/>
      </c>
      <c r="J540" s="55" t="str">
        <f aca="false">IFERROR(VLOOKUP($A540,RA_result!$B$3:$N$62,13,0),"")</f>
        <v/>
      </c>
      <c r="K540" s="56"/>
      <c r="L540" s="56"/>
      <c r="M540" s="57" t="n">
        <f aca="false">G540</f>
        <v>0</v>
      </c>
      <c r="N540" s="54" t="n">
        <f aca="false">G540-M540</f>
        <v>0</v>
      </c>
      <c r="O540" s="55" t="str">
        <f aca="false">IFERROR(VLOOKUP($A540,RA_result!$B$3:$N$62,7,0),"")</f>
        <v/>
      </c>
      <c r="P540" s="52" t="str">
        <f aca="false">IFERROR(VLOOKUP($A540,RA_result!$B$3:$N$62,9,0),"")</f>
        <v/>
      </c>
      <c r="Q540" s="52" t="str">
        <f aca="false">IFERROR(VLOOKUP($A540,RA_result!$B$3:$N$62,10,0),"")</f>
        <v/>
      </c>
      <c r="R540" s="58" t="s">
        <v>55</v>
      </c>
      <c r="S540" s="59" t="str">
        <f aca="false">IFERROR(VLOOKUP($A540,RA_result!$B$3:$N$62,4,0),"")</f>
        <v/>
      </c>
      <c r="T540" s="60" t="s">
        <v>56</v>
      </c>
      <c r="U540" s="59" t="str">
        <f aca="false">IFERROR(IF(VLOOKUP($A540,RA_result!$B$3:$N$62,6,0)="",S540*T540,VLOOKUP($A540,RA_result!$B$3:$N$62,6,0)),"")</f>
        <v/>
      </c>
      <c r="V540" s="61" t="s">
        <v>56</v>
      </c>
      <c r="W540" s="62" t="n">
        <f aca="false">IFERROR((S540*30%)/V540,0)</f>
        <v>0</v>
      </c>
      <c r="X540" s="63" t="n">
        <f aca="false">IFERROR(N540/W540,0)</f>
        <v>0</v>
      </c>
      <c r="Y540" s="68"/>
      <c r="Z540" s="57"/>
      <c r="AA540" s="69" t="str">
        <f aca="false">IF(OR(U540="",Y540="",Z540=""),"",IF(AND(U540&gt;Y540,-U540&lt;Z540),"Ok","Not Ok"))</f>
        <v/>
      </c>
      <c r="AB540" s="70"/>
    </row>
    <row r="541" customFormat="false" ht="12.8" hidden="false" customHeight="false" outlineLevel="0" collapsed="false">
      <c r="A541" s="48" t="n">
        <f aca="false">TB_audited!A524</f>
        <v>0</v>
      </c>
      <c r="B541" s="49"/>
      <c r="C541" s="50"/>
      <c r="D541" s="51" t="n">
        <f aca="false">TB_audited!B524</f>
        <v>0</v>
      </c>
      <c r="E541" s="52" t="n">
        <f aca="false">TB_audited!C524</f>
        <v>0</v>
      </c>
      <c r="F541" s="53" t="n">
        <f aca="false">TB_audited!D524</f>
        <v>0</v>
      </c>
      <c r="G541" s="54" t="n">
        <f aca="false">IF($D$8="Interim",TB_audited!G524,TB_audited!E524)</f>
        <v>0</v>
      </c>
      <c r="H541" s="55" t="str">
        <f aca="false">IFERROR(VLOOKUP($A541,RA_result!$B$3:$N$62,11,0),"")</f>
        <v/>
      </c>
      <c r="I541" s="55" t="str">
        <f aca="false">IFERROR(VLOOKUP($A541,RA_result!$B$3:$N$62,12,0),"")</f>
        <v/>
      </c>
      <c r="J541" s="55" t="str">
        <f aca="false">IFERROR(VLOOKUP($A541,RA_result!$B$3:$N$62,13,0),"")</f>
        <v/>
      </c>
      <c r="K541" s="56"/>
      <c r="L541" s="56"/>
      <c r="M541" s="57" t="n">
        <f aca="false">G541</f>
        <v>0</v>
      </c>
      <c r="N541" s="54" t="n">
        <f aca="false">G541-M541</f>
        <v>0</v>
      </c>
      <c r="O541" s="55" t="str">
        <f aca="false">IFERROR(VLOOKUP($A541,RA_result!$B$3:$N$62,7,0),"")</f>
        <v/>
      </c>
      <c r="P541" s="52" t="str">
        <f aca="false">IFERROR(VLOOKUP($A541,RA_result!$B$3:$N$62,9,0),"")</f>
        <v/>
      </c>
      <c r="Q541" s="52" t="str">
        <f aca="false">IFERROR(VLOOKUP($A541,RA_result!$B$3:$N$62,10,0),"")</f>
        <v/>
      </c>
      <c r="R541" s="58" t="s">
        <v>55</v>
      </c>
      <c r="S541" s="59" t="str">
        <f aca="false">IFERROR(VLOOKUP($A541,RA_result!$B$3:$N$62,4,0),"")</f>
        <v/>
      </c>
      <c r="T541" s="60" t="s">
        <v>56</v>
      </c>
      <c r="U541" s="59" t="str">
        <f aca="false">IFERROR(IF(VLOOKUP($A541,RA_result!$B$3:$N$62,6,0)="",S541*T541,VLOOKUP($A541,RA_result!$B$3:$N$62,6,0)),"")</f>
        <v/>
      </c>
      <c r="V541" s="61" t="s">
        <v>56</v>
      </c>
      <c r="W541" s="62" t="n">
        <f aca="false">IFERROR((S541*30%)/V541,0)</f>
        <v>0</v>
      </c>
      <c r="X541" s="63" t="n">
        <f aca="false">IFERROR(N541/W541,0)</f>
        <v>0</v>
      </c>
      <c r="Y541" s="68"/>
      <c r="Z541" s="57"/>
      <c r="AA541" s="69" t="str">
        <f aca="false">IF(OR(U541="",Y541="",Z541=""),"",IF(AND(U541&gt;Y541,-U541&lt;Z541),"Ok","Not Ok"))</f>
        <v/>
      </c>
      <c r="AB541" s="70"/>
    </row>
    <row r="542" customFormat="false" ht="12.8" hidden="false" customHeight="false" outlineLevel="0" collapsed="false">
      <c r="A542" s="48" t="n">
        <f aca="false">TB_audited!A525</f>
        <v>0</v>
      </c>
      <c r="B542" s="49"/>
      <c r="C542" s="50"/>
      <c r="D542" s="51" t="n">
        <f aca="false">TB_audited!B525</f>
        <v>0</v>
      </c>
      <c r="E542" s="52" t="n">
        <f aca="false">TB_audited!C525</f>
        <v>0</v>
      </c>
      <c r="F542" s="53" t="n">
        <f aca="false">TB_audited!D525</f>
        <v>0</v>
      </c>
      <c r="G542" s="54" t="n">
        <f aca="false">IF($D$8="Interim",TB_audited!G525,TB_audited!E525)</f>
        <v>0</v>
      </c>
      <c r="H542" s="55" t="str">
        <f aca="false">IFERROR(VLOOKUP($A542,RA_result!$B$3:$N$62,11,0),"")</f>
        <v/>
      </c>
      <c r="I542" s="55" t="str">
        <f aca="false">IFERROR(VLOOKUP($A542,RA_result!$B$3:$N$62,12,0),"")</f>
        <v/>
      </c>
      <c r="J542" s="55" t="str">
        <f aca="false">IFERROR(VLOOKUP($A542,RA_result!$B$3:$N$62,13,0),"")</f>
        <v/>
      </c>
      <c r="K542" s="56"/>
      <c r="L542" s="56"/>
      <c r="M542" s="57" t="n">
        <f aca="false">G542</f>
        <v>0</v>
      </c>
      <c r="N542" s="54" t="n">
        <f aca="false">G542-M542</f>
        <v>0</v>
      </c>
      <c r="O542" s="55" t="str">
        <f aca="false">IFERROR(VLOOKUP($A542,RA_result!$B$3:$N$62,7,0),"")</f>
        <v/>
      </c>
      <c r="P542" s="52" t="str">
        <f aca="false">IFERROR(VLOOKUP($A542,RA_result!$B$3:$N$62,9,0),"")</f>
        <v/>
      </c>
      <c r="Q542" s="52" t="str">
        <f aca="false">IFERROR(VLOOKUP($A542,RA_result!$B$3:$N$62,10,0),"")</f>
        <v/>
      </c>
      <c r="R542" s="58" t="s">
        <v>55</v>
      </c>
      <c r="S542" s="59" t="str">
        <f aca="false">IFERROR(VLOOKUP($A542,RA_result!$B$3:$N$62,4,0),"")</f>
        <v/>
      </c>
      <c r="T542" s="60" t="s">
        <v>56</v>
      </c>
      <c r="U542" s="59" t="str">
        <f aca="false">IFERROR(IF(VLOOKUP($A542,RA_result!$B$3:$N$62,6,0)="",S542*T542,VLOOKUP($A542,RA_result!$B$3:$N$62,6,0)),"")</f>
        <v/>
      </c>
      <c r="V542" s="61" t="s">
        <v>56</v>
      </c>
      <c r="W542" s="62" t="n">
        <f aca="false">IFERROR((S542*30%)/V542,0)</f>
        <v>0</v>
      </c>
      <c r="X542" s="63" t="n">
        <f aca="false">IFERROR(N542/W542,0)</f>
        <v>0</v>
      </c>
      <c r="Y542" s="68"/>
      <c r="Z542" s="57"/>
      <c r="AA542" s="69" t="str">
        <f aca="false">IF(OR(U542="",Y542="",Z542=""),"",IF(AND(U542&gt;Y542,-U542&lt;Z542),"Ok","Not Ok"))</f>
        <v/>
      </c>
      <c r="AB542" s="70"/>
    </row>
    <row r="543" customFormat="false" ht="12.8" hidden="false" customHeight="false" outlineLevel="0" collapsed="false">
      <c r="A543" s="48" t="n">
        <f aca="false">TB_audited!A526</f>
        <v>0</v>
      </c>
      <c r="B543" s="49"/>
      <c r="C543" s="50"/>
      <c r="D543" s="51" t="n">
        <f aca="false">TB_audited!B526</f>
        <v>0</v>
      </c>
      <c r="E543" s="52" t="n">
        <f aca="false">TB_audited!C526</f>
        <v>0</v>
      </c>
      <c r="F543" s="53" t="n">
        <f aca="false">TB_audited!D526</f>
        <v>0</v>
      </c>
      <c r="G543" s="54" t="n">
        <f aca="false">IF($D$8="Interim",TB_audited!G526,TB_audited!E526)</f>
        <v>0</v>
      </c>
      <c r="H543" s="55" t="str">
        <f aca="false">IFERROR(VLOOKUP($A543,RA_result!$B$3:$N$62,11,0),"")</f>
        <v/>
      </c>
      <c r="I543" s="55" t="str">
        <f aca="false">IFERROR(VLOOKUP($A543,RA_result!$B$3:$N$62,12,0),"")</f>
        <v/>
      </c>
      <c r="J543" s="55" t="str">
        <f aca="false">IFERROR(VLOOKUP($A543,RA_result!$B$3:$N$62,13,0),"")</f>
        <v/>
      </c>
      <c r="K543" s="56"/>
      <c r="L543" s="56"/>
      <c r="M543" s="57" t="n">
        <f aca="false">G543</f>
        <v>0</v>
      </c>
      <c r="N543" s="54" t="n">
        <f aca="false">G543-M543</f>
        <v>0</v>
      </c>
      <c r="O543" s="55" t="str">
        <f aca="false">IFERROR(VLOOKUP($A543,RA_result!$B$3:$N$62,7,0),"")</f>
        <v/>
      </c>
      <c r="P543" s="52" t="str">
        <f aca="false">IFERROR(VLOOKUP($A543,RA_result!$B$3:$N$62,9,0),"")</f>
        <v/>
      </c>
      <c r="Q543" s="52" t="str">
        <f aca="false">IFERROR(VLOOKUP($A543,RA_result!$B$3:$N$62,10,0),"")</f>
        <v/>
      </c>
      <c r="R543" s="58" t="s">
        <v>55</v>
      </c>
      <c r="S543" s="59" t="str">
        <f aca="false">IFERROR(VLOOKUP($A543,RA_result!$B$3:$N$62,4,0),"")</f>
        <v/>
      </c>
      <c r="T543" s="60" t="s">
        <v>56</v>
      </c>
      <c r="U543" s="59" t="str">
        <f aca="false">IFERROR(IF(VLOOKUP($A543,RA_result!$B$3:$N$62,6,0)="",S543*T543,VLOOKUP($A543,RA_result!$B$3:$N$62,6,0)),"")</f>
        <v/>
      </c>
      <c r="V543" s="61" t="s">
        <v>56</v>
      </c>
      <c r="W543" s="62" t="n">
        <f aca="false">IFERROR((S543*30%)/V543,0)</f>
        <v>0</v>
      </c>
      <c r="X543" s="63" t="n">
        <f aca="false">IFERROR(N543/W543,0)</f>
        <v>0</v>
      </c>
      <c r="Y543" s="68"/>
      <c r="Z543" s="57"/>
      <c r="AA543" s="69" t="str">
        <f aca="false">IF(OR(U543="",Y543="",Z543=""),"",IF(AND(U543&gt;Y543,-U543&lt;Z543),"Ok","Not Ok"))</f>
        <v/>
      </c>
      <c r="AB543" s="70"/>
    </row>
    <row r="544" customFormat="false" ht="12.8" hidden="false" customHeight="false" outlineLevel="0" collapsed="false">
      <c r="A544" s="48" t="n">
        <f aca="false">TB_audited!A527</f>
        <v>0</v>
      </c>
      <c r="B544" s="49"/>
      <c r="C544" s="50"/>
      <c r="D544" s="51" t="n">
        <f aca="false">TB_audited!B527</f>
        <v>0</v>
      </c>
      <c r="E544" s="52" t="n">
        <f aca="false">TB_audited!C527</f>
        <v>0</v>
      </c>
      <c r="F544" s="53" t="n">
        <f aca="false">TB_audited!D527</f>
        <v>0</v>
      </c>
      <c r="G544" s="54" t="n">
        <f aca="false">IF($D$8="Interim",TB_audited!G527,TB_audited!E527)</f>
        <v>0</v>
      </c>
      <c r="H544" s="55" t="str">
        <f aca="false">IFERROR(VLOOKUP($A544,RA_result!$B$3:$N$62,11,0),"")</f>
        <v/>
      </c>
      <c r="I544" s="55" t="str">
        <f aca="false">IFERROR(VLOOKUP($A544,RA_result!$B$3:$N$62,12,0),"")</f>
        <v/>
      </c>
      <c r="J544" s="55" t="str">
        <f aca="false">IFERROR(VLOOKUP($A544,RA_result!$B$3:$N$62,13,0),"")</f>
        <v/>
      </c>
      <c r="K544" s="56"/>
      <c r="L544" s="56"/>
      <c r="M544" s="57" t="n">
        <f aca="false">G544</f>
        <v>0</v>
      </c>
      <c r="N544" s="54" t="n">
        <f aca="false">G544-M544</f>
        <v>0</v>
      </c>
      <c r="O544" s="55" t="str">
        <f aca="false">IFERROR(VLOOKUP($A544,RA_result!$B$3:$N$62,7,0),"")</f>
        <v/>
      </c>
      <c r="P544" s="52" t="str">
        <f aca="false">IFERROR(VLOOKUP($A544,RA_result!$B$3:$N$62,9,0),"")</f>
        <v/>
      </c>
      <c r="Q544" s="52" t="str">
        <f aca="false">IFERROR(VLOOKUP($A544,RA_result!$B$3:$N$62,10,0),"")</f>
        <v/>
      </c>
      <c r="R544" s="58" t="s">
        <v>55</v>
      </c>
      <c r="S544" s="59" t="str">
        <f aca="false">IFERROR(VLOOKUP($A544,RA_result!$B$3:$N$62,4,0),"")</f>
        <v/>
      </c>
      <c r="T544" s="60" t="s">
        <v>56</v>
      </c>
      <c r="U544" s="59" t="str">
        <f aca="false">IFERROR(IF(VLOOKUP($A544,RA_result!$B$3:$N$62,6,0)="",S544*T544,VLOOKUP($A544,RA_result!$B$3:$N$62,6,0)),"")</f>
        <v/>
      </c>
      <c r="V544" s="61" t="s">
        <v>56</v>
      </c>
      <c r="W544" s="62" t="n">
        <f aca="false">IFERROR((S544*30%)/V544,0)</f>
        <v>0</v>
      </c>
      <c r="X544" s="63" t="n">
        <f aca="false">IFERROR(N544/W544,0)</f>
        <v>0</v>
      </c>
      <c r="Y544" s="68"/>
      <c r="Z544" s="57"/>
      <c r="AA544" s="69" t="str">
        <f aca="false">IF(OR(U544="",Y544="",Z544=""),"",IF(AND(U544&gt;Y544,-U544&lt;Z544),"Ok","Not Ok"))</f>
        <v/>
      </c>
      <c r="AB544" s="70"/>
    </row>
    <row r="545" customFormat="false" ht="12.8" hidden="false" customHeight="false" outlineLevel="0" collapsed="false">
      <c r="A545" s="48" t="n">
        <f aca="false">TB_audited!A528</f>
        <v>0</v>
      </c>
      <c r="B545" s="49"/>
      <c r="C545" s="50"/>
      <c r="D545" s="51" t="n">
        <f aca="false">TB_audited!B528</f>
        <v>0</v>
      </c>
      <c r="E545" s="52" t="n">
        <f aca="false">TB_audited!C528</f>
        <v>0</v>
      </c>
      <c r="F545" s="53" t="n">
        <f aca="false">TB_audited!D528</f>
        <v>0</v>
      </c>
      <c r="G545" s="54" t="n">
        <f aca="false">IF($D$8="Interim",TB_audited!G528,TB_audited!E528)</f>
        <v>0</v>
      </c>
      <c r="H545" s="55" t="str">
        <f aca="false">IFERROR(VLOOKUP($A545,RA_result!$B$3:$N$62,11,0),"")</f>
        <v/>
      </c>
      <c r="I545" s="55" t="str">
        <f aca="false">IFERROR(VLOOKUP($A545,RA_result!$B$3:$N$62,12,0),"")</f>
        <v/>
      </c>
      <c r="J545" s="55" t="str">
        <f aca="false">IFERROR(VLOOKUP($A545,RA_result!$B$3:$N$62,13,0),"")</f>
        <v/>
      </c>
      <c r="K545" s="56"/>
      <c r="L545" s="56"/>
      <c r="M545" s="57" t="n">
        <f aca="false">G545</f>
        <v>0</v>
      </c>
      <c r="N545" s="54" t="n">
        <f aca="false">G545-M545</f>
        <v>0</v>
      </c>
      <c r="O545" s="55" t="str">
        <f aca="false">IFERROR(VLOOKUP($A545,RA_result!$B$3:$N$62,7,0),"")</f>
        <v/>
      </c>
      <c r="P545" s="52" t="str">
        <f aca="false">IFERROR(VLOOKUP($A545,RA_result!$B$3:$N$62,9,0),"")</f>
        <v/>
      </c>
      <c r="Q545" s="52" t="str">
        <f aca="false">IFERROR(VLOOKUP($A545,RA_result!$B$3:$N$62,10,0),"")</f>
        <v/>
      </c>
      <c r="R545" s="58" t="s">
        <v>55</v>
      </c>
      <c r="S545" s="59" t="str">
        <f aca="false">IFERROR(VLOOKUP($A545,RA_result!$B$3:$N$62,4,0),"")</f>
        <v/>
      </c>
      <c r="T545" s="60" t="s">
        <v>56</v>
      </c>
      <c r="U545" s="59" t="str">
        <f aca="false">IFERROR(IF(VLOOKUP($A545,RA_result!$B$3:$N$62,6,0)="",S545*T545,VLOOKUP($A545,RA_result!$B$3:$N$62,6,0)),"")</f>
        <v/>
      </c>
      <c r="V545" s="61" t="s">
        <v>56</v>
      </c>
      <c r="W545" s="62" t="n">
        <f aca="false">IFERROR((S545*30%)/V545,0)</f>
        <v>0</v>
      </c>
      <c r="X545" s="63" t="n">
        <f aca="false">IFERROR(N545/W545,0)</f>
        <v>0</v>
      </c>
      <c r="Y545" s="68"/>
      <c r="Z545" s="57"/>
      <c r="AA545" s="69" t="str">
        <f aca="false">IF(OR(U545="",Y545="",Z545=""),"",IF(AND(U545&gt;Y545,-U545&lt;Z545),"Ok","Not Ok"))</f>
        <v/>
      </c>
      <c r="AB545" s="70"/>
    </row>
    <row r="546" customFormat="false" ht="12.8" hidden="false" customHeight="false" outlineLevel="0" collapsed="false">
      <c r="A546" s="48" t="n">
        <f aca="false">TB_audited!A529</f>
        <v>0</v>
      </c>
      <c r="B546" s="49"/>
      <c r="C546" s="50"/>
      <c r="D546" s="51" t="n">
        <f aca="false">TB_audited!B529</f>
        <v>0</v>
      </c>
      <c r="E546" s="52" t="n">
        <f aca="false">TB_audited!C529</f>
        <v>0</v>
      </c>
      <c r="F546" s="53" t="n">
        <f aca="false">TB_audited!D529</f>
        <v>0</v>
      </c>
      <c r="G546" s="54" t="n">
        <f aca="false">IF($D$8="Interim",TB_audited!G529,TB_audited!E529)</f>
        <v>0</v>
      </c>
      <c r="H546" s="55" t="str">
        <f aca="false">IFERROR(VLOOKUP($A546,RA_result!$B$3:$N$62,11,0),"")</f>
        <v/>
      </c>
      <c r="I546" s="55" t="str">
        <f aca="false">IFERROR(VLOOKUP($A546,RA_result!$B$3:$N$62,12,0),"")</f>
        <v/>
      </c>
      <c r="J546" s="55" t="str">
        <f aca="false">IFERROR(VLOOKUP($A546,RA_result!$B$3:$N$62,13,0),"")</f>
        <v/>
      </c>
      <c r="K546" s="56"/>
      <c r="L546" s="56"/>
      <c r="M546" s="57" t="n">
        <f aca="false">G546</f>
        <v>0</v>
      </c>
      <c r="N546" s="54" t="n">
        <f aca="false">G546-M546</f>
        <v>0</v>
      </c>
      <c r="O546" s="55" t="str">
        <f aca="false">IFERROR(VLOOKUP($A546,RA_result!$B$3:$N$62,7,0),"")</f>
        <v/>
      </c>
      <c r="P546" s="52" t="str">
        <f aca="false">IFERROR(VLOOKUP($A546,RA_result!$B$3:$N$62,9,0),"")</f>
        <v/>
      </c>
      <c r="Q546" s="52" t="str">
        <f aca="false">IFERROR(VLOOKUP($A546,RA_result!$B$3:$N$62,10,0),"")</f>
        <v/>
      </c>
      <c r="R546" s="58" t="s">
        <v>55</v>
      </c>
      <c r="S546" s="59" t="str">
        <f aca="false">IFERROR(VLOOKUP($A546,RA_result!$B$3:$N$62,4,0),"")</f>
        <v/>
      </c>
      <c r="T546" s="60" t="s">
        <v>56</v>
      </c>
      <c r="U546" s="59" t="str">
        <f aca="false">IFERROR(IF(VLOOKUP($A546,RA_result!$B$3:$N$62,6,0)="",S546*T546,VLOOKUP($A546,RA_result!$B$3:$N$62,6,0)),"")</f>
        <v/>
      </c>
      <c r="V546" s="61" t="s">
        <v>56</v>
      </c>
      <c r="W546" s="62" t="n">
        <f aca="false">IFERROR((S546*30%)/V546,0)</f>
        <v>0</v>
      </c>
      <c r="X546" s="63" t="n">
        <f aca="false">IFERROR(N546/W546,0)</f>
        <v>0</v>
      </c>
      <c r="Y546" s="68"/>
      <c r="Z546" s="57"/>
      <c r="AA546" s="69" t="str">
        <f aca="false">IF(OR(U546="",Y546="",Z546=""),"",IF(AND(U546&gt;Y546,-U546&lt;Z546),"Ok","Not Ok"))</f>
        <v/>
      </c>
      <c r="AB546" s="70"/>
    </row>
    <row r="547" customFormat="false" ht="12.8" hidden="false" customHeight="false" outlineLevel="0" collapsed="false">
      <c r="A547" s="48" t="n">
        <f aca="false">TB_audited!A530</f>
        <v>0</v>
      </c>
      <c r="B547" s="49"/>
      <c r="C547" s="50"/>
      <c r="D547" s="51" t="n">
        <f aca="false">TB_audited!B530</f>
        <v>0</v>
      </c>
      <c r="E547" s="52" t="n">
        <f aca="false">TB_audited!C530</f>
        <v>0</v>
      </c>
      <c r="F547" s="53" t="n">
        <f aca="false">TB_audited!D530</f>
        <v>0</v>
      </c>
      <c r="G547" s="54" t="n">
        <f aca="false">IF($D$8="Interim",TB_audited!G530,TB_audited!E530)</f>
        <v>0</v>
      </c>
      <c r="H547" s="55" t="str">
        <f aca="false">IFERROR(VLOOKUP($A547,RA_result!$B$3:$N$62,11,0),"")</f>
        <v/>
      </c>
      <c r="I547" s="55" t="str">
        <f aca="false">IFERROR(VLOOKUP($A547,RA_result!$B$3:$N$62,12,0),"")</f>
        <v/>
      </c>
      <c r="J547" s="55" t="str">
        <f aca="false">IFERROR(VLOOKUP($A547,RA_result!$B$3:$N$62,13,0),"")</f>
        <v/>
      </c>
      <c r="K547" s="56"/>
      <c r="L547" s="56"/>
      <c r="M547" s="57" t="n">
        <f aca="false">G547</f>
        <v>0</v>
      </c>
      <c r="N547" s="54" t="n">
        <f aca="false">G547-M547</f>
        <v>0</v>
      </c>
      <c r="O547" s="55" t="str">
        <f aca="false">IFERROR(VLOOKUP($A547,RA_result!$B$3:$N$62,7,0),"")</f>
        <v/>
      </c>
      <c r="P547" s="52" t="str">
        <f aca="false">IFERROR(VLOOKUP($A547,RA_result!$B$3:$N$62,9,0),"")</f>
        <v/>
      </c>
      <c r="Q547" s="52" t="str">
        <f aca="false">IFERROR(VLOOKUP($A547,RA_result!$B$3:$N$62,10,0),"")</f>
        <v/>
      </c>
      <c r="R547" s="58" t="s">
        <v>55</v>
      </c>
      <c r="S547" s="59" t="str">
        <f aca="false">IFERROR(VLOOKUP($A547,RA_result!$B$3:$N$62,4,0),"")</f>
        <v/>
      </c>
      <c r="T547" s="60" t="s">
        <v>56</v>
      </c>
      <c r="U547" s="59" t="str">
        <f aca="false">IFERROR(IF(VLOOKUP($A547,RA_result!$B$3:$N$62,6,0)="",S547*T547,VLOOKUP($A547,RA_result!$B$3:$N$62,6,0)),"")</f>
        <v/>
      </c>
      <c r="V547" s="61" t="s">
        <v>56</v>
      </c>
      <c r="W547" s="62" t="n">
        <f aca="false">IFERROR((S547*30%)/V547,0)</f>
        <v>0</v>
      </c>
      <c r="X547" s="63" t="n">
        <f aca="false">IFERROR(N547/W547,0)</f>
        <v>0</v>
      </c>
      <c r="Y547" s="68"/>
      <c r="Z547" s="57"/>
      <c r="AA547" s="69" t="str">
        <f aca="false">IF(OR(U547="",Y547="",Z547=""),"",IF(AND(U547&gt;Y547,-U547&lt;Z547),"Ok","Not Ok"))</f>
        <v/>
      </c>
      <c r="AB547" s="70"/>
    </row>
    <row r="548" customFormat="false" ht="12.8" hidden="false" customHeight="false" outlineLevel="0" collapsed="false">
      <c r="A548" s="48" t="n">
        <f aca="false">TB_audited!A531</f>
        <v>0</v>
      </c>
      <c r="B548" s="49"/>
      <c r="C548" s="50"/>
      <c r="D548" s="51" t="n">
        <f aca="false">TB_audited!B531</f>
        <v>0</v>
      </c>
      <c r="E548" s="52" t="n">
        <f aca="false">TB_audited!C531</f>
        <v>0</v>
      </c>
      <c r="F548" s="53" t="n">
        <f aca="false">TB_audited!D531</f>
        <v>0</v>
      </c>
      <c r="G548" s="54" t="n">
        <f aca="false">IF($D$8="Interim",TB_audited!G531,TB_audited!E531)</f>
        <v>0</v>
      </c>
      <c r="H548" s="55" t="str">
        <f aca="false">IFERROR(VLOOKUP($A548,RA_result!$B$3:$N$62,11,0),"")</f>
        <v/>
      </c>
      <c r="I548" s="55" t="str">
        <f aca="false">IFERROR(VLOOKUP($A548,RA_result!$B$3:$N$62,12,0),"")</f>
        <v/>
      </c>
      <c r="J548" s="55" t="str">
        <f aca="false">IFERROR(VLOOKUP($A548,RA_result!$B$3:$N$62,13,0),"")</f>
        <v/>
      </c>
      <c r="K548" s="56"/>
      <c r="L548" s="56"/>
      <c r="M548" s="57" t="n">
        <f aca="false">G548</f>
        <v>0</v>
      </c>
      <c r="N548" s="54" t="n">
        <f aca="false">G548-M548</f>
        <v>0</v>
      </c>
      <c r="O548" s="55" t="str">
        <f aca="false">IFERROR(VLOOKUP($A548,RA_result!$B$3:$N$62,7,0),"")</f>
        <v/>
      </c>
      <c r="P548" s="52" t="str">
        <f aca="false">IFERROR(VLOOKUP($A548,RA_result!$B$3:$N$62,9,0),"")</f>
        <v/>
      </c>
      <c r="Q548" s="52" t="str">
        <f aca="false">IFERROR(VLOOKUP($A548,RA_result!$B$3:$N$62,10,0),"")</f>
        <v/>
      </c>
      <c r="R548" s="58" t="s">
        <v>55</v>
      </c>
      <c r="S548" s="59" t="str">
        <f aca="false">IFERROR(VLOOKUP($A548,RA_result!$B$3:$N$62,4,0),"")</f>
        <v/>
      </c>
      <c r="T548" s="60" t="s">
        <v>56</v>
      </c>
      <c r="U548" s="59" t="str">
        <f aca="false">IFERROR(IF(VLOOKUP($A548,RA_result!$B$3:$N$62,6,0)="",S548*T548,VLOOKUP($A548,RA_result!$B$3:$N$62,6,0)),"")</f>
        <v/>
      </c>
      <c r="V548" s="61" t="s">
        <v>56</v>
      </c>
      <c r="W548" s="62" t="n">
        <f aca="false">IFERROR((S548*30%)/V548,0)</f>
        <v>0</v>
      </c>
      <c r="X548" s="63" t="n">
        <f aca="false">IFERROR(N548/W548,0)</f>
        <v>0</v>
      </c>
      <c r="Y548" s="68"/>
      <c r="Z548" s="57"/>
      <c r="AA548" s="69" t="str">
        <f aca="false">IF(OR(U548="",Y548="",Z548=""),"",IF(AND(U548&gt;Y548,-U548&lt;Z548),"Ok","Not Ok"))</f>
        <v/>
      </c>
      <c r="AB548" s="70"/>
    </row>
    <row r="549" customFormat="false" ht="12.8" hidden="false" customHeight="false" outlineLevel="0" collapsed="false">
      <c r="A549" s="48" t="n">
        <f aca="false">TB_audited!A532</f>
        <v>0</v>
      </c>
      <c r="B549" s="49"/>
      <c r="C549" s="50"/>
      <c r="D549" s="51" t="n">
        <f aca="false">TB_audited!B532</f>
        <v>0</v>
      </c>
      <c r="E549" s="52" t="n">
        <f aca="false">TB_audited!C532</f>
        <v>0</v>
      </c>
      <c r="F549" s="53" t="n">
        <f aca="false">TB_audited!D532</f>
        <v>0</v>
      </c>
      <c r="G549" s="54" t="n">
        <f aca="false">IF($D$8="Interim",TB_audited!G532,TB_audited!E532)</f>
        <v>0</v>
      </c>
      <c r="H549" s="55" t="str">
        <f aca="false">IFERROR(VLOOKUP($A549,RA_result!$B$3:$N$62,11,0),"")</f>
        <v/>
      </c>
      <c r="I549" s="55" t="str">
        <f aca="false">IFERROR(VLOOKUP($A549,RA_result!$B$3:$N$62,12,0),"")</f>
        <v/>
      </c>
      <c r="J549" s="55" t="str">
        <f aca="false">IFERROR(VLOOKUP($A549,RA_result!$B$3:$N$62,13,0),"")</f>
        <v/>
      </c>
      <c r="K549" s="56"/>
      <c r="L549" s="56"/>
      <c r="M549" s="57" t="n">
        <f aca="false">G549</f>
        <v>0</v>
      </c>
      <c r="N549" s="54" t="n">
        <f aca="false">G549-M549</f>
        <v>0</v>
      </c>
      <c r="O549" s="55" t="str">
        <f aca="false">IFERROR(VLOOKUP($A549,RA_result!$B$3:$N$62,7,0),"")</f>
        <v/>
      </c>
      <c r="P549" s="52" t="str">
        <f aca="false">IFERROR(VLOOKUP($A549,RA_result!$B$3:$N$62,9,0),"")</f>
        <v/>
      </c>
      <c r="Q549" s="52" t="str">
        <f aca="false">IFERROR(VLOOKUP($A549,RA_result!$B$3:$N$62,10,0),"")</f>
        <v/>
      </c>
      <c r="R549" s="58" t="s">
        <v>55</v>
      </c>
      <c r="S549" s="59" t="str">
        <f aca="false">IFERROR(VLOOKUP($A549,RA_result!$B$3:$N$62,4,0),"")</f>
        <v/>
      </c>
      <c r="T549" s="60" t="s">
        <v>56</v>
      </c>
      <c r="U549" s="59" t="str">
        <f aca="false">IFERROR(IF(VLOOKUP($A549,RA_result!$B$3:$N$62,6,0)="",S549*T549,VLOOKUP($A549,RA_result!$B$3:$N$62,6,0)),"")</f>
        <v/>
      </c>
      <c r="V549" s="61" t="s">
        <v>56</v>
      </c>
      <c r="W549" s="62" t="n">
        <f aca="false">IFERROR((S549*30%)/V549,0)</f>
        <v>0</v>
      </c>
      <c r="X549" s="63" t="n">
        <f aca="false">IFERROR(N549/W549,0)</f>
        <v>0</v>
      </c>
      <c r="Y549" s="68"/>
      <c r="Z549" s="57"/>
      <c r="AA549" s="69" t="str">
        <f aca="false">IF(OR(U549="",Y549="",Z549=""),"",IF(AND(U549&gt;Y549,-U549&lt;Z549),"Ok","Not Ok"))</f>
        <v/>
      </c>
      <c r="AB549" s="70"/>
    </row>
    <row r="550" customFormat="false" ht="12.8" hidden="false" customHeight="false" outlineLevel="0" collapsed="false">
      <c r="A550" s="48" t="n">
        <f aca="false">TB_audited!A533</f>
        <v>0</v>
      </c>
      <c r="B550" s="49"/>
      <c r="C550" s="50"/>
      <c r="D550" s="51" t="n">
        <f aca="false">TB_audited!B533</f>
        <v>0</v>
      </c>
      <c r="E550" s="52" t="n">
        <f aca="false">TB_audited!C533</f>
        <v>0</v>
      </c>
      <c r="F550" s="53" t="n">
        <f aca="false">TB_audited!D533</f>
        <v>0</v>
      </c>
      <c r="G550" s="54" t="n">
        <f aca="false">IF($D$8="Interim",TB_audited!G533,TB_audited!E533)</f>
        <v>0</v>
      </c>
      <c r="H550" s="55" t="str">
        <f aca="false">IFERROR(VLOOKUP($A550,RA_result!$B$3:$N$62,11,0),"")</f>
        <v/>
      </c>
      <c r="I550" s="55" t="str">
        <f aca="false">IFERROR(VLOOKUP($A550,RA_result!$B$3:$N$62,12,0),"")</f>
        <v/>
      </c>
      <c r="J550" s="55" t="str">
        <f aca="false">IFERROR(VLOOKUP($A550,RA_result!$B$3:$N$62,13,0),"")</f>
        <v/>
      </c>
      <c r="K550" s="56"/>
      <c r="L550" s="56"/>
      <c r="M550" s="57" t="n">
        <f aca="false">G550</f>
        <v>0</v>
      </c>
      <c r="N550" s="54" t="n">
        <f aca="false">G550-M550</f>
        <v>0</v>
      </c>
      <c r="O550" s="55" t="str">
        <f aca="false">IFERROR(VLOOKUP($A550,RA_result!$B$3:$N$62,7,0),"")</f>
        <v/>
      </c>
      <c r="P550" s="52" t="str">
        <f aca="false">IFERROR(VLOOKUP($A550,RA_result!$B$3:$N$62,9,0),"")</f>
        <v/>
      </c>
      <c r="Q550" s="52" t="str">
        <f aca="false">IFERROR(VLOOKUP($A550,RA_result!$B$3:$N$62,10,0),"")</f>
        <v/>
      </c>
      <c r="R550" s="58" t="s">
        <v>55</v>
      </c>
      <c r="S550" s="59" t="str">
        <f aca="false">IFERROR(VLOOKUP($A550,RA_result!$B$3:$N$62,4,0),"")</f>
        <v/>
      </c>
      <c r="T550" s="60" t="s">
        <v>56</v>
      </c>
      <c r="U550" s="59" t="str">
        <f aca="false">IFERROR(IF(VLOOKUP($A550,RA_result!$B$3:$N$62,6,0)="",S550*T550,VLOOKUP($A550,RA_result!$B$3:$N$62,6,0)),"")</f>
        <v/>
      </c>
      <c r="V550" s="61" t="s">
        <v>56</v>
      </c>
      <c r="W550" s="62" t="n">
        <f aca="false">IFERROR((S550*30%)/V550,0)</f>
        <v>0</v>
      </c>
      <c r="X550" s="63" t="n">
        <f aca="false">IFERROR(N550/W550,0)</f>
        <v>0</v>
      </c>
      <c r="Y550" s="68"/>
      <c r="Z550" s="57"/>
      <c r="AA550" s="69" t="str">
        <f aca="false">IF(OR(U550="",Y550="",Z550=""),"",IF(AND(U550&gt;Y550,-U550&lt;Z550),"Ok","Not Ok"))</f>
        <v/>
      </c>
      <c r="AB550" s="70"/>
    </row>
    <row r="551" customFormat="false" ht="12.8" hidden="false" customHeight="false" outlineLevel="0" collapsed="false">
      <c r="A551" s="48" t="n">
        <f aca="false">TB_audited!A534</f>
        <v>0</v>
      </c>
      <c r="B551" s="49"/>
      <c r="C551" s="50"/>
      <c r="D551" s="51" t="n">
        <f aca="false">TB_audited!B534</f>
        <v>0</v>
      </c>
      <c r="E551" s="52" t="n">
        <f aca="false">TB_audited!C534</f>
        <v>0</v>
      </c>
      <c r="F551" s="53" t="n">
        <f aca="false">TB_audited!D534</f>
        <v>0</v>
      </c>
      <c r="G551" s="54" t="n">
        <f aca="false">IF($D$8="Interim",TB_audited!G534,TB_audited!E534)</f>
        <v>0</v>
      </c>
      <c r="H551" s="55" t="str">
        <f aca="false">IFERROR(VLOOKUP($A551,RA_result!$B$3:$N$62,11,0),"")</f>
        <v/>
      </c>
      <c r="I551" s="55" t="str">
        <f aca="false">IFERROR(VLOOKUP($A551,RA_result!$B$3:$N$62,12,0),"")</f>
        <v/>
      </c>
      <c r="J551" s="55" t="str">
        <f aca="false">IFERROR(VLOOKUP($A551,RA_result!$B$3:$N$62,13,0),"")</f>
        <v/>
      </c>
      <c r="K551" s="56"/>
      <c r="L551" s="56"/>
      <c r="M551" s="57" t="n">
        <f aca="false">G551</f>
        <v>0</v>
      </c>
      <c r="N551" s="54" t="n">
        <f aca="false">G551-M551</f>
        <v>0</v>
      </c>
      <c r="O551" s="55" t="str">
        <f aca="false">IFERROR(VLOOKUP($A551,RA_result!$B$3:$N$62,7,0),"")</f>
        <v/>
      </c>
      <c r="P551" s="52" t="str">
        <f aca="false">IFERROR(VLOOKUP($A551,RA_result!$B$3:$N$62,9,0),"")</f>
        <v/>
      </c>
      <c r="Q551" s="52" t="str">
        <f aca="false">IFERROR(VLOOKUP($A551,RA_result!$B$3:$N$62,10,0),"")</f>
        <v/>
      </c>
      <c r="R551" s="58" t="s">
        <v>55</v>
      </c>
      <c r="S551" s="59" t="str">
        <f aca="false">IFERROR(VLOOKUP($A551,RA_result!$B$3:$N$62,4,0),"")</f>
        <v/>
      </c>
      <c r="T551" s="60" t="s">
        <v>56</v>
      </c>
      <c r="U551" s="59" t="str">
        <f aca="false">IFERROR(IF(VLOOKUP($A551,RA_result!$B$3:$N$62,6,0)="",S551*T551,VLOOKUP($A551,RA_result!$B$3:$N$62,6,0)),"")</f>
        <v/>
      </c>
      <c r="V551" s="61" t="s">
        <v>56</v>
      </c>
      <c r="W551" s="62" t="n">
        <f aca="false">IFERROR((S551*30%)/V551,0)</f>
        <v>0</v>
      </c>
      <c r="X551" s="63" t="n">
        <f aca="false">IFERROR(N551/W551,0)</f>
        <v>0</v>
      </c>
      <c r="Y551" s="68"/>
      <c r="Z551" s="57"/>
      <c r="AA551" s="69" t="str">
        <f aca="false">IF(OR(U551="",Y551="",Z551=""),"",IF(AND(U551&gt;Y551,-U551&lt;Z551),"Ok","Not Ok"))</f>
        <v/>
      </c>
      <c r="AB551" s="70"/>
    </row>
    <row r="552" customFormat="false" ht="12.8" hidden="false" customHeight="false" outlineLevel="0" collapsed="false">
      <c r="A552" s="48" t="n">
        <f aca="false">TB_audited!A535</f>
        <v>0</v>
      </c>
      <c r="B552" s="49"/>
      <c r="C552" s="50"/>
      <c r="D552" s="51" t="n">
        <f aca="false">TB_audited!B535</f>
        <v>0</v>
      </c>
      <c r="E552" s="52" t="n">
        <f aca="false">TB_audited!C535</f>
        <v>0</v>
      </c>
      <c r="F552" s="53" t="n">
        <f aca="false">TB_audited!D535</f>
        <v>0</v>
      </c>
      <c r="G552" s="54" t="n">
        <f aca="false">IF($D$8="Interim",TB_audited!G535,TB_audited!E535)</f>
        <v>0</v>
      </c>
      <c r="H552" s="55" t="str">
        <f aca="false">IFERROR(VLOOKUP($A552,RA_result!$B$3:$N$62,11,0),"")</f>
        <v/>
      </c>
      <c r="I552" s="55" t="str">
        <f aca="false">IFERROR(VLOOKUP($A552,RA_result!$B$3:$N$62,12,0),"")</f>
        <v/>
      </c>
      <c r="J552" s="55" t="str">
        <f aca="false">IFERROR(VLOOKUP($A552,RA_result!$B$3:$N$62,13,0),"")</f>
        <v/>
      </c>
      <c r="K552" s="56"/>
      <c r="L552" s="56"/>
      <c r="M552" s="57" t="n">
        <f aca="false">G552</f>
        <v>0</v>
      </c>
      <c r="N552" s="54" t="n">
        <f aca="false">G552-M552</f>
        <v>0</v>
      </c>
      <c r="O552" s="55" t="str">
        <f aca="false">IFERROR(VLOOKUP($A552,RA_result!$B$3:$N$62,7,0),"")</f>
        <v/>
      </c>
      <c r="P552" s="52" t="str">
        <f aca="false">IFERROR(VLOOKUP($A552,RA_result!$B$3:$N$62,9,0),"")</f>
        <v/>
      </c>
      <c r="Q552" s="52" t="str">
        <f aca="false">IFERROR(VLOOKUP($A552,RA_result!$B$3:$N$62,10,0),"")</f>
        <v/>
      </c>
      <c r="R552" s="58" t="s">
        <v>55</v>
      </c>
      <c r="S552" s="59" t="str">
        <f aca="false">IFERROR(VLOOKUP($A552,RA_result!$B$3:$N$62,4,0),"")</f>
        <v/>
      </c>
      <c r="T552" s="60" t="s">
        <v>56</v>
      </c>
      <c r="U552" s="59" t="str">
        <f aca="false">IFERROR(IF(VLOOKUP($A552,RA_result!$B$3:$N$62,6,0)="",S552*T552,VLOOKUP($A552,RA_result!$B$3:$N$62,6,0)),"")</f>
        <v/>
      </c>
      <c r="V552" s="61" t="s">
        <v>56</v>
      </c>
      <c r="W552" s="62" t="n">
        <f aca="false">IFERROR((S552*30%)/V552,0)</f>
        <v>0</v>
      </c>
      <c r="X552" s="63" t="n">
        <f aca="false">IFERROR(N552/W552,0)</f>
        <v>0</v>
      </c>
      <c r="Y552" s="68"/>
      <c r="Z552" s="57"/>
      <c r="AA552" s="69" t="str">
        <f aca="false">IF(OR(U552="",Y552="",Z552=""),"",IF(AND(U552&gt;Y552,-U552&lt;Z552),"Ok","Not Ok"))</f>
        <v/>
      </c>
      <c r="AB552" s="70"/>
    </row>
    <row r="553" customFormat="false" ht="12.8" hidden="false" customHeight="false" outlineLevel="0" collapsed="false">
      <c r="A553" s="48" t="n">
        <f aca="false">TB_audited!A536</f>
        <v>0</v>
      </c>
      <c r="B553" s="49"/>
      <c r="C553" s="50"/>
      <c r="D553" s="51" t="n">
        <f aca="false">TB_audited!B536</f>
        <v>0</v>
      </c>
      <c r="E553" s="52" t="n">
        <f aca="false">TB_audited!C536</f>
        <v>0</v>
      </c>
      <c r="F553" s="53" t="n">
        <f aca="false">TB_audited!D536</f>
        <v>0</v>
      </c>
      <c r="G553" s="54" t="n">
        <f aca="false">IF($D$8="Interim",TB_audited!G536,TB_audited!E536)</f>
        <v>0</v>
      </c>
      <c r="H553" s="55" t="str">
        <f aca="false">IFERROR(VLOOKUP($A553,RA_result!$B$3:$N$62,11,0),"")</f>
        <v/>
      </c>
      <c r="I553" s="55" t="str">
        <f aca="false">IFERROR(VLOOKUP($A553,RA_result!$B$3:$N$62,12,0),"")</f>
        <v/>
      </c>
      <c r="J553" s="55" t="str">
        <f aca="false">IFERROR(VLOOKUP($A553,RA_result!$B$3:$N$62,13,0),"")</f>
        <v/>
      </c>
      <c r="K553" s="56"/>
      <c r="L553" s="56"/>
      <c r="M553" s="57" t="n">
        <f aca="false">G553</f>
        <v>0</v>
      </c>
      <c r="N553" s="54" t="n">
        <f aca="false">G553-M553</f>
        <v>0</v>
      </c>
      <c r="O553" s="55" t="str">
        <f aca="false">IFERROR(VLOOKUP($A553,RA_result!$B$3:$N$62,7,0),"")</f>
        <v/>
      </c>
      <c r="P553" s="52" t="str">
        <f aca="false">IFERROR(VLOOKUP($A553,RA_result!$B$3:$N$62,9,0),"")</f>
        <v/>
      </c>
      <c r="Q553" s="52" t="str">
        <f aca="false">IFERROR(VLOOKUP($A553,RA_result!$B$3:$N$62,10,0),"")</f>
        <v/>
      </c>
      <c r="R553" s="58" t="s">
        <v>55</v>
      </c>
      <c r="S553" s="59" t="str">
        <f aca="false">IFERROR(VLOOKUP($A553,RA_result!$B$3:$N$62,4,0),"")</f>
        <v/>
      </c>
      <c r="T553" s="60" t="s">
        <v>56</v>
      </c>
      <c r="U553" s="59" t="str">
        <f aca="false">IFERROR(IF(VLOOKUP($A553,RA_result!$B$3:$N$62,6,0)="",S553*T553,VLOOKUP($A553,RA_result!$B$3:$N$62,6,0)),"")</f>
        <v/>
      </c>
      <c r="V553" s="61" t="s">
        <v>56</v>
      </c>
      <c r="W553" s="62" t="n">
        <f aca="false">IFERROR((S553*30%)/V553,0)</f>
        <v>0</v>
      </c>
      <c r="X553" s="63" t="n">
        <f aca="false">IFERROR(N553/W553,0)</f>
        <v>0</v>
      </c>
      <c r="Y553" s="68"/>
      <c r="Z553" s="57"/>
      <c r="AA553" s="69" t="str">
        <f aca="false">IF(OR(U553="",Y553="",Z553=""),"",IF(AND(U553&gt;Y553,-U553&lt;Z553),"Ok","Not Ok"))</f>
        <v/>
      </c>
      <c r="AB553" s="70"/>
    </row>
    <row r="554" customFormat="false" ht="12.8" hidden="false" customHeight="false" outlineLevel="0" collapsed="false">
      <c r="A554" s="48" t="n">
        <f aca="false">TB_audited!A537</f>
        <v>0</v>
      </c>
      <c r="B554" s="49"/>
      <c r="C554" s="50"/>
      <c r="D554" s="51" t="n">
        <f aca="false">TB_audited!B537</f>
        <v>0</v>
      </c>
      <c r="E554" s="52" t="n">
        <f aca="false">TB_audited!C537</f>
        <v>0</v>
      </c>
      <c r="F554" s="53" t="n">
        <f aca="false">TB_audited!D537</f>
        <v>0</v>
      </c>
      <c r="G554" s="54" t="n">
        <f aca="false">IF($D$8="Interim",TB_audited!G537,TB_audited!E537)</f>
        <v>0</v>
      </c>
      <c r="H554" s="55" t="str">
        <f aca="false">IFERROR(VLOOKUP($A554,RA_result!$B$3:$N$62,11,0),"")</f>
        <v/>
      </c>
      <c r="I554" s="55" t="str">
        <f aca="false">IFERROR(VLOOKUP($A554,RA_result!$B$3:$N$62,12,0),"")</f>
        <v/>
      </c>
      <c r="J554" s="55" t="str">
        <f aca="false">IFERROR(VLOOKUP($A554,RA_result!$B$3:$N$62,13,0),"")</f>
        <v/>
      </c>
      <c r="K554" s="56"/>
      <c r="L554" s="56"/>
      <c r="M554" s="57" t="n">
        <f aca="false">G554</f>
        <v>0</v>
      </c>
      <c r="N554" s="54" t="n">
        <f aca="false">G554-M554</f>
        <v>0</v>
      </c>
      <c r="O554" s="55" t="str">
        <f aca="false">IFERROR(VLOOKUP($A554,RA_result!$B$3:$N$62,7,0),"")</f>
        <v/>
      </c>
      <c r="P554" s="52" t="str">
        <f aca="false">IFERROR(VLOOKUP($A554,RA_result!$B$3:$N$62,9,0),"")</f>
        <v/>
      </c>
      <c r="Q554" s="52" t="str">
        <f aca="false">IFERROR(VLOOKUP($A554,RA_result!$B$3:$N$62,10,0),"")</f>
        <v/>
      </c>
      <c r="R554" s="58" t="s">
        <v>55</v>
      </c>
      <c r="S554" s="59" t="str">
        <f aca="false">IFERROR(VLOOKUP($A554,RA_result!$B$3:$N$62,4,0),"")</f>
        <v/>
      </c>
      <c r="T554" s="60" t="s">
        <v>56</v>
      </c>
      <c r="U554" s="59" t="str">
        <f aca="false">IFERROR(IF(VLOOKUP($A554,RA_result!$B$3:$N$62,6,0)="",S554*T554,VLOOKUP($A554,RA_result!$B$3:$N$62,6,0)),"")</f>
        <v/>
      </c>
      <c r="V554" s="61" t="s">
        <v>56</v>
      </c>
      <c r="W554" s="62" t="n">
        <f aca="false">IFERROR((S554*30%)/V554,0)</f>
        <v>0</v>
      </c>
      <c r="X554" s="63" t="n">
        <f aca="false">IFERROR(N554/W554,0)</f>
        <v>0</v>
      </c>
      <c r="Y554" s="68"/>
      <c r="Z554" s="57"/>
      <c r="AA554" s="69" t="str">
        <f aca="false">IF(OR(U554="",Y554="",Z554=""),"",IF(AND(U554&gt;Y554,-U554&lt;Z554),"Ok","Not Ok"))</f>
        <v/>
      </c>
      <c r="AB554" s="70"/>
    </row>
    <row r="555" customFormat="false" ht="12.8" hidden="false" customHeight="false" outlineLevel="0" collapsed="false">
      <c r="A555" s="48" t="n">
        <f aca="false">TB_audited!A538</f>
        <v>0</v>
      </c>
      <c r="B555" s="49"/>
      <c r="C555" s="50"/>
      <c r="D555" s="51" t="n">
        <f aca="false">TB_audited!B538</f>
        <v>0</v>
      </c>
      <c r="E555" s="52" t="n">
        <f aca="false">TB_audited!C538</f>
        <v>0</v>
      </c>
      <c r="F555" s="53" t="n">
        <f aca="false">TB_audited!D538</f>
        <v>0</v>
      </c>
      <c r="G555" s="54" t="n">
        <f aca="false">IF($D$8="Interim",TB_audited!G538,TB_audited!E538)</f>
        <v>0</v>
      </c>
      <c r="H555" s="55" t="str">
        <f aca="false">IFERROR(VLOOKUP($A555,RA_result!$B$3:$N$62,11,0),"")</f>
        <v/>
      </c>
      <c r="I555" s="55" t="str">
        <f aca="false">IFERROR(VLOOKUP($A555,RA_result!$B$3:$N$62,12,0),"")</f>
        <v/>
      </c>
      <c r="J555" s="55" t="str">
        <f aca="false">IFERROR(VLOOKUP($A555,RA_result!$B$3:$N$62,13,0),"")</f>
        <v/>
      </c>
      <c r="K555" s="56"/>
      <c r="L555" s="56"/>
      <c r="M555" s="57" t="n">
        <f aca="false">G555</f>
        <v>0</v>
      </c>
      <c r="N555" s="54" t="n">
        <f aca="false">G555-M555</f>
        <v>0</v>
      </c>
      <c r="O555" s="55" t="str">
        <f aca="false">IFERROR(VLOOKUP($A555,RA_result!$B$3:$N$62,7,0),"")</f>
        <v/>
      </c>
      <c r="P555" s="52" t="str">
        <f aca="false">IFERROR(VLOOKUP($A555,RA_result!$B$3:$N$62,9,0),"")</f>
        <v/>
      </c>
      <c r="Q555" s="52" t="str">
        <f aca="false">IFERROR(VLOOKUP($A555,RA_result!$B$3:$N$62,10,0),"")</f>
        <v/>
      </c>
      <c r="R555" s="58" t="s">
        <v>55</v>
      </c>
      <c r="S555" s="59" t="str">
        <f aca="false">IFERROR(VLOOKUP($A555,RA_result!$B$3:$N$62,4,0),"")</f>
        <v/>
      </c>
      <c r="T555" s="60" t="s">
        <v>56</v>
      </c>
      <c r="U555" s="59" t="str">
        <f aca="false">IFERROR(IF(VLOOKUP($A555,RA_result!$B$3:$N$62,6,0)="",S555*T555,VLOOKUP($A555,RA_result!$B$3:$N$62,6,0)),"")</f>
        <v/>
      </c>
      <c r="V555" s="61" t="s">
        <v>56</v>
      </c>
      <c r="W555" s="62" t="n">
        <f aca="false">IFERROR((S555*30%)/V555,0)</f>
        <v>0</v>
      </c>
      <c r="X555" s="63" t="n">
        <f aca="false">IFERROR(N555/W555,0)</f>
        <v>0</v>
      </c>
      <c r="Y555" s="68"/>
      <c r="Z555" s="57"/>
      <c r="AA555" s="69" t="str">
        <f aca="false">IF(OR(U555="",Y555="",Z555=""),"",IF(AND(U555&gt;Y555,-U555&lt;Z555),"Ok","Not Ok"))</f>
        <v/>
      </c>
      <c r="AB555" s="70"/>
    </row>
    <row r="556" customFormat="false" ht="12.8" hidden="false" customHeight="false" outlineLevel="0" collapsed="false">
      <c r="A556" s="48" t="n">
        <f aca="false">TB_audited!A539</f>
        <v>0</v>
      </c>
      <c r="B556" s="49"/>
      <c r="C556" s="50"/>
      <c r="D556" s="51" t="n">
        <f aca="false">TB_audited!B539</f>
        <v>0</v>
      </c>
      <c r="E556" s="52" t="n">
        <f aca="false">TB_audited!C539</f>
        <v>0</v>
      </c>
      <c r="F556" s="53" t="n">
        <f aca="false">TB_audited!D539</f>
        <v>0</v>
      </c>
      <c r="G556" s="54" t="n">
        <f aca="false">IF($D$8="Interim",TB_audited!G539,TB_audited!E539)</f>
        <v>0</v>
      </c>
      <c r="H556" s="55" t="str">
        <f aca="false">IFERROR(VLOOKUP($A556,RA_result!$B$3:$N$62,11,0),"")</f>
        <v/>
      </c>
      <c r="I556" s="55" t="str">
        <f aca="false">IFERROR(VLOOKUP($A556,RA_result!$B$3:$N$62,12,0),"")</f>
        <v/>
      </c>
      <c r="J556" s="55" t="str">
        <f aca="false">IFERROR(VLOOKUP($A556,RA_result!$B$3:$N$62,13,0),"")</f>
        <v/>
      </c>
      <c r="K556" s="56"/>
      <c r="L556" s="56"/>
      <c r="M556" s="57" t="n">
        <f aca="false">G556</f>
        <v>0</v>
      </c>
      <c r="N556" s="54" t="n">
        <f aca="false">G556-M556</f>
        <v>0</v>
      </c>
      <c r="O556" s="55" t="str">
        <f aca="false">IFERROR(VLOOKUP($A556,RA_result!$B$3:$N$62,7,0),"")</f>
        <v/>
      </c>
      <c r="P556" s="52" t="str">
        <f aca="false">IFERROR(VLOOKUP($A556,RA_result!$B$3:$N$62,9,0),"")</f>
        <v/>
      </c>
      <c r="Q556" s="52" t="str">
        <f aca="false">IFERROR(VLOOKUP($A556,RA_result!$B$3:$N$62,10,0),"")</f>
        <v/>
      </c>
      <c r="R556" s="58" t="s">
        <v>55</v>
      </c>
      <c r="S556" s="59" t="str">
        <f aca="false">IFERROR(VLOOKUP($A556,RA_result!$B$3:$N$62,4,0),"")</f>
        <v/>
      </c>
      <c r="T556" s="60" t="s">
        <v>56</v>
      </c>
      <c r="U556" s="59" t="str">
        <f aca="false">IFERROR(IF(VLOOKUP($A556,RA_result!$B$3:$N$62,6,0)="",S556*T556,VLOOKUP($A556,RA_result!$B$3:$N$62,6,0)),"")</f>
        <v/>
      </c>
      <c r="V556" s="61" t="s">
        <v>56</v>
      </c>
      <c r="W556" s="62" t="n">
        <f aca="false">IFERROR((S556*30%)/V556,0)</f>
        <v>0</v>
      </c>
      <c r="X556" s="63" t="n">
        <f aca="false">IFERROR(N556/W556,0)</f>
        <v>0</v>
      </c>
      <c r="Y556" s="68"/>
      <c r="Z556" s="57"/>
      <c r="AA556" s="69" t="str">
        <f aca="false">IF(OR(U556="",Y556="",Z556=""),"",IF(AND(U556&gt;Y556,-U556&lt;Z556),"Ok","Not Ok"))</f>
        <v/>
      </c>
      <c r="AB556" s="70"/>
    </row>
    <row r="557" customFormat="false" ht="12.8" hidden="false" customHeight="false" outlineLevel="0" collapsed="false">
      <c r="A557" s="48" t="n">
        <f aca="false">TB_audited!A540</f>
        <v>0</v>
      </c>
      <c r="B557" s="49"/>
      <c r="C557" s="50"/>
      <c r="D557" s="51" t="n">
        <f aca="false">TB_audited!B540</f>
        <v>0</v>
      </c>
      <c r="E557" s="52" t="n">
        <f aca="false">TB_audited!C540</f>
        <v>0</v>
      </c>
      <c r="F557" s="53" t="n">
        <f aca="false">TB_audited!D540</f>
        <v>0</v>
      </c>
      <c r="G557" s="54" t="n">
        <f aca="false">IF($D$8="Interim",TB_audited!G540,TB_audited!E540)</f>
        <v>0</v>
      </c>
      <c r="H557" s="55" t="str">
        <f aca="false">IFERROR(VLOOKUP($A557,RA_result!$B$3:$N$62,11,0),"")</f>
        <v/>
      </c>
      <c r="I557" s="55" t="str">
        <f aca="false">IFERROR(VLOOKUP($A557,RA_result!$B$3:$N$62,12,0),"")</f>
        <v/>
      </c>
      <c r="J557" s="55" t="str">
        <f aca="false">IFERROR(VLOOKUP($A557,RA_result!$B$3:$N$62,13,0),"")</f>
        <v/>
      </c>
      <c r="K557" s="56"/>
      <c r="L557" s="56"/>
      <c r="M557" s="57" t="n">
        <f aca="false">G557</f>
        <v>0</v>
      </c>
      <c r="N557" s="54" t="n">
        <f aca="false">G557-M557</f>
        <v>0</v>
      </c>
      <c r="O557" s="55" t="str">
        <f aca="false">IFERROR(VLOOKUP($A557,RA_result!$B$3:$N$62,7,0),"")</f>
        <v/>
      </c>
      <c r="P557" s="52" t="str">
        <f aca="false">IFERROR(VLOOKUP($A557,RA_result!$B$3:$N$62,9,0),"")</f>
        <v/>
      </c>
      <c r="Q557" s="52" t="str">
        <f aca="false">IFERROR(VLOOKUP($A557,RA_result!$B$3:$N$62,10,0),"")</f>
        <v/>
      </c>
      <c r="R557" s="58" t="s">
        <v>55</v>
      </c>
      <c r="S557" s="59" t="str">
        <f aca="false">IFERROR(VLOOKUP($A557,RA_result!$B$3:$N$62,4,0),"")</f>
        <v/>
      </c>
      <c r="T557" s="60" t="s">
        <v>56</v>
      </c>
      <c r="U557" s="59" t="str">
        <f aca="false">IFERROR(IF(VLOOKUP($A557,RA_result!$B$3:$N$62,6,0)="",S557*T557,VLOOKUP($A557,RA_result!$B$3:$N$62,6,0)),"")</f>
        <v/>
      </c>
      <c r="V557" s="61" t="s">
        <v>56</v>
      </c>
      <c r="W557" s="62" t="n">
        <f aca="false">IFERROR((S557*30%)/V557,0)</f>
        <v>0</v>
      </c>
      <c r="X557" s="63" t="n">
        <f aca="false">IFERROR(N557/W557,0)</f>
        <v>0</v>
      </c>
      <c r="Y557" s="68"/>
      <c r="Z557" s="57"/>
      <c r="AA557" s="69" t="str">
        <f aca="false">IF(OR(U557="",Y557="",Z557=""),"",IF(AND(U557&gt;Y557,-U557&lt;Z557),"Ok","Not Ok"))</f>
        <v/>
      </c>
      <c r="AB557" s="70"/>
    </row>
    <row r="558" customFormat="false" ht="12.8" hidden="false" customHeight="false" outlineLevel="0" collapsed="false">
      <c r="A558" s="48" t="n">
        <f aca="false">TB_audited!A541</f>
        <v>0</v>
      </c>
      <c r="B558" s="49"/>
      <c r="C558" s="50"/>
      <c r="D558" s="51" t="n">
        <f aca="false">TB_audited!B541</f>
        <v>0</v>
      </c>
      <c r="E558" s="52" t="n">
        <f aca="false">TB_audited!C541</f>
        <v>0</v>
      </c>
      <c r="F558" s="53" t="n">
        <f aca="false">TB_audited!D541</f>
        <v>0</v>
      </c>
      <c r="G558" s="54" t="n">
        <f aca="false">IF($D$8="Interim",TB_audited!G541,TB_audited!E541)</f>
        <v>0</v>
      </c>
      <c r="H558" s="55" t="str">
        <f aca="false">IFERROR(VLOOKUP($A558,RA_result!$B$3:$N$62,11,0),"")</f>
        <v/>
      </c>
      <c r="I558" s="55" t="str">
        <f aca="false">IFERROR(VLOOKUP($A558,RA_result!$B$3:$N$62,12,0),"")</f>
        <v/>
      </c>
      <c r="J558" s="55" t="str">
        <f aca="false">IFERROR(VLOOKUP($A558,RA_result!$B$3:$N$62,13,0),"")</f>
        <v/>
      </c>
      <c r="K558" s="56"/>
      <c r="L558" s="56"/>
      <c r="M558" s="57" t="n">
        <f aca="false">G558</f>
        <v>0</v>
      </c>
      <c r="N558" s="54" t="n">
        <f aca="false">G558-M558</f>
        <v>0</v>
      </c>
      <c r="O558" s="55" t="str">
        <f aca="false">IFERROR(VLOOKUP($A558,RA_result!$B$3:$N$62,7,0),"")</f>
        <v/>
      </c>
      <c r="P558" s="52" t="str">
        <f aca="false">IFERROR(VLOOKUP($A558,RA_result!$B$3:$N$62,9,0),"")</f>
        <v/>
      </c>
      <c r="Q558" s="52" t="str">
        <f aca="false">IFERROR(VLOOKUP($A558,RA_result!$B$3:$N$62,10,0),"")</f>
        <v/>
      </c>
      <c r="R558" s="58" t="s">
        <v>55</v>
      </c>
      <c r="S558" s="59" t="str">
        <f aca="false">IFERROR(VLOOKUP($A558,RA_result!$B$3:$N$62,4,0),"")</f>
        <v/>
      </c>
      <c r="T558" s="60" t="s">
        <v>56</v>
      </c>
      <c r="U558" s="59" t="str">
        <f aca="false">IFERROR(IF(VLOOKUP($A558,RA_result!$B$3:$N$62,6,0)="",S558*T558,VLOOKUP($A558,RA_result!$B$3:$N$62,6,0)),"")</f>
        <v/>
      </c>
      <c r="V558" s="61" t="s">
        <v>56</v>
      </c>
      <c r="W558" s="62" t="n">
        <f aca="false">IFERROR((S558*30%)/V558,0)</f>
        <v>0</v>
      </c>
      <c r="X558" s="63" t="n">
        <f aca="false">IFERROR(N558/W558,0)</f>
        <v>0</v>
      </c>
      <c r="Y558" s="68"/>
      <c r="Z558" s="57"/>
      <c r="AA558" s="69" t="str">
        <f aca="false">IF(OR(U558="",Y558="",Z558=""),"",IF(AND(U558&gt;Y558,-U558&lt;Z558),"Ok","Not Ok"))</f>
        <v/>
      </c>
      <c r="AB558" s="70"/>
    </row>
    <row r="559" customFormat="false" ht="12.8" hidden="false" customHeight="false" outlineLevel="0" collapsed="false">
      <c r="A559" s="48" t="n">
        <f aca="false">TB_audited!A542</f>
        <v>0</v>
      </c>
      <c r="B559" s="49"/>
      <c r="C559" s="50"/>
      <c r="D559" s="51" t="n">
        <f aca="false">TB_audited!B542</f>
        <v>0</v>
      </c>
      <c r="E559" s="52" t="n">
        <f aca="false">TB_audited!C542</f>
        <v>0</v>
      </c>
      <c r="F559" s="53" t="n">
        <f aca="false">TB_audited!D542</f>
        <v>0</v>
      </c>
      <c r="G559" s="54" t="n">
        <f aca="false">IF($D$8="Interim",TB_audited!G542,TB_audited!E542)</f>
        <v>0</v>
      </c>
      <c r="H559" s="55" t="str">
        <f aca="false">IFERROR(VLOOKUP($A559,RA_result!$B$3:$N$62,11,0),"")</f>
        <v/>
      </c>
      <c r="I559" s="55" t="str">
        <f aca="false">IFERROR(VLOOKUP($A559,RA_result!$B$3:$N$62,12,0),"")</f>
        <v/>
      </c>
      <c r="J559" s="55" t="str">
        <f aca="false">IFERROR(VLOOKUP($A559,RA_result!$B$3:$N$62,13,0),"")</f>
        <v/>
      </c>
      <c r="K559" s="56"/>
      <c r="L559" s="56"/>
      <c r="M559" s="57" t="n">
        <f aca="false">G559</f>
        <v>0</v>
      </c>
      <c r="N559" s="54" t="n">
        <f aca="false">G559-M559</f>
        <v>0</v>
      </c>
      <c r="O559" s="55" t="str">
        <f aca="false">IFERROR(VLOOKUP($A559,RA_result!$B$3:$N$62,7,0),"")</f>
        <v/>
      </c>
      <c r="P559" s="52" t="str">
        <f aca="false">IFERROR(VLOOKUP($A559,RA_result!$B$3:$N$62,9,0),"")</f>
        <v/>
      </c>
      <c r="Q559" s="52" t="str">
        <f aca="false">IFERROR(VLOOKUP($A559,RA_result!$B$3:$N$62,10,0),"")</f>
        <v/>
      </c>
      <c r="R559" s="58" t="s">
        <v>55</v>
      </c>
      <c r="S559" s="59" t="str">
        <f aca="false">IFERROR(VLOOKUP($A559,RA_result!$B$3:$N$62,4,0),"")</f>
        <v/>
      </c>
      <c r="T559" s="60" t="s">
        <v>56</v>
      </c>
      <c r="U559" s="59" t="str">
        <f aca="false">IFERROR(IF(VLOOKUP($A559,RA_result!$B$3:$N$62,6,0)="",S559*T559,VLOOKUP($A559,RA_result!$B$3:$N$62,6,0)),"")</f>
        <v/>
      </c>
      <c r="V559" s="61" t="s">
        <v>56</v>
      </c>
      <c r="W559" s="62" t="n">
        <f aca="false">IFERROR((S559*30%)/V559,0)</f>
        <v>0</v>
      </c>
      <c r="X559" s="63" t="n">
        <f aca="false">IFERROR(N559/W559,0)</f>
        <v>0</v>
      </c>
      <c r="Y559" s="68"/>
      <c r="Z559" s="57"/>
      <c r="AA559" s="69" t="str">
        <f aca="false">IF(OR(U559="",Y559="",Z559=""),"",IF(AND(U559&gt;Y559,-U559&lt;Z559),"Ok","Not Ok"))</f>
        <v/>
      </c>
      <c r="AB559" s="70"/>
    </row>
    <row r="560" customFormat="false" ht="12.8" hidden="false" customHeight="false" outlineLevel="0" collapsed="false">
      <c r="A560" s="48" t="n">
        <f aca="false">TB_audited!A543</f>
        <v>0</v>
      </c>
      <c r="B560" s="49"/>
      <c r="C560" s="50"/>
      <c r="D560" s="51" t="n">
        <f aca="false">TB_audited!B543</f>
        <v>0</v>
      </c>
      <c r="E560" s="52" t="n">
        <f aca="false">TB_audited!C543</f>
        <v>0</v>
      </c>
      <c r="F560" s="53" t="n">
        <f aca="false">TB_audited!D543</f>
        <v>0</v>
      </c>
      <c r="G560" s="54" t="n">
        <f aca="false">IF($D$8="Interim",TB_audited!G543,TB_audited!E543)</f>
        <v>0</v>
      </c>
      <c r="H560" s="55" t="str">
        <f aca="false">IFERROR(VLOOKUP($A560,RA_result!$B$3:$N$62,11,0),"")</f>
        <v/>
      </c>
      <c r="I560" s="55" t="str">
        <f aca="false">IFERROR(VLOOKUP($A560,RA_result!$B$3:$N$62,12,0),"")</f>
        <v/>
      </c>
      <c r="J560" s="55" t="str">
        <f aca="false">IFERROR(VLOOKUP($A560,RA_result!$B$3:$N$62,13,0),"")</f>
        <v/>
      </c>
      <c r="K560" s="56"/>
      <c r="L560" s="56"/>
      <c r="M560" s="57" t="n">
        <f aca="false">G560</f>
        <v>0</v>
      </c>
      <c r="N560" s="54" t="n">
        <f aca="false">G560-M560</f>
        <v>0</v>
      </c>
      <c r="O560" s="55" t="str">
        <f aca="false">IFERROR(VLOOKUP($A560,RA_result!$B$3:$N$62,7,0),"")</f>
        <v/>
      </c>
      <c r="P560" s="52" t="str">
        <f aca="false">IFERROR(VLOOKUP($A560,RA_result!$B$3:$N$62,9,0),"")</f>
        <v/>
      </c>
      <c r="Q560" s="52" t="str">
        <f aca="false">IFERROR(VLOOKUP($A560,RA_result!$B$3:$N$62,10,0),"")</f>
        <v/>
      </c>
      <c r="R560" s="58" t="s">
        <v>55</v>
      </c>
      <c r="S560" s="59" t="str">
        <f aca="false">IFERROR(VLOOKUP($A560,RA_result!$B$3:$N$62,4,0),"")</f>
        <v/>
      </c>
      <c r="T560" s="60" t="s">
        <v>56</v>
      </c>
      <c r="U560" s="59" t="str">
        <f aca="false">IFERROR(IF(VLOOKUP($A560,RA_result!$B$3:$N$62,6,0)="",S560*T560,VLOOKUP($A560,RA_result!$B$3:$N$62,6,0)),"")</f>
        <v/>
      </c>
      <c r="V560" s="61" t="s">
        <v>56</v>
      </c>
      <c r="W560" s="62" t="n">
        <f aca="false">IFERROR((S560*30%)/V560,0)</f>
        <v>0</v>
      </c>
      <c r="X560" s="63" t="n">
        <f aca="false">IFERROR(N560/W560,0)</f>
        <v>0</v>
      </c>
      <c r="Y560" s="68"/>
      <c r="Z560" s="57"/>
      <c r="AA560" s="69" t="str">
        <f aca="false">IF(OR(U560="",Y560="",Z560=""),"",IF(AND(U560&gt;Y560,-U560&lt;Z560),"Ok","Not Ok"))</f>
        <v/>
      </c>
      <c r="AB560" s="70"/>
    </row>
    <row r="561" customFormat="false" ht="12.8" hidden="false" customHeight="false" outlineLevel="0" collapsed="false">
      <c r="A561" s="48" t="n">
        <f aca="false">TB_audited!A544</f>
        <v>0</v>
      </c>
      <c r="B561" s="49"/>
      <c r="C561" s="50"/>
      <c r="D561" s="51" t="n">
        <f aca="false">TB_audited!B544</f>
        <v>0</v>
      </c>
      <c r="E561" s="52" t="n">
        <f aca="false">TB_audited!C544</f>
        <v>0</v>
      </c>
      <c r="F561" s="53" t="n">
        <f aca="false">TB_audited!D544</f>
        <v>0</v>
      </c>
      <c r="G561" s="54" t="n">
        <f aca="false">IF($D$8="Interim",TB_audited!G544,TB_audited!E544)</f>
        <v>0</v>
      </c>
      <c r="H561" s="55" t="str">
        <f aca="false">IFERROR(VLOOKUP($A561,RA_result!$B$3:$N$62,11,0),"")</f>
        <v/>
      </c>
      <c r="I561" s="55" t="str">
        <f aca="false">IFERROR(VLOOKUP($A561,RA_result!$B$3:$N$62,12,0),"")</f>
        <v/>
      </c>
      <c r="J561" s="55" t="str">
        <f aca="false">IFERROR(VLOOKUP($A561,RA_result!$B$3:$N$62,13,0),"")</f>
        <v/>
      </c>
      <c r="K561" s="56"/>
      <c r="L561" s="56"/>
      <c r="M561" s="57" t="n">
        <f aca="false">G561</f>
        <v>0</v>
      </c>
      <c r="N561" s="54" t="n">
        <f aca="false">G561-M561</f>
        <v>0</v>
      </c>
      <c r="O561" s="55" t="str">
        <f aca="false">IFERROR(VLOOKUP($A561,RA_result!$B$3:$N$62,7,0),"")</f>
        <v/>
      </c>
      <c r="P561" s="52" t="str">
        <f aca="false">IFERROR(VLOOKUP($A561,RA_result!$B$3:$N$62,9,0),"")</f>
        <v/>
      </c>
      <c r="Q561" s="52" t="str">
        <f aca="false">IFERROR(VLOOKUP($A561,RA_result!$B$3:$N$62,10,0),"")</f>
        <v/>
      </c>
      <c r="R561" s="58" t="s">
        <v>55</v>
      </c>
      <c r="S561" s="59" t="str">
        <f aca="false">IFERROR(VLOOKUP($A561,RA_result!$B$3:$N$62,4,0),"")</f>
        <v/>
      </c>
      <c r="T561" s="60" t="s">
        <v>56</v>
      </c>
      <c r="U561" s="59" t="str">
        <f aca="false">IFERROR(IF(VLOOKUP($A561,RA_result!$B$3:$N$62,6,0)="",S561*T561,VLOOKUP($A561,RA_result!$B$3:$N$62,6,0)),"")</f>
        <v/>
      </c>
      <c r="V561" s="61" t="s">
        <v>56</v>
      </c>
      <c r="W561" s="62" t="n">
        <f aca="false">IFERROR((S561*30%)/V561,0)</f>
        <v>0</v>
      </c>
      <c r="X561" s="63" t="n">
        <f aca="false">IFERROR(N561/W561,0)</f>
        <v>0</v>
      </c>
      <c r="Y561" s="68"/>
      <c r="Z561" s="57"/>
      <c r="AA561" s="69" t="str">
        <f aca="false">IF(OR(U561="",Y561="",Z561=""),"",IF(AND(U561&gt;Y561,-U561&lt;Z561),"Ok","Not Ok"))</f>
        <v/>
      </c>
      <c r="AB561" s="70"/>
    </row>
    <row r="562" customFormat="false" ht="12.8" hidden="false" customHeight="false" outlineLevel="0" collapsed="false">
      <c r="A562" s="48" t="n">
        <f aca="false">TB_audited!A545</f>
        <v>0</v>
      </c>
      <c r="B562" s="49"/>
      <c r="C562" s="50"/>
      <c r="D562" s="51" t="n">
        <f aca="false">TB_audited!B545</f>
        <v>0</v>
      </c>
      <c r="E562" s="52" t="n">
        <f aca="false">TB_audited!C545</f>
        <v>0</v>
      </c>
      <c r="F562" s="53" t="n">
        <f aca="false">TB_audited!D545</f>
        <v>0</v>
      </c>
      <c r="G562" s="54" t="n">
        <f aca="false">IF($D$8="Interim",TB_audited!G545,TB_audited!E545)</f>
        <v>0</v>
      </c>
      <c r="H562" s="55" t="str">
        <f aca="false">IFERROR(VLOOKUP($A562,RA_result!$B$3:$N$62,11,0),"")</f>
        <v/>
      </c>
      <c r="I562" s="55" t="str">
        <f aca="false">IFERROR(VLOOKUP($A562,RA_result!$B$3:$N$62,12,0),"")</f>
        <v/>
      </c>
      <c r="J562" s="55" t="str">
        <f aca="false">IFERROR(VLOOKUP($A562,RA_result!$B$3:$N$62,13,0),"")</f>
        <v/>
      </c>
      <c r="K562" s="56"/>
      <c r="L562" s="56"/>
      <c r="M562" s="57" t="n">
        <f aca="false">G562</f>
        <v>0</v>
      </c>
      <c r="N562" s="54" t="n">
        <f aca="false">G562-M562</f>
        <v>0</v>
      </c>
      <c r="O562" s="55" t="str">
        <f aca="false">IFERROR(VLOOKUP($A562,RA_result!$B$3:$N$62,7,0),"")</f>
        <v/>
      </c>
      <c r="P562" s="52" t="str">
        <f aca="false">IFERROR(VLOOKUP($A562,RA_result!$B$3:$N$62,9,0),"")</f>
        <v/>
      </c>
      <c r="Q562" s="52" t="str">
        <f aca="false">IFERROR(VLOOKUP($A562,RA_result!$B$3:$N$62,10,0),"")</f>
        <v/>
      </c>
      <c r="R562" s="58" t="s">
        <v>55</v>
      </c>
      <c r="S562" s="59" t="str">
        <f aca="false">IFERROR(VLOOKUP($A562,RA_result!$B$3:$N$62,4,0),"")</f>
        <v/>
      </c>
      <c r="T562" s="60" t="s">
        <v>56</v>
      </c>
      <c r="U562" s="59" t="str">
        <f aca="false">IFERROR(IF(VLOOKUP($A562,RA_result!$B$3:$N$62,6,0)="",S562*T562,VLOOKUP($A562,RA_result!$B$3:$N$62,6,0)),"")</f>
        <v/>
      </c>
      <c r="V562" s="61" t="s">
        <v>56</v>
      </c>
      <c r="W562" s="62" t="n">
        <f aca="false">IFERROR((S562*30%)/V562,0)</f>
        <v>0</v>
      </c>
      <c r="X562" s="63" t="n">
        <f aca="false">IFERROR(N562/W562,0)</f>
        <v>0</v>
      </c>
      <c r="Y562" s="68"/>
      <c r="Z562" s="57"/>
      <c r="AA562" s="69" t="str">
        <f aca="false">IF(OR(U562="",Y562="",Z562=""),"",IF(AND(U562&gt;Y562,-U562&lt;Z562),"Ok","Not Ok"))</f>
        <v/>
      </c>
      <c r="AB562" s="70"/>
    </row>
    <row r="563" customFormat="false" ht="12.8" hidden="false" customHeight="false" outlineLevel="0" collapsed="false">
      <c r="A563" s="48" t="n">
        <f aca="false">TB_audited!A546</f>
        <v>0</v>
      </c>
      <c r="B563" s="49"/>
      <c r="C563" s="50"/>
      <c r="D563" s="51" t="n">
        <f aca="false">TB_audited!B546</f>
        <v>0</v>
      </c>
      <c r="E563" s="52" t="n">
        <f aca="false">TB_audited!C546</f>
        <v>0</v>
      </c>
      <c r="F563" s="53" t="n">
        <f aca="false">TB_audited!D546</f>
        <v>0</v>
      </c>
      <c r="G563" s="54" t="n">
        <f aca="false">IF($D$8="Interim",TB_audited!G546,TB_audited!E546)</f>
        <v>0</v>
      </c>
      <c r="H563" s="55" t="str">
        <f aca="false">IFERROR(VLOOKUP($A563,RA_result!$B$3:$N$62,11,0),"")</f>
        <v/>
      </c>
      <c r="I563" s="55" t="str">
        <f aca="false">IFERROR(VLOOKUP($A563,RA_result!$B$3:$N$62,12,0),"")</f>
        <v/>
      </c>
      <c r="J563" s="55" t="str">
        <f aca="false">IFERROR(VLOOKUP($A563,RA_result!$B$3:$N$62,13,0),"")</f>
        <v/>
      </c>
      <c r="K563" s="56"/>
      <c r="L563" s="56"/>
      <c r="M563" s="57" t="n">
        <f aca="false">G563</f>
        <v>0</v>
      </c>
      <c r="N563" s="54" t="n">
        <f aca="false">G563-M563</f>
        <v>0</v>
      </c>
      <c r="O563" s="55" t="str">
        <f aca="false">IFERROR(VLOOKUP($A563,RA_result!$B$3:$N$62,7,0),"")</f>
        <v/>
      </c>
      <c r="P563" s="52" t="str">
        <f aca="false">IFERROR(VLOOKUP($A563,RA_result!$B$3:$N$62,9,0),"")</f>
        <v/>
      </c>
      <c r="Q563" s="52" t="str">
        <f aca="false">IFERROR(VLOOKUP($A563,RA_result!$B$3:$N$62,10,0),"")</f>
        <v/>
      </c>
      <c r="R563" s="58" t="s">
        <v>55</v>
      </c>
      <c r="S563" s="59" t="str">
        <f aca="false">IFERROR(VLOOKUP($A563,RA_result!$B$3:$N$62,4,0),"")</f>
        <v/>
      </c>
      <c r="T563" s="60" t="s">
        <v>56</v>
      </c>
      <c r="U563" s="59" t="str">
        <f aca="false">IFERROR(IF(VLOOKUP($A563,RA_result!$B$3:$N$62,6,0)="",S563*T563,VLOOKUP($A563,RA_result!$B$3:$N$62,6,0)),"")</f>
        <v/>
      </c>
      <c r="V563" s="61" t="s">
        <v>56</v>
      </c>
      <c r="W563" s="62" t="n">
        <f aca="false">IFERROR((S563*30%)/V563,0)</f>
        <v>0</v>
      </c>
      <c r="X563" s="63" t="n">
        <f aca="false">IFERROR(N563/W563,0)</f>
        <v>0</v>
      </c>
      <c r="Y563" s="68"/>
      <c r="Z563" s="57"/>
      <c r="AA563" s="69" t="str">
        <f aca="false">IF(OR(U563="",Y563="",Z563=""),"",IF(AND(U563&gt;Y563,-U563&lt;Z563),"Ok","Not Ok"))</f>
        <v/>
      </c>
      <c r="AB563" s="70"/>
    </row>
    <row r="564" customFormat="false" ht="12.8" hidden="false" customHeight="false" outlineLevel="0" collapsed="false">
      <c r="A564" s="48" t="n">
        <f aca="false">TB_audited!A547</f>
        <v>0</v>
      </c>
      <c r="B564" s="49"/>
      <c r="C564" s="50"/>
      <c r="D564" s="51" t="n">
        <f aca="false">TB_audited!B547</f>
        <v>0</v>
      </c>
      <c r="E564" s="52" t="n">
        <f aca="false">TB_audited!C547</f>
        <v>0</v>
      </c>
      <c r="F564" s="53" t="n">
        <f aca="false">TB_audited!D547</f>
        <v>0</v>
      </c>
      <c r="G564" s="54" t="n">
        <f aca="false">IF($D$8="Interim",TB_audited!G547,TB_audited!E547)</f>
        <v>0</v>
      </c>
      <c r="H564" s="55" t="str">
        <f aca="false">IFERROR(VLOOKUP($A564,RA_result!$B$3:$N$62,11,0),"")</f>
        <v/>
      </c>
      <c r="I564" s="55" t="str">
        <f aca="false">IFERROR(VLOOKUP($A564,RA_result!$B$3:$N$62,12,0),"")</f>
        <v/>
      </c>
      <c r="J564" s="55" t="str">
        <f aca="false">IFERROR(VLOOKUP($A564,RA_result!$B$3:$N$62,13,0),"")</f>
        <v/>
      </c>
      <c r="K564" s="56"/>
      <c r="L564" s="56"/>
      <c r="M564" s="57" t="n">
        <f aca="false">G564</f>
        <v>0</v>
      </c>
      <c r="N564" s="54" t="n">
        <f aca="false">G564-M564</f>
        <v>0</v>
      </c>
      <c r="O564" s="55" t="str">
        <f aca="false">IFERROR(VLOOKUP($A564,RA_result!$B$3:$N$62,7,0),"")</f>
        <v/>
      </c>
      <c r="P564" s="52" t="str">
        <f aca="false">IFERROR(VLOOKUP($A564,RA_result!$B$3:$N$62,9,0),"")</f>
        <v/>
      </c>
      <c r="Q564" s="52" t="str">
        <f aca="false">IFERROR(VLOOKUP($A564,RA_result!$B$3:$N$62,10,0),"")</f>
        <v/>
      </c>
      <c r="R564" s="58" t="s">
        <v>55</v>
      </c>
      <c r="S564" s="59" t="str">
        <f aca="false">IFERROR(VLOOKUP($A564,RA_result!$B$3:$N$62,4,0),"")</f>
        <v/>
      </c>
      <c r="T564" s="60" t="s">
        <v>56</v>
      </c>
      <c r="U564" s="59" t="str">
        <f aca="false">IFERROR(IF(VLOOKUP($A564,RA_result!$B$3:$N$62,6,0)="",S564*T564,VLOOKUP($A564,RA_result!$B$3:$N$62,6,0)),"")</f>
        <v/>
      </c>
      <c r="V564" s="61" t="s">
        <v>56</v>
      </c>
      <c r="W564" s="62" t="n">
        <f aca="false">IFERROR((S564*30%)/V564,0)</f>
        <v>0</v>
      </c>
      <c r="X564" s="63" t="n">
        <f aca="false">IFERROR(N564/W564,0)</f>
        <v>0</v>
      </c>
      <c r="Y564" s="68"/>
      <c r="Z564" s="57"/>
      <c r="AA564" s="69" t="str">
        <f aca="false">IF(OR(U564="",Y564="",Z564=""),"",IF(AND(U564&gt;Y564,-U564&lt;Z564),"Ok","Not Ok"))</f>
        <v/>
      </c>
      <c r="AB564" s="70"/>
    </row>
    <row r="565" customFormat="false" ht="12.8" hidden="false" customHeight="false" outlineLevel="0" collapsed="false">
      <c r="A565" s="48" t="n">
        <f aca="false">TB_audited!A548</f>
        <v>0</v>
      </c>
      <c r="B565" s="49"/>
      <c r="C565" s="50"/>
      <c r="D565" s="51" t="n">
        <f aca="false">TB_audited!B548</f>
        <v>0</v>
      </c>
      <c r="E565" s="52" t="n">
        <f aca="false">TB_audited!C548</f>
        <v>0</v>
      </c>
      <c r="F565" s="53" t="n">
        <f aca="false">TB_audited!D548</f>
        <v>0</v>
      </c>
      <c r="G565" s="54" t="n">
        <f aca="false">IF($D$8="Interim",TB_audited!G548,TB_audited!E548)</f>
        <v>0</v>
      </c>
      <c r="H565" s="55" t="str">
        <f aca="false">IFERROR(VLOOKUP($A565,RA_result!$B$3:$N$62,11,0),"")</f>
        <v/>
      </c>
      <c r="I565" s="55" t="str">
        <f aca="false">IFERROR(VLOOKUP($A565,RA_result!$B$3:$N$62,12,0),"")</f>
        <v/>
      </c>
      <c r="J565" s="55" t="str">
        <f aca="false">IFERROR(VLOOKUP($A565,RA_result!$B$3:$N$62,13,0),"")</f>
        <v/>
      </c>
      <c r="K565" s="56"/>
      <c r="L565" s="56"/>
      <c r="M565" s="57" t="n">
        <f aca="false">G565</f>
        <v>0</v>
      </c>
      <c r="N565" s="54" t="n">
        <f aca="false">G565-M565</f>
        <v>0</v>
      </c>
      <c r="O565" s="55" t="str">
        <f aca="false">IFERROR(VLOOKUP($A565,RA_result!$B$3:$N$62,7,0),"")</f>
        <v/>
      </c>
      <c r="P565" s="52" t="str">
        <f aca="false">IFERROR(VLOOKUP($A565,RA_result!$B$3:$N$62,9,0),"")</f>
        <v/>
      </c>
      <c r="Q565" s="52" t="str">
        <f aca="false">IFERROR(VLOOKUP($A565,RA_result!$B$3:$N$62,10,0),"")</f>
        <v/>
      </c>
      <c r="R565" s="58" t="s">
        <v>55</v>
      </c>
      <c r="S565" s="59" t="str">
        <f aca="false">IFERROR(VLOOKUP($A565,RA_result!$B$3:$N$62,4,0),"")</f>
        <v/>
      </c>
      <c r="T565" s="60" t="s">
        <v>56</v>
      </c>
      <c r="U565" s="59" t="str">
        <f aca="false">IFERROR(IF(VLOOKUP($A565,RA_result!$B$3:$N$62,6,0)="",S565*T565,VLOOKUP($A565,RA_result!$B$3:$N$62,6,0)),"")</f>
        <v/>
      </c>
      <c r="V565" s="61" t="s">
        <v>56</v>
      </c>
      <c r="W565" s="62" t="n">
        <f aca="false">IFERROR((S565*30%)/V565,0)</f>
        <v>0</v>
      </c>
      <c r="X565" s="63" t="n">
        <f aca="false">IFERROR(N565/W565,0)</f>
        <v>0</v>
      </c>
      <c r="Y565" s="68"/>
      <c r="Z565" s="57"/>
      <c r="AA565" s="69" t="str">
        <f aca="false">IF(OR(U565="",Y565="",Z565=""),"",IF(AND(U565&gt;Y565,-U565&lt;Z565),"Ok","Not Ok"))</f>
        <v/>
      </c>
      <c r="AB565" s="70"/>
    </row>
    <row r="566" customFormat="false" ht="12.8" hidden="false" customHeight="false" outlineLevel="0" collapsed="false">
      <c r="A566" s="48" t="n">
        <f aca="false">TB_audited!A549</f>
        <v>0</v>
      </c>
      <c r="B566" s="49"/>
      <c r="C566" s="50"/>
      <c r="D566" s="51" t="n">
        <f aca="false">TB_audited!B549</f>
        <v>0</v>
      </c>
      <c r="E566" s="52" t="n">
        <f aca="false">TB_audited!C549</f>
        <v>0</v>
      </c>
      <c r="F566" s="53" t="n">
        <f aca="false">TB_audited!D549</f>
        <v>0</v>
      </c>
      <c r="G566" s="54" t="n">
        <f aca="false">IF($D$8="Interim",TB_audited!G549,TB_audited!E549)</f>
        <v>0</v>
      </c>
      <c r="H566" s="55" t="str">
        <f aca="false">IFERROR(VLOOKUP($A566,RA_result!$B$3:$N$62,11,0),"")</f>
        <v/>
      </c>
      <c r="I566" s="55" t="str">
        <f aca="false">IFERROR(VLOOKUP($A566,RA_result!$B$3:$N$62,12,0),"")</f>
        <v/>
      </c>
      <c r="J566" s="55" t="str">
        <f aca="false">IFERROR(VLOOKUP($A566,RA_result!$B$3:$N$62,13,0),"")</f>
        <v/>
      </c>
      <c r="K566" s="56"/>
      <c r="L566" s="56"/>
      <c r="M566" s="57" t="n">
        <f aca="false">G566</f>
        <v>0</v>
      </c>
      <c r="N566" s="54" t="n">
        <f aca="false">G566-M566</f>
        <v>0</v>
      </c>
      <c r="O566" s="55" t="str">
        <f aca="false">IFERROR(VLOOKUP($A566,RA_result!$B$3:$N$62,7,0),"")</f>
        <v/>
      </c>
      <c r="P566" s="52" t="str">
        <f aca="false">IFERROR(VLOOKUP($A566,RA_result!$B$3:$N$62,9,0),"")</f>
        <v/>
      </c>
      <c r="Q566" s="52" t="str">
        <f aca="false">IFERROR(VLOOKUP($A566,RA_result!$B$3:$N$62,10,0),"")</f>
        <v/>
      </c>
      <c r="R566" s="58" t="s">
        <v>55</v>
      </c>
      <c r="S566" s="59" t="str">
        <f aca="false">IFERROR(VLOOKUP($A566,RA_result!$B$3:$N$62,4,0),"")</f>
        <v/>
      </c>
      <c r="T566" s="60" t="s">
        <v>56</v>
      </c>
      <c r="U566" s="59" t="str">
        <f aca="false">IFERROR(IF(VLOOKUP($A566,RA_result!$B$3:$N$62,6,0)="",S566*T566,VLOOKUP($A566,RA_result!$B$3:$N$62,6,0)),"")</f>
        <v/>
      </c>
      <c r="V566" s="61" t="s">
        <v>56</v>
      </c>
      <c r="W566" s="62" t="n">
        <f aca="false">IFERROR((S566*30%)/V566,0)</f>
        <v>0</v>
      </c>
      <c r="X566" s="63" t="n">
        <f aca="false">IFERROR(N566/W566,0)</f>
        <v>0</v>
      </c>
      <c r="Y566" s="68"/>
      <c r="Z566" s="57"/>
      <c r="AA566" s="69" t="str">
        <f aca="false">IF(OR(U566="",Y566="",Z566=""),"",IF(AND(U566&gt;Y566,-U566&lt;Z566),"Ok","Not Ok"))</f>
        <v/>
      </c>
      <c r="AB566" s="70"/>
    </row>
    <row r="567" customFormat="false" ht="12.8" hidden="false" customHeight="false" outlineLevel="0" collapsed="false">
      <c r="A567" s="48" t="n">
        <f aca="false">TB_audited!A550</f>
        <v>0</v>
      </c>
      <c r="B567" s="49"/>
      <c r="C567" s="50"/>
      <c r="D567" s="51" t="n">
        <f aca="false">TB_audited!B550</f>
        <v>0</v>
      </c>
      <c r="E567" s="52" t="n">
        <f aca="false">TB_audited!C550</f>
        <v>0</v>
      </c>
      <c r="F567" s="53" t="n">
        <f aca="false">TB_audited!D550</f>
        <v>0</v>
      </c>
      <c r="G567" s="54" t="n">
        <f aca="false">IF($D$8="Interim",TB_audited!G550,TB_audited!E550)</f>
        <v>0</v>
      </c>
      <c r="H567" s="55" t="str">
        <f aca="false">IFERROR(VLOOKUP($A567,RA_result!$B$3:$N$62,11,0),"")</f>
        <v/>
      </c>
      <c r="I567" s="55" t="str">
        <f aca="false">IFERROR(VLOOKUP($A567,RA_result!$B$3:$N$62,12,0),"")</f>
        <v/>
      </c>
      <c r="J567" s="55" t="str">
        <f aca="false">IFERROR(VLOOKUP($A567,RA_result!$B$3:$N$62,13,0),"")</f>
        <v/>
      </c>
      <c r="K567" s="56"/>
      <c r="L567" s="56"/>
      <c r="M567" s="57" t="n">
        <f aca="false">G567</f>
        <v>0</v>
      </c>
      <c r="N567" s="54" t="n">
        <f aca="false">G567-M567</f>
        <v>0</v>
      </c>
      <c r="O567" s="55" t="str">
        <f aca="false">IFERROR(VLOOKUP($A567,RA_result!$B$3:$N$62,7,0),"")</f>
        <v/>
      </c>
      <c r="P567" s="52" t="str">
        <f aca="false">IFERROR(VLOOKUP($A567,RA_result!$B$3:$N$62,9,0),"")</f>
        <v/>
      </c>
      <c r="Q567" s="52" t="str">
        <f aca="false">IFERROR(VLOOKUP($A567,RA_result!$B$3:$N$62,10,0),"")</f>
        <v/>
      </c>
      <c r="R567" s="58" t="s">
        <v>55</v>
      </c>
      <c r="S567" s="59" t="str">
        <f aca="false">IFERROR(VLOOKUP($A567,RA_result!$B$3:$N$62,4,0),"")</f>
        <v/>
      </c>
      <c r="T567" s="60" t="s">
        <v>56</v>
      </c>
      <c r="U567" s="59" t="str">
        <f aca="false">IFERROR(IF(VLOOKUP($A567,RA_result!$B$3:$N$62,6,0)="",S567*T567,VLOOKUP($A567,RA_result!$B$3:$N$62,6,0)),"")</f>
        <v/>
      </c>
      <c r="V567" s="61" t="s">
        <v>56</v>
      </c>
      <c r="W567" s="62" t="n">
        <f aca="false">IFERROR((S567*30%)/V567,0)</f>
        <v>0</v>
      </c>
      <c r="X567" s="63" t="n">
        <f aca="false">IFERROR(N567/W567,0)</f>
        <v>0</v>
      </c>
      <c r="Y567" s="68"/>
      <c r="Z567" s="57"/>
      <c r="AA567" s="69" t="str">
        <f aca="false">IF(OR(U567="",Y567="",Z567=""),"",IF(AND(U567&gt;Y567,-U567&lt;Z567),"Ok","Not Ok"))</f>
        <v/>
      </c>
      <c r="AB567" s="70"/>
    </row>
    <row r="568" customFormat="false" ht="12.8" hidden="false" customHeight="false" outlineLevel="0" collapsed="false">
      <c r="A568" s="48" t="n">
        <f aca="false">TB_audited!A551</f>
        <v>0</v>
      </c>
      <c r="B568" s="49"/>
      <c r="C568" s="50"/>
      <c r="D568" s="51" t="n">
        <f aca="false">TB_audited!B551</f>
        <v>0</v>
      </c>
      <c r="E568" s="52" t="n">
        <f aca="false">TB_audited!C551</f>
        <v>0</v>
      </c>
      <c r="F568" s="53" t="n">
        <f aca="false">TB_audited!D551</f>
        <v>0</v>
      </c>
      <c r="G568" s="54" t="n">
        <f aca="false">IF($D$8="Interim",TB_audited!G551,TB_audited!E551)</f>
        <v>0</v>
      </c>
      <c r="H568" s="55" t="str">
        <f aca="false">IFERROR(VLOOKUP($A568,RA_result!$B$3:$N$62,11,0),"")</f>
        <v/>
      </c>
      <c r="I568" s="55" t="str">
        <f aca="false">IFERROR(VLOOKUP($A568,RA_result!$B$3:$N$62,12,0),"")</f>
        <v/>
      </c>
      <c r="J568" s="55" t="str">
        <f aca="false">IFERROR(VLOOKUP($A568,RA_result!$B$3:$N$62,13,0),"")</f>
        <v/>
      </c>
      <c r="K568" s="56"/>
      <c r="L568" s="56"/>
      <c r="M568" s="57" t="n">
        <f aca="false">G568</f>
        <v>0</v>
      </c>
      <c r="N568" s="54" t="n">
        <f aca="false">G568-M568</f>
        <v>0</v>
      </c>
      <c r="O568" s="55" t="str">
        <f aca="false">IFERROR(VLOOKUP($A568,RA_result!$B$3:$N$62,7,0),"")</f>
        <v/>
      </c>
      <c r="P568" s="52" t="str">
        <f aca="false">IFERROR(VLOOKUP($A568,RA_result!$B$3:$N$62,9,0),"")</f>
        <v/>
      </c>
      <c r="Q568" s="52" t="str">
        <f aca="false">IFERROR(VLOOKUP($A568,RA_result!$B$3:$N$62,10,0),"")</f>
        <v/>
      </c>
      <c r="R568" s="58" t="s">
        <v>55</v>
      </c>
      <c r="S568" s="59" t="str">
        <f aca="false">IFERROR(VLOOKUP($A568,RA_result!$B$3:$N$62,4,0),"")</f>
        <v/>
      </c>
      <c r="T568" s="60" t="s">
        <v>56</v>
      </c>
      <c r="U568" s="59" t="str">
        <f aca="false">IFERROR(IF(VLOOKUP($A568,RA_result!$B$3:$N$62,6,0)="",S568*T568,VLOOKUP($A568,RA_result!$B$3:$N$62,6,0)),"")</f>
        <v/>
      </c>
      <c r="V568" s="61" t="s">
        <v>56</v>
      </c>
      <c r="W568" s="62" t="n">
        <f aca="false">IFERROR((S568*30%)/V568,0)</f>
        <v>0</v>
      </c>
      <c r="X568" s="63" t="n">
        <f aca="false">IFERROR(N568/W568,0)</f>
        <v>0</v>
      </c>
      <c r="Y568" s="68"/>
      <c r="Z568" s="57"/>
      <c r="AA568" s="69" t="str">
        <f aca="false">IF(OR(U568="",Y568="",Z568=""),"",IF(AND(U568&gt;Y568,-U568&lt;Z568),"Ok","Not Ok"))</f>
        <v/>
      </c>
      <c r="AB568" s="70"/>
    </row>
    <row r="569" customFormat="false" ht="12.8" hidden="false" customHeight="false" outlineLevel="0" collapsed="false">
      <c r="A569" s="48" t="n">
        <f aca="false">TB_audited!A552</f>
        <v>0</v>
      </c>
      <c r="B569" s="49"/>
      <c r="C569" s="50"/>
      <c r="D569" s="51" t="n">
        <f aca="false">TB_audited!B552</f>
        <v>0</v>
      </c>
      <c r="E569" s="52" t="n">
        <f aca="false">TB_audited!C552</f>
        <v>0</v>
      </c>
      <c r="F569" s="53" t="n">
        <f aca="false">TB_audited!D552</f>
        <v>0</v>
      </c>
      <c r="G569" s="54" t="n">
        <f aca="false">IF($D$8="Interim",TB_audited!G552,TB_audited!E552)</f>
        <v>0</v>
      </c>
      <c r="H569" s="55" t="str">
        <f aca="false">IFERROR(VLOOKUP($A569,RA_result!$B$3:$N$62,11,0),"")</f>
        <v/>
      </c>
      <c r="I569" s="55" t="str">
        <f aca="false">IFERROR(VLOOKUP($A569,RA_result!$B$3:$N$62,12,0),"")</f>
        <v/>
      </c>
      <c r="J569" s="55" t="str">
        <f aca="false">IFERROR(VLOOKUP($A569,RA_result!$B$3:$N$62,13,0),"")</f>
        <v/>
      </c>
      <c r="K569" s="56"/>
      <c r="L569" s="56"/>
      <c r="M569" s="57" t="n">
        <f aca="false">G569</f>
        <v>0</v>
      </c>
      <c r="N569" s="54" t="n">
        <f aca="false">G569-M569</f>
        <v>0</v>
      </c>
      <c r="O569" s="55" t="str">
        <f aca="false">IFERROR(VLOOKUP($A569,RA_result!$B$3:$N$62,7,0),"")</f>
        <v/>
      </c>
      <c r="P569" s="52" t="str">
        <f aca="false">IFERROR(VLOOKUP($A569,RA_result!$B$3:$N$62,9,0),"")</f>
        <v/>
      </c>
      <c r="Q569" s="52" t="str">
        <f aca="false">IFERROR(VLOOKUP($A569,RA_result!$B$3:$N$62,10,0),"")</f>
        <v/>
      </c>
      <c r="R569" s="58" t="s">
        <v>55</v>
      </c>
      <c r="S569" s="59" t="str">
        <f aca="false">IFERROR(VLOOKUP($A569,RA_result!$B$3:$N$62,4,0),"")</f>
        <v/>
      </c>
      <c r="T569" s="60" t="s">
        <v>56</v>
      </c>
      <c r="U569" s="59" t="str">
        <f aca="false">IFERROR(IF(VLOOKUP($A569,RA_result!$B$3:$N$62,6,0)="",S569*T569,VLOOKUP($A569,RA_result!$B$3:$N$62,6,0)),"")</f>
        <v/>
      </c>
      <c r="V569" s="61" t="s">
        <v>56</v>
      </c>
      <c r="W569" s="62" t="n">
        <f aca="false">IFERROR((S569*30%)/V569,0)</f>
        <v>0</v>
      </c>
      <c r="X569" s="63" t="n">
        <f aca="false">IFERROR(N569/W569,0)</f>
        <v>0</v>
      </c>
      <c r="Y569" s="68"/>
      <c r="Z569" s="57"/>
      <c r="AA569" s="69" t="str">
        <f aca="false">IF(OR(U569="",Y569="",Z569=""),"",IF(AND(U569&gt;Y569,-U569&lt;Z569),"Ok","Not Ok"))</f>
        <v/>
      </c>
      <c r="AB569" s="70"/>
    </row>
    <row r="570" customFormat="false" ht="12.8" hidden="false" customHeight="false" outlineLevel="0" collapsed="false">
      <c r="A570" s="48" t="n">
        <f aca="false">TB_audited!A553</f>
        <v>0</v>
      </c>
      <c r="B570" s="49"/>
      <c r="C570" s="50"/>
      <c r="D570" s="51" t="n">
        <f aca="false">TB_audited!B553</f>
        <v>0</v>
      </c>
      <c r="E570" s="52" t="n">
        <f aca="false">TB_audited!C553</f>
        <v>0</v>
      </c>
      <c r="F570" s="53" t="n">
        <f aca="false">TB_audited!D553</f>
        <v>0</v>
      </c>
      <c r="G570" s="54" t="n">
        <f aca="false">IF($D$8="Interim",TB_audited!G553,TB_audited!E553)</f>
        <v>0</v>
      </c>
      <c r="H570" s="55" t="str">
        <f aca="false">IFERROR(VLOOKUP($A570,RA_result!$B$3:$N$62,11,0),"")</f>
        <v/>
      </c>
      <c r="I570" s="55" t="str">
        <f aca="false">IFERROR(VLOOKUP($A570,RA_result!$B$3:$N$62,12,0),"")</f>
        <v/>
      </c>
      <c r="J570" s="55" t="str">
        <f aca="false">IFERROR(VLOOKUP($A570,RA_result!$B$3:$N$62,13,0),"")</f>
        <v/>
      </c>
      <c r="K570" s="56"/>
      <c r="L570" s="56"/>
      <c r="M570" s="57" t="n">
        <f aca="false">G570</f>
        <v>0</v>
      </c>
      <c r="N570" s="54" t="n">
        <f aca="false">G570-M570</f>
        <v>0</v>
      </c>
      <c r="O570" s="55" t="str">
        <f aca="false">IFERROR(VLOOKUP($A570,RA_result!$B$3:$N$62,7,0),"")</f>
        <v/>
      </c>
      <c r="P570" s="52" t="str">
        <f aca="false">IFERROR(VLOOKUP($A570,RA_result!$B$3:$N$62,9,0),"")</f>
        <v/>
      </c>
      <c r="Q570" s="52" t="str">
        <f aca="false">IFERROR(VLOOKUP($A570,RA_result!$B$3:$N$62,10,0),"")</f>
        <v/>
      </c>
      <c r="R570" s="58" t="s">
        <v>55</v>
      </c>
      <c r="S570" s="59" t="str">
        <f aca="false">IFERROR(VLOOKUP($A570,RA_result!$B$3:$N$62,4,0),"")</f>
        <v/>
      </c>
      <c r="T570" s="60" t="s">
        <v>56</v>
      </c>
      <c r="U570" s="59" t="str">
        <f aca="false">IFERROR(IF(VLOOKUP($A570,RA_result!$B$3:$N$62,6,0)="",S570*T570,VLOOKUP($A570,RA_result!$B$3:$N$62,6,0)),"")</f>
        <v/>
      </c>
      <c r="V570" s="61" t="s">
        <v>56</v>
      </c>
      <c r="W570" s="62" t="n">
        <f aca="false">IFERROR((S570*30%)/V570,0)</f>
        <v>0</v>
      </c>
      <c r="X570" s="63" t="n">
        <f aca="false">IFERROR(N570/W570,0)</f>
        <v>0</v>
      </c>
      <c r="Y570" s="68"/>
      <c r="Z570" s="57"/>
      <c r="AA570" s="69" t="str">
        <f aca="false">IF(OR(U570="",Y570="",Z570=""),"",IF(AND(U570&gt;Y570,-U570&lt;Z570),"Ok","Not Ok"))</f>
        <v/>
      </c>
      <c r="AB570" s="70"/>
    </row>
    <row r="571" customFormat="false" ht="12.8" hidden="false" customHeight="false" outlineLevel="0" collapsed="false">
      <c r="A571" s="48" t="n">
        <f aca="false">TB_audited!A554</f>
        <v>0</v>
      </c>
      <c r="B571" s="49"/>
      <c r="C571" s="50"/>
      <c r="D571" s="51" t="n">
        <f aca="false">TB_audited!B554</f>
        <v>0</v>
      </c>
      <c r="E571" s="52" t="n">
        <f aca="false">TB_audited!C554</f>
        <v>0</v>
      </c>
      <c r="F571" s="53" t="n">
        <f aca="false">TB_audited!D554</f>
        <v>0</v>
      </c>
      <c r="G571" s="54" t="n">
        <f aca="false">IF($D$8="Interim",TB_audited!G554,TB_audited!E554)</f>
        <v>0</v>
      </c>
      <c r="H571" s="55" t="str">
        <f aca="false">IFERROR(VLOOKUP($A571,RA_result!$B$3:$N$62,11,0),"")</f>
        <v/>
      </c>
      <c r="I571" s="55" t="str">
        <f aca="false">IFERROR(VLOOKUP($A571,RA_result!$B$3:$N$62,12,0),"")</f>
        <v/>
      </c>
      <c r="J571" s="55" t="str">
        <f aca="false">IFERROR(VLOOKUP($A571,RA_result!$B$3:$N$62,13,0),"")</f>
        <v/>
      </c>
      <c r="K571" s="56"/>
      <c r="L571" s="56"/>
      <c r="M571" s="57" t="n">
        <f aca="false">G571</f>
        <v>0</v>
      </c>
      <c r="N571" s="54" t="n">
        <f aca="false">G571-M571</f>
        <v>0</v>
      </c>
      <c r="O571" s="55" t="str">
        <f aca="false">IFERROR(VLOOKUP($A571,RA_result!$B$3:$N$62,7,0),"")</f>
        <v/>
      </c>
      <c r="P571" s="52" t="str">
        <f aca="false">IFERROR(VLOOKUP($A571,RA_result!$B$3:$N$62,9,0),"")</f>
        <v/>
      </c>
      <c r="Q571" s="52" t="str">
        <f aca="false">IFERROR(VLOOKUP($A571,RA_result!$B$3:$N$62,10,0),"")</f>
        <v/>
      </c>
      <c r="R571" s="58" t="s">
        <v>55</v>
      </c>
      <c r="S571" s="59" t="str">
        <f aca="false">IFERROR(VLOOKUP($A571,RA_result!$B$3:$N$62,4,0),"")</f>
        <v/>
      </c>
      <c r="T571" s="60" t="s">
        <v>56</v>
      </c>
      <c r="U571" s="59" t="str">
        <f aca="false">IFERROR(IF(VLOOKUP($A571,RA_result!$B$3:$N$62,6,0)="",S571*T571,VLOOKUP($A571,RA_result!$B$3:$N$62,6,0)),"")</f>
        <v/>
      </c>
      <c r="V571" s="61" t="s">
        <v>56</v>
      </c>
      <c r="W571" s="62" t="n">
        <f aca="false">IFERROR((S571*30%)/V571,0)</f>
        <v>0</v>
      </c>
      <c r="X571" s="63" t="n">
        <f aca="false">IFERROR(N571/W571,0)</f>
        <v>0</v>
      </c>
      <c r="Y571" s="68"/>
      <c r="Z571" s="57"/>
      <c r="AA571" s="69" t="str">
        <f aca="false">IF(OR(U571="",Y571="",Z571=""),"",IF(AND(U571&gt;Y571,-U571&lt;Z571),"Ok","Not Ok"))</f>
        <v/>
      </c>
      <c r="AB571" s="70"/>
    </row>
    <row r="572" customFormat="false" ht="12.8" hidden="false" customHeight="false" outlineLevel="0" collapsed="false">
      <c r="A572" s="48" t="n">
        <f aca="false">TB_audited!A555</f>
        <v>0</v>
      </c>
      <c r="B572" s="49"/>
      <c r="C572" s="50"/>
      <c r="D572" s="51" t="n">
        <f aca="false">TB_audited!B555</f>
        <v>0</v>
      </c>
      <c r="E572" s="52" t="n">
        <f aca="false">TB_audited!C555</f>
        <v>0</v>
      </c>
      <c r="F572" s="53" t="n">
        <f aca="false">TB_audited!D555</f>
        <v>0</v>
      </c>
      <c r="G572" s="54" t="n">
        <f aca="false">IF($D$8="Interim",TB_audited!G555,TB_audited!E555)</f>
        <v>0</v>
      </c>
      <c r="H572" s="55" t="str">
        <f aca="false">IFERROR(VLOOKUP($A572,RA_result!$B$3:$N$62,11,0),"")</f>
        <v/>
      </c>
      <c r="I572" s="55" t="str">
        <f aca="false">IFERROR(VLOOKUP($A572,RA_result!$B$3:$N$62,12,0),"")</f>
        <v/>
      </c>
      <c r="J572" s="55" t="str">
        <f aca="false">IFERROR(VLOOKUP($A572,RA_result!$B$3:$N$62,13,0),"")</f>
        <v/>
      </c>
      <c r="K572" s="56"/>
      <c r="L572" s="56"/>
      <c r="M572" s="57" t="n">
        <f aca="false">G572</f>
        <v>0</v>
      </c>
      <c r="N572" s="54" t="n">
        <f aca="false">G572-M572</f>
        <v>0</v>
      </c>
      <c r="O572" s="55" t="str">
        <f aca="false">IFERROR(VLOOKUP($A572,RA_result!$B$3:$N$62,7,0),"")</f>
        <v/>
      </c>
      <c r="P572" s="52" t="str">
        <f aca="false">IFERROR(VLOOKUP($A572,RA_result!$B$3:$N$62,9,0),"")</f>
        <v/>
      </c>
      <c r="Q572" s="52" t="str">
        <f aca="false">IFERROR(VLOOKUP($A572,RA_result!$B$3:$N$62,10,0),"")</f>
        <v/>
      </c>
      <c r="R572" s="58" t="s">
        <v>55</v>
      </c>
      <c r="S572" s="59" t="str">
        <f aca="false">IFERROR(VLOOKUP($A572,RA_result!$B$3:$N$62,4,0),"")</f>
        <v/>
      </c>
      <c r="T572" s="60" t="s">
        <v>56</v>
      </c>
      <c r="U572" s="59" t="str">
        <f aca="false">IFERROR(IF(VLOOKUP($A572,RA_result!$B$3:$N$62,6,0)="",S572*T572,VLOOKUP($A572,RA_result!$B$3:$N$62,6,0)),"")</f>
        <v/>
      </c>
      <c r="V572" s="61" t="s">
        <v>56</v>
      </c>
      <c r="W572" s="62" t="n">
        <f aca="false">IFERROR((S572*30%)/V572,0)</f>
        <v>0</v>
      </c>
      <c r="X572" s="63" t="n">
        <f aca="false">IFERROR(N572/W572,0)</f>
        <v>0</v>
      </c>
      <c r="Y572" s="68"/>
      <c r="Z572" s="57"/>
      <c r="AA572" s="69" t="str">
        <f aca="false">IF(OR(U572="",Y572="",Z572=""),"",IF(AND(U572&gt;Y572,-U572&lt;Z572),"Ok","Not Ok"))</f>
        <v/>
      </c>
      <c r="AB572" s="70"/>
    </row>
    <row r="573" customFormat="false" ht="12.8" hidden="false" customHeight="false" outlineLevel="0" collapsed="false">
      <c r="A573" s="48" t="n">
        <f aca="false">TB_audited!A556</f>
        <v>0</v>
      </c>
      <c r="B573" s="49"/>
      <c r="C573" s="50"/>
      <c r="D573" s="51" t="n">
        <f aca="false">TB_audited!B556</f>
        <v>0</v>
      </c>
      <c r="E573" s="52" t="n">
        <f aca="false">TB_audited!C556</f>
        <v>0</v>
      </c>
      <c r="F573" s="53" t="n">
        <f aca="false">TB_audited!D556</f>
        <v>0</v>
      </c>
      <c r="G573" s="54" t="n">
        <f aca="false">IF($D$8="Interim",TB_audited!G556,TB_audited!E556)</f>
        <v>0</v>
      </c>
      <c r="H573" s="55" t="str">
        <f aca="false">IFERROR(VLOOKUP($A573,RA_result!$B$3:$N$62,11,0),"")</f>
        <v/>
      </c>
      <c r="I573" s="55" t="str">
        <f aca="false">IFERROR(VLOOKUP($A573,RA_result!$B$3:$N$62,12,0),"")</f>
        <v/>
      </c>
      <c r="J573" s="55" t="str">
        <f aca="false">IFERROR(VLOOKUP($A573,RA_result!$B$3:$N$62,13,0),"")</f>
        <v/>
      </c>
      <c r="K573" s="56"/>
      <c r="L573" s="56"/>
      <c r="M573" s="57" t="n">
        <f aca="false">G573</f>
        <v>0</v>
      </c>
      <c r="N573" s="54" t="n">
        <f aca="false">G573-M573</f>
        <v>0</v>
      </c>
      <c r="O573" s="55" t="str">
        <f aca="false">IFERROR(VLOOKUP($A573,RA_result!$B$3:$N$62,7,0),"")</f>
        <v/>
      </c>
      <c r="P573" s="52" t="str">
        <f aca="false">IFERROR(VLOOKUP($A573,RA_result!$B$3:$N$62,9,0),"")</f>
        <v/>
      </c>
      <c r="Q573" s="52" t="str">
        <f aca="false">IFERROR(VLOOKUP($A573,RA_result!$B$3:$N$62,10,0),"")</f>
        <v/>
      </c>
      <c r="R573" s="58" t="s">
        <v>55</v>
      </c>
      <c r="S573" s="59" t="str">
        <f aca="false">IFERROR(VLOOKUP($A573,RA_result!$B$3:$N$62,4,0),"")</f>
        <v/>
      </c>
      <c r="T573" s="60" t="s">
        <v>56</v>
      </c>
      <c r="U573" s="59" t="str">
        <f aca="false">IFERROR(IF(VLOOKUP($A573,RA_result!$B$3:$N$62,6,0)="",S573*T573,VLOOKUP($A573,RA_result!$B$3:$N$62,6,0)),"")</f>
        <v/>
      </c>
      <c r="V573" s="61" t="s">
        <v>56</v>
      </c>
      <c r="W573" s="62" t="n">
        <f aca="false">IFERROR((S573*30%)/V573,0)</f>
        <v>0</v>
      </c>
      <c r="X573" s="63" t="n">
        <f aca="false">IFERROR(N573/W573,0)</f>
        <v>0</v>
      </c>
      <c r="Y573" s="68"/>
      <c r="Z573" s="57"/>
      <c r="AA573" s="69" t="str">
        <f aca="false">IF(OR(U573="",Y573="",Z573=""),"",IF(AND(U573&gt;Y573,-U573&lt;Z573),"Ok","Not Ok"))</f>
        <v/>
      </c>
      <c r="AB573" s="70"/>
    </row>
    <row r="574" customFormat="false" ht="12.8" hidden="false" customHeight="false" outlineLevel="0" collapsed="false">
      <c r="A574" s="48" t="n">
        <f aca="false">TB_audited!A557</f>
        <v>0</v>
      </c>
      <c r="B574" s="49"/>
      <c r="C574" s="50"/>
      <c r="D574" s="51" t="n">
        <f aca="false">TB_audited!B557</f>
        <v>0</v>
      </c>
      <c r="E574" s="52" t="n">
        <f aca="false">TB_audited!C557</f>
        <v>0</v>
      </c>
      <c r="F574" s="53" t="n">
        <f aca="false">TB_audited!D557</f>
        <v>0</v>
      </c>
      <c r="G574" s="54" t="n">
        <f aca="false">IF($D$8="Interim",TB_audited!G557,TB_audited!E557)</f>
        <v>0</v>
      </c>
      <c r="H574" s="55" t="str">
        <f aca="false">IFERROR(VLOOKUP($A574,RA_result!$B$3:$N$62,11,0),"")</f>
        <v/>
      </c>
      <c r="I574" s="55" t="str">
        <f aca="false">IFERROR(VLOOKUP($A574,RA_result!$B$3:$N$62,12,0),"")</f>
        <v/>
      </c>
      <c r="J574" s="55" t="str">
        <f aca="false">IFERROR(VLOOKUP($A574,RA_result!$B$3:$N$62,13,0),"")</f>
        <v/>
      </c>
      <c r="K574" s="56"/>
      <c r="L574" s="56"/>
      <c r="M574" s="57" t="n">
        <f aca="false">G574</f>
        <v>0</v>
      </c>
      <c r="N574" s="54" t="n">
        <f aca="false">G574-M574</f>
        <v>0</v>
      </c>
      <c r="O574" s="55" t="str">
        <f aca="false">IFERROR(VLOOKUP($A574,RA_result!$B$3:$N$62,7,0),"")</f>
        <v/>
      </c>
      <c r="P574" s="52" t="str">
        <f aca="false">IFERROR(VLOOKUP($A574,RA_result!$B$3:$N$62,9,0),"")</f>
        <v/>
      </c>
      <c r="Q574" s="52" t="str">
        <f aca="false">IFERROR(VLOOKUP($A574,RA_result!$B$3:$N$62,10,0),"")</f>
        <v/>
      </c>
      <c r="R574" s="58" t="s">
        <v>55</v>
      </c>
      <c r="S574" s="59" t="str">
        <f aca="false">IFERROR(VLOOKUP($A574,RA_result!$B$3:$N$62,4,0),"")</f>
        <v/>
      </c>
      <c r="T574" s="60" t="s">
        <v>56</v>
      </c>
      <c r="U574" s="59" t="str">
        <f aca="false">IFERROR(IF(VLOOKUP($A574,RA_result!$B$3:$N$62,6,0)="",S574*T574,VLOOKUP($A574,RA_result!$B$3:$N$62,6,0)),"")</f>
        <v/>
      </c>
      <c r="V574" s="61" t="s">
        <v>56</v>
      </c>
      <c r="W574" s="62" t="n">
        <f aca="false">IFERROR((S574*30%)/V574,0)</f>
        <v>0</v>
      </c>
      <c r="X574" s="63" t="n">
        <f aca="false">IFERROR(N574/W574,0)</f>
        <v>0</v>
      </c>
      <c r="Y574" s="68"/>
      <c r="Z574" s="57"/>
      <c r="AA574" s="69" t="str">
        <f aca="false">IF(OR(U574="",Y574="",Z574=""),"",IF(AND(U574&gt;Y574,-U574&lt;Z574),"Ok","Not Ok"))</f>
        <v/>
      </c>
      <c r="AB574" s="70"/>
    </row>
    <row r="575" customFormat="false" ht="12.8" hidden="false" customHeight="false" outlineLevel="0" collapsed="false">
      <c r="A575" s="48" t="n">
        <f aca="false">TB_audited!A558</f>
        <v>0</v>
      </c>
      <c r="B575" s="49"/>
      <c r="C575" s="50"/>
      <c r="D575" s="51" t="n">
        <f aca="false">TB_audited!B558</f>
        <v>0</v>
      </c>
      <c r="E575" s="52" t="n">
        <f aca="false">TB_audited!C558</f>
        <v>0</v>
      </c>
      <c r="F575" s="53" t="n">
        <f aca="false">TB_audited!D558</f>
        <v>0</v>
      </c>
      <c r="G575" s="54" t="n">
        <f aca="false">IF($D$8="Interim",TB_audited!G558,TB_audited!E558)</f>
        <v>0</v>
      </c>
      <c r="H575" s="55" t="str">
        <f aca="false">IFERROR(VLOOKUP($A575,RA_result!$B$3:$N$62,11,0),"")</f>
        <v/>
      </c>
      <c r="I575" s="55" t="str">
        <f aca="false">IFERROR(VLOOKUP($A575,RA_result!$B$3:$N$62,12,0),"")</f>
        <v/>
      </c>
      <c r="J575" s="55" t="str">
        <f aca="false">IFERROR(VLOOKUP($A575,RA_result!$B$3:$N$62,13,0),"")</f>
        <v/>
      </c>
      <c r="K575" s="56"/>
      <c r="L575" s="56"/>
      <c r="M575" s="57" t="n">
        <f aca="false">G575</f>
        <v>0</v>
      </c>
      <c r="N575" s="54" t="n">
        <f aca="false">G575-M575</f>
        <v>0</v>
      </c>
      <c r="O575" s="55" t="str">
        <f aca="false">IFERROR(VLOOKUP($A575,RA_result!$B$3:$N$62,7,0),"")</f>
        <v/>
      </c>
      <c r="P575" s="52" t="str">
        <f aca="false">IFERROR(VLOOKUP($A575,RA_result!$B$3:$N$62,9,0),"")</f>
        <v/>
      </c>
      <c r="Q575" s="52" t="str">
        <f aca="false">IFERROR(VLOOKUP($A575,RA_result!$B$3:$N$62,10,0),"")</f>
        <v/>
      </c>
      <c r="R575" s="58" t="s">
        <v>55</v>
      </c>
      <c r="S575" s="59" t="str">
        <f aca="false">IFERROR(VLOOKUP($A575,RA_result!$B$3:$N$62,4,0),"")</f>
        <v/>
      </c>
      <c r="T575" s="60" t="s">
        <v>56</v>
      </c>
      <c r="U575" s="59" t="str">
        <f aca="false">IFERROR(IF(VLOOKUP($A575,RA_result!$B$3:$N$62,6,0)="",S575*T575,VLOOKUP($A575,RA_result!$B$3:$N$62,6,0)),"")</f>
        <v/>
      </c>
      <c r="V575" s="61" t="s">
        <v>56</v>
      </c>
      <c r="W575" s="62" t="n">
        <f aca="false">IFERROR((S575*30%)/V575,0)</f>
        <v>0</v>
      </c>
      <c r="X575" s="63" t="n">
        <f aca="false">IFERROR(N575/W575,0)</f>
        <v>0</v>
      </c>
      <c r="Y575" s="68"/>
      <c r="Z575" s="57"/>
      <c r="AA575" s="69" t="str">
        <f aca="false">IF(OR(U575="",Y575="",Z575=""),"",IF(AND(U575&gt;Y575,-U575&lt;Z575),"Ok","Not Ok"))</f>
        <v/>
      </c>
      <c r="AB575" s="70"/>
    </row>
    <row r="576" customFormat="false" ht="12.8" hidden="false" customHeight="false" outlineLevel="0" collapsed="false">
      <c r="A576" s="48" t="n">
        <f aca="false">TB_audited!A559</f>
        <v>0</v>
      </c>
      <c r="B576" s="49"/>
      <c r="C576" s="50"/>
      <c r="D576" s="51" t="n">
        <f aca="false">TB_audited!B559</f>
        <v>0</v>
      </c>
      <c r="E576" s="52" t="n">
        <f aca="false">TB_audited!C559</f>
        <v>0</v>
      </c>
      <c r="F576" s="53" t="n">
        <f aca="false">TB_audited!D559</f>
        <v>0</v>
      </c>
      <c r="G576" s="54" t="n">
        <f aca="false">IF($D$8="Interim",TB_audited!G559,TB_audited!E559)</f>
        <v>0</v>
      </c>
      <c r="H576" s="55" t="str">
        <f aca="false">IFERROR(VLOOKUP($A576,RA_result!$B$3:$N$62,11,0),"")</f>
        <v/>
      </c>
      <c r="I576" s="55" t="str">
        <f aca="false">IFERROR(VLOOKUP($A576,RA_result!$B$3:$N$62,12,0),"")</f>
        <v/>
      </c>
      <c r="J576" s="55" t="str">
        <f aca="false">IFERROR(VLOOKUP($A576,RA_result!$B$3:$N$62,13,0),"")</f>
        <v/>
      </c>
      <c r="K576" s="56"/>
      <c r="L576" s="56"/>
      <c r="M576" s="57" t="n">
        <f aca="false">G576</f>
        <v>0</v>
      </c>
      <c r="N576" s="54" t="n">
        <f aca="false">G576-M576</f>
        <v>0</v>
      </c>
      <c r="O576" s="55" t="str">
        <f aca="false">IFERROR(VLOOKUP($A576,RA_result!$B$3:$N$62,7,0),"")</f>
        <v/>
      </c>
      <c r="P576" s="52" t="str">
        <f aca="false">IFERROR(VLOOKUP($A576,RA_result!$B$3:$N$62,9,0),"")</f>
        <v/>
      </c>
      <c r="Q576" s="52" t="str">
        <f aca="false">IFERROR(VLOOKUP($A576,RA_result!$B$3:$N$62,10,0),"")</f>
        <v/>
      </c>
      <c r="R576" s="58" t="s">
        <v>55</v>
      </c>
      <c r="S576" s="59" t="str">
        <f aca="false">IFERROR(VLOOKUP($A576,RA_result!$B$3:$N$62,4,0),"")</f>
        <v/>
      </c>
      <c r="T576" s="60" t="s">
        <v>56</v>
      </c>
      <c r="U576" s="59" t="str">
        <f aca="false">IFERROR(IF(VLOOKUP($A576,RA_result!$B$3:$N$62,6,0)="",S576*T576,VLOOKUP($A576,RA_result!$B$3:$N$62,6,0)),"")</f>
        <v/>
      </c>
      <c r="V576" s="61" t="s">
        <v>56</v>
      </c>
      <c r="W576" s="62" t="n">
        <f aca="false">IFERROR((S576*30%)/V576,0)</f>
        <v>0</v>
      </c>
      <c r="X576" s="63" t="n">
        <f aca="false">IFERROR(N576/W576,0)</f>
        <v>0</v>
      </c>
      <c r="Y576" s="68"/>
      <c r="Z576" s="57"/>
      <c r="AA576" s="69" t="str">
        <f aca="false">IF(OR(U576="",Y576="",Z576=""),"",IF(AND(U576&gt;Y576,-U576&lt;Z576),"Ok","Not Ok"))</f>
        <v/>
      </c>
      <c r="AB576" s="70"/>
    </row>
    <row r="577" customFormat="false" ht="12.8" hidden="false" customHeight="false" outlineLevel="0" collapsed="false">
      <c r="A577" s="48" t="n">
        <f aca="false">TB_audited!A560</f>
        <v>0</v>
      </c>
      <c r="B577" s="49"/>
      <c r="C577" s="50"/>
      <c r="D577" s="51" t="n">
        <f aca="false">TB_audited!B560</f>
        <v>0</v>
      </c>
      <c r="E577" s="52" t="n">
        <f aca="false">TB_audited!C560</f>
        <v>0</v>
      </c>
      <c r="F577" s="53" t="n">
        <f aca="false">TB_audited!D560</f>
        <v>0</v>
      </c>
      <c r="G577" s="54" t="n">
        <f aca="false">IF($D$8="Interim",TB_audited!G560,TB_audited!E560)</f>
        <v>0</v>
      </c>
      <c r="H577" s="55" t="str">
        <f aca="false">IFERROR(VLOOKUP($A577,RA_result!$B$3:$N$62,11,0),"")</f>
        <v/>
      </c>
      <c r="I577" s="55" t="str">
        <f aca="false">IFERROR(VLOOKUP($A577,RA_result!$B$3:$N$62,12,0),"")</f>
        <v/>
      </c>
      <c r="J577" s="55" t="str">
        <f aca="false">IFERROR(VLOOKUP($A577,RA_result!$B$3:$N$62,13,0),"")</f>
        <v/>
      </c>
      <c r="K577" s="56"/>
      <c r="L577" s="56"/>
      <c r="M577" s="57" t="n">
        <f aca="false">G577</f>
        <v>0</v>
      </c>
      <c r="N577" s="54" t="n">
        <f aca="false">G577-M577</f>
        <v>0</v>
      </c>
      <c r="O577" s="55" t="str">
        <f aca="false">IFERROR(VLOOKUP($A577,RA_result!$B$3:$N$62,7,0),"")</f>
        <v/>
      </c>
      <c r="P577" s="52" t="str">
        <f aca="false">IFERROR(VLOOKUP($A577,RA_result!$B$3:$N$62,9,0),"")</f>
        <v/>
      </c>
      <c r="Q577" s="52" t="str">
        <f aca="false">IFERROR(VLOOKUP($A577,RA_result!$B$3:$N$62,10,0),"")</f>
        <v/>
      </c>
      <c r="R577" s="58" t="s">
        <v>55</v>
      </c>
      <c r="S577" s="59" t="str">
        <f aca="false">IFERROR(VLOOKUP($A577,RA_result!$B$3:$N$62,4,0),"")</f>
        <v/>
      </c>
      <c r="T577" s="60" t="s">
        <v>56</v>
      </c>
      <c r="U577" s="59" t="str">
        <f aca="false">IFERROR(IF(VLOOKUP($A577,RA_result!$B$3:$N$62,6,0)="",S577*T577,VLOOKUP($A577,RA_result!$B$3:$N$62,6,0)),"")</f>
        <v/>
      </c>
      <c r="V577" s="61" t="s">
        <v>56</v>
      </c>
      <c r="W577" s="62" t="n">
        <f aca="false">IFERROR((S577*30%)/V577,0)</f>
        <v>0</v>
      </c>
      <c r="X577" s="63" t="n">
        <f aca="false">IFERROR(N577/W577,0)</f>
        <v>0</v>
      </c>
      <c r="Y577" s="68"/>
      <c r="Z577" s="57"/>
      <c r="AA577" s="69" t="str">
        <f aca="false">IF(OR(U577="",Y577="",Z577=""),"",IF(AND(U577&gt;Y577,-U577&lt;Z577),"Ok","Not Ok"))</f>
        <v/>
      </c>
      <c r="AB577" s="70"/>
    </row>
    <row r="578" customFormat="false" ht="12.8" hidden="false" customHeight="false" outlineLevel="0" collapsed="false">
      <c r="A578" s="48" t="n">
        <f aca="false">TB_audited!A561</f>
        <v>0</v>
      </c>
      <c r="B578" s="49"/>
      <c r="C578" s="50"/>
      <c r="D578" s="51" t="n">
        <f aca="false">TB_audited!B561</f>
        <v>0</v>
      </c>
      <c r="E578" s="52" t="n">
        <f aca="false">TB_audited!C561</f>
        <v>0</v>
      </c>
      <c r="F578" s="53" t="n">
        <f aca="false">TB_audited!D561</f>
        <v>0</v>
      </c>
      <c r="G578" s="54" t="n">
        <f aca="false">IF($D$8="Interim",TB_audited!G561,TB_audited!E561)</f>
        <v>0</v>
      </c>
      <c r="H578" s="55" t="str">
        <f aca="false">IFERROR(VLOOKUP($A578,RA_result!$B$3:$N$62,11,0),"")</f>
        <v/>
      </c>
      <c r="I578" s="55" t="str">
        <f aca="false">IFERROR(VLOOKUP($A578,RA_result!$B$3:$N$62,12,0),"")</f>
        <v/>
      </c>
      <c r="J578" s="55" t="str">
        <f aca="false">IFERROR(VLOOKUP($A578,RA_result!$B$3:$N$62,13,0),"")</f>
        <v/>
      </c>
      <c r="K578" s="56"/>
      <c r="L578" s="56"/>
      <c r="M578" s="57" t="n">
        <f aca="false">G578</f>
        <v>0</v>
      </c>
      <c r="N578" s="54" t="n">
        <f aca="false">G578-M578</f>
        <v>0</v>
      </c>
      <c r="O578" s="55" t="str">
        <f aca="false">IFERROR(VLOOKUP($A578,RA_result!$B$3:$N$62,7,0),"")</f>
        <v/>
      </c>
      <c r="P578" s="52" t="str">
        <f aca="false">IFERROR(VLOOKUP($A578,RA_result!$B$3:$N$62,9,0),"")</f>
        <v/>
      </c>
      <c r="Q578" s="52" t="str">
        <f aca="false">IFERROR(VLOOKUP($A578,RA_result!$B$3:$N$62,10,0),"")</f>
        <v/>
      </c>
      <c r="R578" s="58" t="s">
        <v>55</v>
      </c>
      <c r="S578" s="59" t="str">
        <f aca="false">IFERROR(VLOOKUP($A578,RA_result!$B$3:$N$62,4,0),"")</f>
        <v/>
      </c>
      <c r="T578" s="60" t="s">
        <v>56</v>
      </c>
      <c r="U578" s="59" t="str">
        <f aca="false">IFERROR(IF(VLOOKUP($A578,RA_result!$B$3:$N$62,6,0)="",S578*T578,VLOOKUP($A578,RA_result!$B$3:$N$62,6,0)),"")</f>
        <v/>
      </c>
      <c r="V578" s="61" t="s">
        <v>56</v>
      </c>
      <c r="W578" s="62" t="n">
        <f aca="false">IFERROR((S578*30%)/V578,0)</f>
        <v>0</v>
      </c>
      <c r="X578" s="63" t="n">
        <f aca="false">IFERROR(N578/W578,0)</f>
        <v>0</v>
      </c>
      <c r="Y578" s="68"/>
      <c r="Z578" s="57"/>
      <c r="AA578" s="69" t="str">
        <f aca="false">IF(OR(U578="",Y578="",Z578=""),"",IF(AND(U578&gt;Y578,-U578&lt;Z578),"Ok","Not Ok"))</f>
        <v/>
      </c>
      <c r="AB578" s="70"/>
    </row>
    <row r="579" customFormat="false" ht="12.8" hidden="false" customHeight="false" outlineLevel="0" collapsed="false">
      <c r="A579" s="48" t="n">
        <f aca="false">TB_audited!A562</f>
        <v>0</v>
      </c>
      <c r="B579" s="49"/>
      <c r="C579" s="50"/>
      <c r="D579" s="51" t="n">
        <f aca="false">TB_audited!B562</f>
        <v>0</v>
      </c>
      <c r="E579" s="52" t="n">
        <f aca="false">TB_audited!C562</f>
        <v>0</v>
      </c>
      <c r="F579" s="53" t="n">
        <f aca="false">TB_audited!D562</f>
        <v>0</v>
      </c>
      <c r="G579" s="54" t="n">
        <f aca="false">IF($D$8="Interim",TB_audited!G562,TB_audited!E562)</f>
        <v>0</v>
      </c>
      <c r="H579" s="55" t="str">
        <f aca="false">IFERROR(VLOOKUP($A579,RA_result!$B$3:$N$62,11,0),"")</f>
        <v/>
      </c>
      <c r="I579" s="55" t="str">
        <f aca="false">IFERROR(VLOOKUP($A579,RA_result!$B$3:$N$62,12,0),"")</f>
        <v/>
      </c>
      <c r="J579" s="55" t="str">
        <f aca="false">IFERROR(VLOOKUP($A579,RA_result!$B$3:$N$62,13,0),"")</f>
        <v/>
      </c>
      <c r="K579" s="56"/>
      <c r="L579" s="56"/>
      <c r="M579" s="57" t="n">
        <f aca="false">G579</f>
        <v>0</v>
      </c>
      <c r="N579" s="54" t="n">
        <f aca="false">G579-M579</f>
        <v>0</v>
      </c>
      <c r="O579" s="55" t="str">
        <f aca="false">IFERROR(VLOOKUP($A579,RA_result!$B$3:$N$62,7,0),"")</f>
        <v/>
      </c>
      <c r="P579" s="52" t="str">
        <f aca="false">IFERROR(VLOOKUP($A579,RA_result!$B$3:$N$62,9,0),"")</f>
        <v/>
      </c>
      <c r="Q579" s="52" t="str">
        <f aca="false">IFERROR(VLOOKUP($A579,RA_result!$B$3:$N$62,10,0),"")</f>
        <v/>
      </c>
      <c r="R579" s="58" t="s">
        <v>55</v>
      </c>
      <c r="S579" s="59" t="str">
        <f aca="false">IFERROR(VLOOKUP($A579,RA_result!$B$3:$N$62,4,0),"")</f>
        <v/>
      </c>
      <c r="T579" s="60" t="s">
        <v>56</v>
      </c>
      <c r="U579" s="59" t="str">
        <f aca="false">IFERROR(IF(VLOOKUP($A579,RA_result!$B$3:$N$62,6,0)="",S579*T579,VLOOKUP($A579,RA_result!$B$3:$N$62,6,0)),"")</f>
        <v/>
      </c>
      <c r="V579" s="61" t="s">
        <v>56</v>
      </c>
      <c r="W579" s="62" t="n">
        <f aca="false">IFERROR((S579*30%)/V579,0)</f>
        <v>0</v>
      </c>
      <c r="X579" s="63" t="n">
        <f aca="false">IFERROR(N579/W579,0)</f>
        <v>0</v>
      </c>
      <c r="Y579" s="68"/>
      <c r="Z579" s="57"/>
      <c r="AA579" s="69" t="str">
        <f aca="false">IF(OR(U579="",Y579="",Z579=""),"",IF(AND(U579&gt;Y579,-U579&lt;Z579),"Ok","Not Ok"))</f>
        <v/>
      </c>
      <c r="AB579" s="70"/>
    </row>
    <row r="580" customFormat="false" ht="12.8" hidden="false" customHeight="false" outlineLevel="0" collapsed="false">
      <c r="A580" s="48" t="n">
        <f aca="false">TB_audited!A563</f>
        <v>0</v>
      </c>
      <c r="B580" s="49"/>
      <c r="C580" s="50"/>
      <c r="D580" s="51" t="n">
        <f aca="false">TB_audited!B563</f>
        <v>0</v>
      </c>
      <c r="E580" s="52" t="n">
        <f aca="false">TB_audited!C563</f>
        <v>0</v>
      </c>
      <c r="F580" s="53" t="n">
        <f aca="false">TB_audited!D563</f>
        <v>0</v>
      </c>
      <c r="G580" s="54" t="n">
        <f aca="false">IF($D$8="Interim",TB_audited!G563,TB_audited!E563)</f>
        <v>0</v>
      </c>
      <c r="H580" s="55" t="str">
        <f aca="false">IFERROR(VLOOKUP($A580,RA_result!$B$3:$N$62,11,0),"")</f>
        <v/>
      </c>
      <c r="I580" s="55" t="str">
        <f aca="false">IFERROR(VLOOKUP($A580,RA_result!$B$3:$N$62,12,0),"")</f>
        <v/>
      </c>
      <c r="J580" s="55" t="str">
        <f aca="false">IFERROR(VLOOKUP($A580,RA_result!$B$3:$N$62,13,0),"")</f>
        <v/>
      </c>
      <c r="K580" s="56"/>
      <c r="L580" s="56"/>
      <c r="M580" s="57" t="n">
        <f aca="false">G580</f>
        <v>0</v>
      </c>
      <c r="N580" s="54" t="n">
        <f aca="false">G580-M580</f>
        <v>0</v>
      </c>
      <c r="O580" s="55" t="str">
        <f aca="false">IFERROR(VLOOKUP($A580,RA_result!$B$3:$N$62,7,0),"")</f>
        <v/>
      </c>
      <c r="P580" s="52" t="str">
        <f aca="false">IFERROR(VLOOKUP($A580,RA_result!$B$3:$N$62,9,0),"")</f>
        <v/>
      </c>
      <c r="Q580" s="52" t="str">
        <f aca="false">IFERROR(VLOOKUP($A580,RA_result!$B$3:$N$62,10,0),"")</f>
        <v/>
      </c>
      <c r="R580" s="58" t="s">
        <v>55</v>
      </c>
      <c r="S580" s="59" t="str">
        <f aca="false">IFERROR(VLOOKUP($A580,RA_result!$B$3:$N$62,4,0),"")</f>
        <v/>
      </c>
      <c r="T580" s="60" t="s">
        <v>56</v>
      </c>
      <c r="U580" s="59" t="str">
        <f aca="false">IFERROR(IF(VLOOKUP($A580,RA_result!$B$3:$N$62,6,0)="",S580*T580,VLOOKUP($A580,RA_result!$B$3:$N$62,6,0)),"")</f>
        <v/>
      </c>
      <c r="V580" s="61" t="s">
        <v>56</v>
      </c>
      <c r="W580" s="62" t="n">
        <f aca="false">IFERROR((S580*30%)/V580,0)</f>
        <v>0</v>
      </c>
      <c r="X580" s="63" t="n">
        <f aca="false">IFERROR(N580/W580,0)</f>
        <v>0</v>
      </c>
      <c r="Y580" s="68"/>
      <c r="Z580" s="57"/>
      <c r="AA580" s="69" t="str">
        <f aca="false">IF(OR(U580="",Y580="",Z580=""),"",IF(AND(U580&gt;Y580,-U580&lt;Z580),"Ok","Not Ok"))</f>
        <v/>
      </c>
      <c r="AB580" s="70"/>
    </row>
    <row r="581" customFormat="false" ht="12.8" hidden="false" customHeight="false" outlineLevel="0" collapsed="false">
      <c r="A581" s="48" t="n">
        <f aca="false">TB_audited!A564</f>
        <v>0</v>
      </c>
      <c r="B581" s="49"/>
      <c r="C581" s="50"/>
      <c r="D581" s="51" t="n">
        <f aca="false">TB_audited!B564</f>
        <v>0</v>
      </c>
      <c r="E581" s="52" t="n">
        <f aca="false">TB_audited!C564</f>
        <v>0</v>
      </c>
      <c r="F581" s="53" t="n">
        <f aca="false">TB_audited!D564</f>
        <v>0</v>
      </c>
      <c r="G581" s="54" t="n">
        <f aca="false">IF($D$8="Interim",TB_audited!G564,TB_audited!E564)</f>
        <v>0</v>
      </c>
      <c r="H581" s="55" t="str">
        <f aca="false">IFERROR(VLOOKUP($A581,RA_result!$B$3:$N$62,11,0),"")</f>
        <v/>
      </c>
      <c r="I581" s="55" t="str">
        <f aca="false">IFERROR(VLOOKUP($A581,RA_result!$B$3:$N$62,12,0),"")</f>
        <v/>
      </c>
      <c r="J581" s="55" t="str">
        <f aca="false">IFERROR(VLOOKUP($A581,RA_result!$B$3:$N$62,13,0),"")</f>
        <v/>
      </c>
      <c r="K581" s="56"/>
      <c r="L581" s="56"/>
      <c r="M581" s="57" t="n">
        <f aca="false">G581</f>
        <v>0</v>
      </c>
      <c r="N581" s="54" t="n">
        <f aca="false">G581-M581</f>
        <v>0</v>
      </c>
      <c r="O581" s="55" t="str">
        <f aca="false">IFERROR(VLOOKUP($A581,RA_result!$B$3:$N$62,7,0),"")</f>
        <v/>
      </c>
      <c r="P581" s="52" t="str">
        <f aca="false">IFERROR(VLOOKUP($A581,RA_result!$B$3:$N$62,9,0),"")</f>
        <v/>
      </c>
      <c r="Q581" s="52" t="str">
        <f aca="false">IFERROR(VLOOKUP($A581,RA_result!$B$3:$N$62,10,0),"")</f>
        <v/>
      </c>
      <c r="R581" s="58" t="s">
        <v>55</v>
      </c>
      <c r="S581" s="59" t="str">
        <f aca="false">IFERROR(VLOOKUP($A581,RA_result!$B$3:$N$62,4,0),"")</f>
        <v/>
      </c>
      <c r="T581" s="60" t="s">
        <v>56</v>
      </c>
      <c r="U581" s="59" t="str">
        <f aca="false">IFERROR(IF(VLOOKUP($A581,RA_result!$B$3:$N$62,6,0)="",S581*T581,VLOOKUP($A581,RA_result!$B$3:$N$62,6,0)),"")</f>
        <v/>
      </c>
      <c r="V581" s="61" t="s">
        <v>56</v>
      </c>
      <c r="W581" s="62" t="n">
        <f aca="false">IFERROR((S581*30%)/V581,0)</f>
        <v>0</v>
      </c>
      <c r="X581" s="63" t="n">
        <f aca="false">IFERROR(N581/W581,0)</f>
        <v>0</v>
      </c>
      <c r="Y581" s="68"/>
      <c r="Z581" s="57"/>
      <c r="AA581" s="69" t="str">
        <f aca="false">IF(OR(U581="",Y581="",Z581=""),"",IF(AND(U581&gt;Y581,-U581&lt;Z581),"Ok","Not Ok"))</f>
        <v/>
      </c>
      <c r="AB581" s="70"/>
    </row>
    <row r="582" customFormat="false" ht="12.8" hidden="false" customHeight="false" outlineLevel="0" collapsed="false">
      <c r="A582" s="48" t="n">
        <f aca="false">TB_audited!A565</f>
        <v>0</v>
      </c>
      <c r="B582" s="49"/>
      <c r="C582" s="50"/>
      <c r="D582" s="51" t="n">
        <f aca="false">TB_audited!B565</f>
        <v>0</v>
      </c>
      <c r="E582" s="52" t="n">
        <f aca="false">TB_audited!C565</f>
        <v>0</v>
      </c>
      <c r="F582" s="53" t="n">
        <f aca="false">TB_audited!D565</f>
        <v>0</v>
      </c>
      <c r="G582" s="54" t="n">
        <f aca="false">IF($D$8="Interim",TB_audited!G565,TB_audited!E565)</f>
        <v>0</v>
      </c>
      <c r="H582" s="55" t="str">
        <f aca="false">IFERROR(VLOOKUP($A582,RA_result!$B$3:$N$62,11,0),"")</f>
        <v/>
      </c>
      <c r="I582" s="55" t="str">
        <f aca="false">IFERROR(VLOOKUP($A582,RA_result!$B$3:$N$62,12,0),"")</f>
        <v/>
      </c>
      <c r="J582" s="55" t="str">
        <f aca="false">IFERROR(VLOOKUP($A582,RA_result!$B$3:$N$62,13,0),"")</f>
        <v/>
      </c>
      <c r="K582" s="56"/>
      <c r="L582" s="56"/>
      <c r="M582" s="57" t="n">
        <f aca="false">G582</f>
        <v>0</v>
      </c>
      <c r="N582" s="54" t="n">
        <f aca="false">G582-M582</f>
        <v>0</v>
      </c>
      <c r="O582" s="55" t="str">
        <f aca="false">IFERROR(VLOOKUP($A582,RA_result!$B$3:$N$62,7,0),"")</f>
        <v/>
      </c>
      <c r="P582" s="52" t="str">
        <f aca="false">IFERROR(VLOOKUP($A582,RA_result!$B$3:$N$62,9,0),"")</f>
        <v/>
      </c>
      <c r="Q582" s="52" t="str">
        <f aca="false">IFERROR(VLOOKUP($A582,RA_result!$B$3:$N$62,10,0),"")</f>
        <v/>
      </c>
      <c r="R582" s="58" t="s">
        <v>55</v>
      </c>
      <c r="S582" s="59" t="str">
        <f aca="false">IFERROR(VLOOKUP($A582,RA_result!$B$3:$N$62,4,0),"")</f>
        <v/>
      </c>
      <c r="T582" s="60" t="s">
        <v>56</v>
      </c>
      <c r="U582" s="59" t="str">
        <f aca="false">IFERROR(IF(VLOOKUP($A582,RA_result!$B$3:$N$62,6,0)="",S582*T582,VLOOKUP($A582,RA_result!$B$3:$N$62,6,0)),"")</f>
        <v/>
      </c>
      <c r="V582" s="61" t="s">
        <v>56</v>
      </c>
      <c r="W582" s="62" t="n">
        <f aca="false">IFERROR((S582*30%)/V582,0)</f>
        <v>0</v>
      </c>
      <c r="X582" s="63" t="n">
        <f aca="false">IFERROR(N582/W582,0)</f>
        <v>0</v>
      </c>
      <c r="Y582" s="68"/>
      <c r="Z582" s="57"/>
      <c r="AA582" s="69" t="str">
        <f aca="false">IF(OR(U582="",Y582="",Z582=""),"",IF(AND(U582&gt;Y582,-U582&lt;Z582),"Ok","Not Ok"))</f>
        <v/>
      </c>
      <c r="AB582" s="70"/>
    </row>
    <row r="583" customFormat="false" ht="12.8" hidden="false" customHeight="false" outlineLevel="0" collapsed="false">
      <c r="A583" s="48" t="n">
        <f aca="false">TB_audited!A566</f>
        <v>0</v>
      </c>
      <c r="B583" s="49"/>
      <c r="C583" s="50"/>
      <c r="D583" s="51" t="n">
        <f aca="false">TB_audited!B566</f>
        <v>0</v>
      </c>
      <c r="E583" s="52" t="n">
        <f aca="false">TB_audited!C566</f>
        <v>0</v>
      </c>
      <c r="F583" s="53" t="n">
        <f aca="false">TB_audited!D566</f>
        <v>0</v>
      </c>
      <c r="G583" s="54" t="n">
        <f aca="false">IF($D$8="Interim",TB_audited!G566,TB_audited!E566)</f>
        <v>0</v>
      </c>
      <c r="H583" s="55" t="str">
        <f aca="false">IFERROR(VLOOKUP($A583,RA_result!$B$3:$N$62,11,0),"")</f>
        <v/>
      </c>
      <c r="I583" s="55" t="str">
        <f aca="false">IFERROR(VLOOKUP($A583,RA_result!$B$3:$N$62,12,0),"")</f>
        <v/>
      </c>
      <c r="J583" s="55" t="str">
        <f aca="false">IFERROR(VLOOKUP($A583,RA_result!$B$3:$N$62,13,0),"")</f>
        <v/>
      </c>
      <c r="K583" s="56"/>
      <c r="L583" s="56"/>
      <c r="M583" s="57" t="n">
        <f aca="false">G583</f>
        <v>0</v>
      </c>
      <c r="N583" s="54" t="n">
        <f aca="false">G583-M583</f>
        <v>0</v>
      </c>
      <c r="O583" s="55" t="str">
        <f aca="false">IFERROR(VLOOKUP($A583,RA_result!$B$3:$N$62,7,0),"")</f>
        <v/>
      </c>
      <c r="P583" s="52" t="str">
        <f aca="false">IFERROR(VLOOKUP($A583,RA_result!$B$3:$N$62,9,0),"")</f>
        <v/>
      </c>
      <c r="Q583" s="52" t="str">
        <f aca="false">IFERROR(VLOOKUP($A583,RA_result!$B$3:$N$62,10,0),"")</f>
        <v/>
      </c>
      <c r="R583" s="58" t="s">
        <v>55</v>
      </c>
      <c r="S583" s="59" t="str">
        <f aca="false">IFERROR(VLOOKUP($A583,RA_result!$B$3:$N$62,4,0),"")</f>
        <v/>
      </c>
      <c r="T583" s="60" t="s">
        <v>56</v>
      </c>
      <c r="U583" s="59" t="str">
        <f aca="false">IFERROR(IF(VLOOKUP($A583,RA_result!$B$3:$N$62,6,0)="",S583*T583,VLOOKUP($A583,RA_result!$B$3:$N$62,6,0)),"")</f>
        <v/>
      </c>
      <c r="V583" s="61" t="s">
        <v>56</v>
      </c>
      <c r="W583" s="62" t="n">
        <f aca="false">IFERROR((S583*30%)/V583,0)</f>
        <v>0</v>
      </c>
      <c r="X583" s="63" t="n">
        <f aca="false">IFERROR(N583/W583,0)</f>
        <v>0</v>
      </c>
      <c r="Y583" s="68"/>
      <c r="Z583" s="57"/>
      <c r="AA583" s="69" t="str">
        <f aca="false">IF(OR(U583="",Y583="",Z583=""),"",IF(AND(U583&gt;Y583,-U583&lt;Z583),"Ok","Not Ok"))</f>
        <v/>
      </c>
      <c r="AB583" s="70"/>
    </row>
    <row r="584" customFormat="false" ht="12.8" hidden="false" customHeight="false" outlineLevel="0" collapsed="false">
      <c r="A584" s="48" t="n">
        <f aca="false">TB_audited!A567</f>
        <v>0</v>
      </c>
      <c r="B584" s="49"/>
      <c r="C584" s="50"/>
      <c r="D584" s="51" t="n">
        <f aca="false">TB_audited!B567</f>
        <v>0</v>
      </c>
      <c r="E584" s="52" t="n">
        <f aca="false">TB_audited!C567</f>
        <v>0</v>
      </c>
      <c r="F584" s="53" t="n">
        <f aca="false">TB_audited!D567</f>
        <v>0</v>
      </c>
      <c r="G584" s="54" t="n">
        <f aca="false">IF($D$8="Interim",TB_audited!G567,TB_audited!E567)</f>
        <v>0</v>
      </c>
      <c r="H584" s="55" t="str">
        <f aca="false">IFERROR(VLOOKUP($A584,RA_result!$B$3:$N$62,11,0),"")</f>
        <v/>
      </c>
      <c r="I584" s="55" t="str">
        <f aca="false">IFERROR(VLOOKUP($A584,RA_result!$B$3:$N$62,12,0),"")</f>
        <v/>
      </c>
      <c r="J584" s="55" t="str">
        <f aca="false">IFERROR(VLOOKUP($A584,RA_result!$B$3:$N$62,13,0),"")</f>
        <v/>
      </c>
      <c r="K584" s="56"/>
      <c r="L584" s="56"/>
      <c r="M584" s="57" t="n">
        <f aca="false">G584</f>
        <v>0</v>
      </c>
      <c r="N584" s="54" t="n">
        <f aca="false">G584-M584</f>
        <v>0</v>
      </c>
      <c r="O584" s="55" t="str">
        <f aca="false">IFERROR(VLOOKUP($A584,RA_result!$B$3:$N$62,7,0),"")</f>
        <v/>
      </c>
      <c r="P584" s="52" t="str">
        <f aca="false">IFERROR(VLOOKUP($A584,RA_result!$B$3:$N$62,9,0),"")</f>
        <v/>
      </c>
      <c r="Q584" s="52" t="str">
        <f aca="false">IFERROR(VLOOKUP($A584,RA_result!$B$3:$N$62,10,0),"")</f>
        <v/>
      </c>
      <c r="R584" s="58" t="s">
        <v>55</v>
      </c>
      <c r="S584" s="59" t="str">
        <f aca="false">IFERROR(VLOOKUP($A584,RA_result!$B$3:$N$62,4,0),"")</f>
        <v/>
      </c>
      <c r="T584" s="60" t="s">
        <v>56</v>
      </c>
      <c r="U584" s="59" t="str">
        <f aca="false">IFERROR(IF(VLOOKUP($A584,RA_result!$B$3:$N$62,6,0)="",S584*T584,VLOOKUP($A584,RA_result!$B$3:$N$62,6,0)),"")</f>
        <v/>
      </c>
      <c r="V584" s="61" t="s">
        <v>56</v>
      </c>
      <c r="W584" s="62" t="n">
        <f aca="false">IFERROR((S584*30%)/V584,0)</f>
        <v>0</v>
      </c>
      <c r="X584" s="63" t="n">
        <f aca="false">IFERROR(N584/W584,0)</f>
        <v>0</v>
      </c>
      <c r="Y584" s="68"/>
      <c r="Z584" s="57"/>
      <c r="AA584" s="69" t="str">
        <f aca="false">IF(OR(U584="",Y584="",Z584=""),"",IF(AND(U584&gt;Y584,-U584&lt;Z584),"Ok","Not Ok"))</f>
        <v/>
      </c>
      <c r="AB584" s="70"/>
    </row>
    <row r="585" customFormat="false" ht="12.8" hidden="false" customHeight="false" outlineLevel="0" collapsed="false">
      <c r="A585" s="48" t="n">
        <f aca="false">TB_audited!A568</f>
        <v>0</v>
      </c>
      <c r="B585" s="49"/>
      <c r="C585" s="50"/>
      <c r="D585" s="51" t="n">
        <f aca="false">TB_audited!B568</f>
        <v>0</v>
      </c>
      <c r="E585" s="52" t="n">
        <f aca="false">TB_audited!C568</f>
        <v>0</v>
      </c>
      <c r="F585" s="53" t="n">
        <f aca="false">TB_audited!D568</f>
        <v>0</v>
      </c>
      <c r="G585" s="54" t="n">
        <f aca="false">IF($D$8="Interim",TB_audited!G568,TB_audited!E568)</f>
        <v>0</v>
      </c>
      <c r="H585" s="55" t="str">
        <f aca="false">IFERROR(VLOOKUP($A585,RA_result!$B$3:$N$62,11,0),"")</f>
        <v/>
      </c>
      <c r="I585" s="55" t="str">
        <f aca="false">IFERROR(VLOOKUP($A585,RA_result!$B$3:$N$62,12,0),"")</f>
        <v/>
      </c>
      <c r="J585" s="55" t="str">
        <f aca="false">IFERROR(VLOOKUP($A585,RA_result!$B$3:$N$62,13,0),"")</f>
        <v/>
      </c>
      <c r="K585" s="56"/>
      <c r="L585" s="56"/>
      <c r="M585" s="57" t="n">
        <f aca="false">G585</f>
        <v>0</v>
      </c>
      <c r="N585" s="54" t="n">
        <f aca="false">G585-M585</f>
        <v>0</v>
      </c>
      <c r="O585" s="55" t="str">
        <f aca="false">IFERROR(VLOOKUP($A585,RA_result!$B$3:$N$62,7,0),"")</f>
        <v/>
      </c>
      <c r="P585" s="52" t="str">
        <f aca="false">IFERROR(VLOOKUP($A585,RA_result!$B$3:$N$62,9,0),"")</f>
        <v/>
      </c>
      <c r="Q585" s="52" t="str">
        <f aca="false">IFERROR(VLOOKUP($A585,RA_result!$B$3:$N$62,10,0),"")</f>
        <v/>
      </c>
      <c r="R585" s="58" t="s">
        <v>55</v>
      </c>
      <c r="S585" s="59" t="str">
        <f aca="false">IFERROR(VLOOKUP($A585,RA_result!$B$3:$N$62,4,0),"")</f>
        <v/>
      </c>
      <c r="T585" s="60" t="s">
        <v>56</v>
      </c>
      <c r="U585" s="59" t="str">
        <f aca="false">IFERROR(IF(VLOOKUP($A585,RA_result!$B$3:$N$62,6,0)="",S585*T585,VLOOKUP($A585,RA_result!$B$3:$N$62,6,0)),"")</f>
        <v/>
      </c>
      <c r="V585" s="61" t="s">
        <v>56</v>
      </c>
      <c r="W585" s="62" t="n">
        <f aca="false">IFERROR((S585*30%)/V585,0)</f>
        <v>0</v>
      </c>
      <c r="X585" s="63" t="n">
        <f aca="false">IFERROR(N585/W585,0)</f>
        <v>0</v>
      </c>
      <c r="Y585" s="68"/>
      <c r="Z585" s="57"/>
      <c r="AA585" s="69" t="str">
        <f aca="false">IF(OR(U585="",Y585="",Z585=""),"",IF(AND(U585&gt;Y585,-U585&lt;Z585),"Ok","Not Ok"))</f>
        <v/>
      </c>
      <c r="AB585" s="70"/>
    </row>
    <row r="586" customFormat="false" ht="12.8" hidden="false" customHeight="false" outlineLevel="0" collapsed="false">
      <c r="A586" s="48" t="n">
        <f aca="false">TB_audited!A569</f>
        <v>0</v>
      </c>
      <c r="B586" s="49"/>
      <c r="C586" s="50"/>
      <c r="D586" s="51" t="n">
        <f aca="false">TB_audited!B569</f>
        <v>0</v>
      </c>
      <c r="E586" s="52" t="n">
        <f aca="false">TB_audited!C569</f>
        <v>0</v>
      </c>
      <c r="F586" s="53" t="n">
        <f aca="false">TB_audited!D569</f>
        <v>0</v>
      </c>
      <c r="G586" s="54" t="n">
        <f aca="false">IF($D$8="Interim",TB_audited!G569,TB_audited!E569)</f>
        <v>0</v>
      </c>
      <c r="H586" s="55" t="str">
        <f aca="false">IFERROR(VLOOKUP($A586,RA_result!$B$3:$N$62,11,0),"")</f>
        <v/>
      </c>
      <c r="I586" s="55" t="str">
        <f aca="false">IFERROR(VLOOKUP($A586,RA_result!$B$3:$N$62,12,0),"")</f>
        <v/>
      </c>
      <c r="J586" s="55" t="str">
        <f aca="false">IFERROR(VLOOKUP($A586,RA_result!$B$3:$N$62,13,0),"")</f>
        <v/>
      </c>
      <c r="K586" s="56"/>
      <c r="L586" s="56"/>
      <c r="M586" s="57" t="n">
        <f aca="false">G586</f>
        <v>0</v>
      </c>
      <c r="N586" s="54" t="n">
        <f aca="false">G586-M586</f>
        <v>0</v>
      </c>
      <c r="O586" s="55" t="str">
        <f aca="false">IFERROR(VLOOKUP($A586,RA_result!$B$3:$N$62,7,0),"")</f>
        <v/>
      </c>
      <c r="P586" s="52" t="str">
        <f aca="false">IFERROR(VLOOKUP($A586,RA_result!$B$3:$N$62,9,0),"")</f>
        <v/>
      </c>
      <c r="Q586" s="52" t="str">
        <f aca="false">IFERROR(VLOOKUP($A586,RA_result!$B$3:$N$62,10,0),"")</f>
        <v/>
      </c>
      <c r="R586" s="58" t="s">
        <v>55</v>
      </c>
      <c r="S586" s="59" t="str">
        <f aca="false">IFERROR(VLOOKUP($A586,RA_result!$B$3:$N$62,4,0),"")</f>
        <v/>
      </c>
      <c r="T586" s="60" t="s">
        <v>56</v>
      </c>
      <c r="U586" s="59" t="str">
        <f aca="false">IFERROR(IF(VLOOKUP($A586,RA_result!$B$3:$N$62,6,0)="",S586*T586,VLOOKUP($A586,RA_result!$B$3:$N$62,6,0)),"")</f>
        <v/>
      </c>
      <c r="V586" s="61" t="s">
        <v>56</v>
      </c>
      <c r="W586" s="62" t="n">
        <f aca="false">IFERROR((S586*30%)/V586,0)</f>
        <v>0</v>
      </c>
      <c r="X586" s="63" t="n">
        <f aca="false">IFERROR(N586/W586,0)</f>
        <v>0</v>
      </c>
      <c r="Y586" s="68"/>
      <c r="Z586" s="57"/>
      <c r="AA586" s="69" t="str">
        <f aca="false">IF(OR(U586="",Y586="",Z586=""),"",IF(AND(U586&gt;Y586,-U586&lt;Z586),"Ok","Not Ok"))</f>
        <v/>
      </c>
      <c r="AB586" s="70"/>
    </row>
    <row r="587" customFormat="false" ht="12.8" hidden="false" customHeight="false" outlineLevel="0" collapsed="false">
      <c r="A587" s="48" t="n">
        <f aca="false">TB_audited!A570</f>
        <v>0</v>
      </c>
      <c r="B587" s="49"/>
      <c r="C587" s="50"/>
      <c r="D587" s="51" t="n">
        <f aca="false">TB_audited!B570</f>
        <v>0</v>
      </c>
      <c r="E587" s="52" t="n">
        <f aca="false">TB_audited!C570</f>
        <v>0</v>
      </c>
      <c r="F587" s="53" t="n">
        <f aca="false">TB_audited!D570</f>
        <v>0</v>
      </c>
      <c r="G587" s="54" t="n">
        <f aca="false">IF($D$8="Interim",TB_audited!G570,TB_audited!E570)</f>
        <v>0</v>
      </c>
      <c r="H587" s="55" t="str">
        <f aca="false">IFERROR(VLOOKUP($A587,RA_result!$B$3:$N$62,11,0),"")</f>
        <v/>
      </c>
      <c r="I587" s="55" t="str">
        <f aca="false">IFERROR(VLOOKUP($A587,RA_result!$B$3:$N$62,12,0),"")</f>
        <v/>
      </c>
      <c r="J587" s="55" t="str">
        <f aca="false">IFERROR(VLOOKUP($A587,RA_result!$B$3:$N$62,13,0),"")</f>
        <v/>
      </c>
      <c r="K587" s="56"/>
      <c r="L587" s="56"/>
      <c r="M587" s="57" t="n">
        <f aca="false">G587</f>
        <v>0</v>
      </c>
      <c r="N587" s="54" t="n">
        <f aca="false">G587-M587</f>
        <v>0</v>
      </c>
      <c r="O587" s="55" t="str">
        <f aca="false">IFERROR(VLOOKUP($A587,RA_result!$B$3:$N$62,7,0),"")</f>
        <v/>
      </c>
      <c r="P587" s="52" t="str">
        <f aca="false">IFERROR(VLOOKUP($A587,RA_result!$B$3:$N$62,9,0),"")</f>
        <v/>
      </c>
      <c r="Q587" s="52" t="str">
        <f aca="false">IFERROR(VLOOKUP($A587,RA_result!$B$3:$N$62,10,0),"")</f>
        <v/>
      </c>
      <c r="R587" s="58" t="s">
        <v>55</v>
      </c>
      <c r="S587" s="59" t="str">
        <f aca="false">IFERROR(VLOOKUP($A587,RA_result!$B$3:$N$62,4,0),"")</f>
        <v/>
      </c>
      <c r="T587" s="60" t="s">
        <v>56</v>
      </c>
      <c r="U587" s="59" t="str">
        <f aca="false">IFERROR(IF(VLOOKUP($A587,RA_result!$B$3:$N$62,6,0)="",S587*T587,VLOOKUP($A587,RA_result!$B$3:$N$62,6,0)),"")</f>
        <v/>
      </c>
      <c r="V587" s="61" t="s">
        <v>56</v>
      </c>
      <c r="W587" s="62" t="n">
        <f aca="false">IFERROR((S587*30%)/V587,0)</f>
        <v>0</v>
      </c>
      <c r="X587" s="63" t="n">
        <f aca="false">IFERROR(N587/W587,0)</f>
        <v>0</v>
      </c>
      <c r="Y587" s="68"/>
      <c r="Z587" s="57"/>
      <c r="AA587" s="69" t="str">
        <f aca="false">IF(OR(U587="",Y587="",Z587=""),"",IF(AND(U587&gt;Y587,-U587&lt;Z587),"Ok","Not Ok"))</f>
        <v/>
      </c>
      <c r="AB587" s="70"/>
    </row>
    <row r="588" customFormat="false" ht="12.8" hidden="false" customHeight="false" outlineLevel="0" collapsed="false">
      <c r="A588" s="48" t="n">
        <f aca="false">TB_audited!A571</f>
        <v>0</v>
      </c>
      <c r="B588" s="49"/>
      <c r="C588" s="50"/>
      <c r="D588" s="51" t="n">
        <f aca="false">TB_audited!B571</f>
        <v>0</v>
      </c>
      <c r="E588" s="52" t="n">
        <f aca="false">TB_audited!C571</f>
        <v>0</v>
      </c>
      <c r="F588" s="53" t="n">
        <f aca="false">TB_audited!D571</f>
        <v>0</v>
      </c>
      <c r="G588" s="54" t="n">
        <f aca="false">IF($D$8="Interim",TB_audited!G571,TB_audited!E571)</f>
        <v>0</v>
      </c>
      <c r="H588" s="55" t="str">
        <f aca="false">IFERROR(VLOOKUP($A588,RA_result!$B$3:$N$62,11,0),"")</f>
        <v/>
      </c>
      <c r="I588" s="55" t="str">
        <f aca="false">IFERROR(VLOOKUP($A588,RA_result!$B$3:$N$62,12,0),"")</f>
        <v/>
      </c>
      <c r="J588" s="55" t="str">
        <f aca="false">IFERROR(VLOOKUP($A588,RA_result!$B$3:$N$62,13,0),"")</f>
        <v/>
      </c>
      <c r="K588" s="56"/>
      <c r="L588" s="56"/>
      <c r="M588" s="57" t="n">
        <f aca="false">G588</f>
        <v>0</v>
      </c>
      <c r="N588" s="54" t="n">
        <f aca="false">G588-M588</f>
        <v>0</v>
      </c>
      <c r="O588" s="55" t="str">
        <f aca="false">IFERROR(VLOOKUP($A588,RA_result!$B$3:$N$62,7,0),"")</f>
        <v/>
      </c>
      <c r="P588" s="52" t="str">
        <f aca="false">IFERROR(VLOOKUP($A588,RA_result!$B$3:$N$62,9,0),"")</f>
        <v/>
      </c>
      <c r="Q588" s="52" t="str">
        <f aca="false">IFERROR(VLOOKUP($A588,RA_result!$B$3:$N$62,10,0),"")</f>
        <v/>
      </c>
      <c r="R588" s="58" t="s">
        <v>55</v>
      </c>
      <c r="S588" s="59" t="str">
        <f aca="false">IFERROR(VLOOKUP($A588,RA_result!$B$3:$N$62,4,0),"")</f>
        <v/>
      </c>
      <c r="T588" s="60" t="s">
        <v>56</v>
      </c>
      <c r="U588" s="59" t="str">
        <f aca="false">IFERROR(IF(VLOOKUP($A588,RA_result!$B$3:$N$62,6,0)="",S588*T588,VLOOKUP($A588,RA_result!$B$3:$N$62,6,0)),"")</f>
        <v/>
      </c>
      <c r="V588" s="61" t="s">
        <v>56</v>
      </c>
      <c r="W588" s="62" t="n">
        <f aca="false">IFERROR((S588*30%)/V588,0)</f>
        <v>0</v>
      </c>
      <c r="X588" s="63" t="n">
        <f aca="false">IFERROR(N588/W588,0)</f>
        <v>0</v>
      </c>
      <c r="Y588" s="68"/>
      <c r="Z588" s="57"/>
      <c r="AA588" s="69" t="str">
        <f aca="false">IF(OR(U588="",Y588="",Z588=""),"",IF(AND(U588&gt;Y588,-U588&lt;Z588),"Ok","Not Ok"))</f>
        <v/>
      </c>
      <c r="AB588" s="70"/>
    </row>
    <row r="589" customFormat="false" ht="12.8" hidden="false" customHeight="false" outlineLevel="0" collapsed="false">
      <c r="A589" s="48" t="n">
        <f aca="false">TB_audited!A572</f>
        <v>0</v>
      </c>
      <c r="B589" s="49"/>
      <c r="C589" s="50"/>
      <c r="D589" s="51" t="n">
        <f aca="false">TB_audited!B572</f>
        <v>0</v>
      </c>
      <c r="E589" s="52" t="n">
        <f aca="false">TB_audited!C572</f>
        <v>0</v>
      </c>
      <c r="F589" s="53" t="n">
        <f aca="false">TB_audited!D572</f>
        <v>0</v>
      </c>
      <c r="G589" s="54" t="n">
        <f aca="false">IF($D$8="Interim",TB_audited!G572,TB_audited!E572)</f>
        <v>0</v>
      </c>
      <c r="H589" s="55" t="str">
        <f aca="false">IFERROR(VLOOKUP($A589,RA_result!$B$3:$N$62,11,0),"")</f>
        <v/>
      </c>
      <c r="I589" s="55" t="str">
        <f aca="false">IFERROR(VLOOKUP($A589,RA_result!$B$3:$N$62,12,0),"")</f>
        <v/>
      </c>
      <c r="J589" s="55" t="str">
        <f aca="false">IFERROR(VLOOKUP($A589,RA_result!$B$3:$N$62,13,0),"")</f>
        <v/>
      </c>
      <c r="K589" s="56"/>
      <c r="L589" s="56"/>
      <c r="M589" s="57" t="n">
        <f aca="false">G589</f>
        <v>0</v>
      </c>
      <c r="N589" s="54" t="n">
        <f aca="false">G589-M589</f>
        <v>0</v>
      </c>
      <c r="O589" s="55" t="str">
        <f aca="false">IFERROR(VLOOKUP($A589,RA_result!$B$3:$N$62,7,0),"")</f>
        <v/>
      </c>
      <c r="P589" s="52" t="str">
        <f aca="false">IFERROR(VLOOKUP($A589,RA_result!$B$3:$N$62,9,0),"")</f>
        <v/>
      </c>
      <c r="Q589" s="52" t="str">
        <f aca="false">IFERROR(VLOOKUP($A589,RA_result!$B$3:$N$62,10,0),"")</f>
        <v/>
      </c>
      <c r="R589" s="58" t="s">
        <v>55</v>
      </c>
      <c r="S589" s="59" t="str">
        <f aca="false">IFERROR(VLOOKUP($A589,RA_result!$B$3:$N$62,4,0),"")</f>
        <v/>
      </c>
      <c r="T589" s="60" t="s">
        <v>56</v>
      </c>
      <c r="U589" s="59" t="str">
        <f aca="false">IFERROR(IF(VLOOKUP($A589,RA_result!$B$3:$N$62,6,0)="",S589*T589,VLOOKUP($A589,RA_result!$B$3:$N$62,6,0)),"")</f>
        <v/>
      </c>
      <c r="V589" s="61" t="s">
        <v>56</v>
      </c>
      <c r="W589" s="62" t="n">
        <f aca="false">IFERROR((S589*30%)/V589,0)</f>
        <v>0</v>
      </c>
      <c r="X589" s="63" t="n">
        <f aca="false">IFERROR(N589/W589,0)</f>
        <v>0</v>
      </c>
      <c r="Y589" s="68"/>
      <c r="Z589" s="57"/>
      <c r="AA589" s="69" t="str">
        <f aca="false">IF(OR(U589="",Y589="",Z589=""),"",IF(AND(U589&gt;Y589,-U589&lt;Z589),"Ok","Not Ok"))</f>
        <v/>
      </c>
      <c r="AB589" s="70"/>
    </row>
    <row r="590" customFormat="false" ht="12.8" hidden="false" customHeight="false" outlineLevel="0" collapsed="false">
      <c r="A590" s="48" t="n">
        <f aca="false">TB_audited!A573</f>
        <v>0</v>
      </c>
      <c r="B590" s="49"/>
      <c r="C590" s="50"/>
      <c r="D590" s="51" t="n">
        <f aca="false">TB_audited!B573</f>
        <v>0</v>
      </c>
      <c r="E590" s="52" t="n">
        <f aca="false">TB_audited!C573</f>
        <v>0</v>
      </c>
      <c r="F590" s="53" t="n">
        <f aca="false">TB_audited!D573</f>
        <v>0</v>
      </c>
      <c r="G590" s="54" t="n">
        <f aca="false">IF($D$8="Interim",TB_audited!G573,TB_audited!E573)</f>
        <v>0</v>
      </c>
      <c r="H590" s="55" t="str">
        <f aca="false">IFERROR(VLOOKUP($A590,RA_result!$B$3:$N$62,11,0),"")</f>
        <v/>
      </c>
      <c r="I590" s="55" t="str">
        <f aca="false">IFERROR(VLOOKUP($A590,RA_result!$B$3:$N$62,12,0),"")</f>
        <v/>
      </c>
      <c r="J590" s="55" t="str">
        <f aca="false">IFERROR(VLOOKUP($A590,RA_result!$B$3:$N$62,13,0),"")</f>
        <v/>
      </c>
      <c r="K590" s="56"/>
      <c r="L590" s="56"/>
      <c r="M590" s="57" t="n">
        <f aca="false">G590</f>
        <v>0</v>
      </c>
      <c r="N590" s="54" t="n">
        <f aca="false">G590-M590</f>
        <v>0</v>
      </c>
      <c r="O590" s="55" t="str">
        <f aca="false">IFERROR(VLOOKUP($A590,RA_result!$B$3:$N$62,7,0),"")</f>
        <v/>
      </c>
      <c r="P590" s="52" t="str">
        <f aca="false">IFERROR(VLOOKUP($A590,RA_result!$B$3:$N$62,9,0),"")</f>
        <v/>
      </c>
      <c r="Q590" s="52" t="str">
        <f aca="false">IFERROR(VLOOKUP($A590,RA_result!$B$3:$N$62,10,0),"")</f>
        <v/>
      </c>
      <c r="R590" s="58" t="s">
        <v>55</v>
      </c>
      <c r="S590" s="59" t="str">
        <f aca="false">IFERROR(VLOOKUP($A590,RA_result!$B$3:$N$62,4,0),"")</f>
        <v/>
      </c>
      <c r="T590" s="60" t="s">
        <v>56</v>
      </c>
      <c r="U590" s="59" t="str">
        <f aca="false">IFERROR(IF(VLOOKUP($A590,RA_result!$B$3:$N$62,6,0)="",S590*T590,VLOOKUP($A590,RA_result!$B$3:$N$62,6,0)),"")</f>
        <v/>
      </c>
      <c r="V590" s="61" t="s">
        <v>56</v>
      </c>
      <c r="W590" s="62" t="n">
        <f aca="false">IFERROR((S590*30%)/V590,0)</f>
        <v>0</v>
      </c>
      <c r="X590" s="63" t="n">
        <f aca="false">IFERROR(N590/W590,0)</f>
        <v>0</v>
      </c>
      <c r="Y590" s="68"/>
      <c r="Z590" s="57"/>
      <c r="AA590" s="69" t="str">
        <f aca="false">IF(OR(U590="",Y590="",Z590=""),"",IF(AND(U590&gt;Y590,-U590&lt;Z590),"Ok","Not Ok"))</f>
        <v/>
      </c>
      <c r="AB590" s="70"/>
    </row>
    <row r="591" customFormat="false" ht="12.8" hidden="false" customHeight="false" outlineLevel="0" collapsed="false">
      <c r="A591" s="48" t="n">
        <f aca="false">TB_audited!A574</f>
        <v>0</v>
      </c>
      <c r="B591" s="49"/>
      <c r="C591" s="50"/>
      <c r="D591" s="51" t="n">
        <f aca="false">TB_audited!B574</f>
        <v>0</v>
      </c>
      <c r="E591" s="52" t="n">
        <f aca="false">TB_audited!C574</f>
        <v>0</v>
      </c>
      <c r="F591" s="53" t="n">
        <f aca="false">TB_audited!D574</f>
        <v>0</v>
      </c>
      <c r="G591" s="54" t="n">
        <f aca="false">IF($D$8="Interim",TB_audited!G574,TB_audited!E574)</f>
        <v>0</v>
      </c>
      <c r="H591" s="55" t="str">
        <f aca="false">IFERROR(VLOOKUP($A591,RA_result!$B$3:$N$62,11,0),"")</f>
        <v/>
      </c>
      <c r="I591" s="55" t="str">
        <f aca="false">IFERROR(VLOOKUP($A591,RA_result!$B$3:$N$62,12,0),"")</f>
        <v/>
      </c>
      <c r="J591" s="55" t="str">
        <f aca="false">IFERROR(VLOOKUP($A591,RA_result!$B$3:$N$62,13,0),"")</f>
        <v/>
      </c>
      <c r="K591" s="56"/>
      <c r="L591" s="56"/>
      <c r="M591" s="57" t="n">
        <f aca="false">G591</f>
        <v>0</v>
      </c>
      <c r="N591" s="54" t="n">
        <f aca="false">G591-M591</f>
        <v>0</v>
      </c>
      <c r="O591" s="55" t="str">
        <f aca="false">IFERROR(VLOOKUP($A591,RA_result!$B$3:$N$62,7,0),"")</f>
        <v/>
      </c>
      <c r="P591" s="52" t="str">
        <f aca="false">IFERROR(VLOOKUP($A591,RA_result!$B$3:$N$62,9,0),"")</f>
        <v/>
      </c>
      <c r="Q591" s="52" t="str">
        <f aca="false">IFERROR(VLOOKUP($A591,RA_result!$B$3:$N$62,10,0),"")</f>
        <v/>
      </c>
      <c r="R591" s="58" t="s">
        <v>55</v>
      </c>
      <c r="S591" s="59" t="str">
        <f aca="false">IFERROR(VLOOKUP($A591,RA_result!$B$3:$N$62,4,0),"")</f>
        <v/>
      </c>
      <c r="T591" s="60" t="s">
        <v>56</v>
      </c>
      <c r="U591" s="59" t="str">
        <f aca="false">IFERROR(IF(VLOOKUP($A591,RA_result!$B$3:$N$62,6,0)="",S591*T591,VLOOKUP($A591,RA_result!$B$3:$N$62,6,0)),"")</f>
        <v/>
      </c>
      <c r="V591" s="61" t="s">
        <v>56</v>
      </c>
      <c r="W591" s="62" t="n">
        <f aca="false">IFERROR((S591*30%)/V591,0)</f>
        <v>0</v>
      </c>
      <c r="X591" s="63" t="n">
        <f aca="false">IFERROR(N591/W591,0)</f>
        <v>0</v>
      </c>
      <c r="Y591" s="68"/>
      <c r="Z591" s="57"/>
      <c r="AA591" s="69" t="str">
        <f aca="false">IF(OR(U591="",Y591="",Z591=""),"",IF(AND(U591&gt;Y591,-U591&lt;Z591),"Ok","Not Ok"))</f>
        <v/>
      </c>
      <c r="AB591" s="70"/>
    </row>
    <row r="592" customFormat="false" ht="12.8" hidden="false" customHeight="false" outlineLevel="0" collapsed="false">
      <c r="A592" s="48" t="n">
        <f aca="false">TB_audited!A575</f>
        <v>0</v>
      </c>
      <c r="B592" s="49"/>
      <c r="C592" s="50"/>
      <c r="D592" s="51" t="n">
        <f aca="false">TB_audited!B575</f>
        <v>0</v>
      </c>
      <c r="E592" s="52" t="n">
        <f aca="false">TB_audited!C575</f>
        <v>0</v>
      </c>
      <c r="F592" s="53" t="n">
        <f aca="false">TB_audited!D575</f>
        <v>0</v>
      </c>
      <c r="G592" s="54" t="n">
        <f aca="false">IF($D$8="Interim",TB_audited!G575,TB_audited!E575)</f>
        <v>0</v>
      </c>
      <c r="H592" s="55" t="str">
        <f aca="false">IFERROR(VLOOKUP($A592,RA_result!$B$3:$N$62,11,0),"")</f>
        <v/>
      </c>
      <c r="I592" s="55" t="str">
        <f aca="false">IFERROR(VLOOKUP($A592,RA_result!$B$3:$N$62,12,0),"")</f>
        <v/>
      </c>
      <c r="J592" s="55" t="str">
        <f aca="false">IFERROR(VLOOKUP($A592,RA_result!$B$3:$N$62,13,0),"")</f>
        <v/>
      </c>
      <c r="K592" s="56"/>
      <c r="L592" s="56"/>
      <c r="M592" s="57" t="n">
        <f aca="false">G592</f>
        <v>0</v>
      </c>
      <c r="N592" s="54" t="n">
        <f aca="false">G592-M592</f>
        <v>0</v>
      </c>
      <c r="O592" s="55" t="str">
        <f aca="false">IFERROR(VLOOKUP($A592,RA_result!$B$3:$N$62,7,0),"")</f>
        <v/>
      </c>
      <c r="P592" s="52" t="str">
        <f aca="false">IFERROR(VLOOKUP($A592,RA_result!$B$3:$N$62,9,0),"")</f>
        <v/>
      </c>
      <c r="Q592" s="52" t="str">
        <f aca="false">IFERROR(VLOOKUP($A592,RA_result!$B$3:$N$62,10,0),"")</f>
        <v/>
      </c>
      <c r="R592" s="58" t="s">
        <v>55</v>
      </c>
      <c r="S592" s="59" t="str">
        <f aca="false">IFERROR(VLOOKUP($A592,RA_result!$B$3:$N$62,4,0),"")</f>
        <v/>
      </c>
      <c r="T592" s="60" t="s">
        <v>56</v>
      </c>
      <c r="U592" s="59" t="str">
        <f aca="false">IFERROR(IF(VLOOKUP($A592,RA_result!$B$3:$N$62,6,0)="",S592*T592,VLOOKUP($A592,RA_result!$B$3:$N$62,6,0)),"")</f>
        <v/>
      </c>
      <c r="V592" s="61" t="s">
        <v>56</v>
      </c>
      <c r="W592" s="62" t="n">
        <f aca="false">IFERROR((S592*30%)/V592,0)</f>
        <v>0</v>
      </c>
      <c r="X592" s="63" t="n">
        <f aca="false">IFERROR(N592/W592,0)</f>
        <v>0</v>
      </c>
      <c r="Y592" s="68"/>
      <c r="Z592" s="57"/>
      <c r="AA592" s="69" t="str">
        <f aca="false">IF(OR(U592="",Y592="",Z592=""),"",IF(AND(U592&gt;Y592,-U592&lt;Z592),"Ok","Not Ok"))</f>
        <v/>
      </c>
      <c r="AB592" s="70"/>
    </row>
    <row r="593" customFormat="false" ht="12.8" hidden="false" customHeight="false" outlineLevel="0" collapsed="false">
      <c r="A593" s="48" t="n">
        <f aca="false">TB_audited!A576</f>
        <v>0</v>
      </c>
      <c r="B593" s="49"/>
      <c r="C593" s="50"/>
      <c r="D593" s="51" t="n">
        <f aca="false">TB_audited!B576</f>
        <v>0</v>
      </c>
      <c r="E593" s="52" t="n">
        <f aca="false">TB_audited!C576</f>
        <v>0</v>
      </c>
      <c r="F593" s="53" t="n">
        <f aca="false">TB_audited!D576</f>
        <v>0</v>
      </c>
      <c r="G593" s="54" t="n">
        <f aca="false">IF($D$8="Interim",TB_audited!G576,TB_audited!E576)</f>
        <v>0</v>
      </c>
      <c r="H593" s="55" t="str">
        <f aca="false">IFERROR(VLOOKUP($A593,RA_result!$B$3:$N$62,11,0),"")</f>
        <v/>
      </c>
      <c r="I593" s="55" t="str">
        <f aca="false">IFERROR(VLOOKUP($A593,RA_result!$B$3:$N$62,12,0),"")</f>
        <v/>
      </c>
      <c r="J593" s="55" t="str">
        <f aca="false">IFERROR(VLOOKUP($A593,RA_result!$B$3:$N$62,13,0),"")</f>
        <v/>
      </c>
      <c r="K593" s="56"/>
      <c r="L593" s="56"/>
      <c r="M593" s="57" t="n">
        <f aca="false">G593</f>
        <v>0</v>
      </c>
      <c r="N593" s="54" t="n">
        <f aca="false">G593-M593</f>
        <v>0</v>
      </c>
      <c r="O593" s="55" t="str">
        <f aca="false">IFERROR(VLOOKUP($A593,RA_result!$B$3:$N$62,7,0),"")</f>
        <v/>
      </c>
      <c r="P593" s="52" t="str">
        <f aca="false">IFERROR(VLOOKUP($A593,RA_result!$B$3:$N$62,9,0),"")</f>
        <v/>
      </c>
      <c r="Q593" s="52" t="str">
        <f aca="false">IFERROR(VLOOKUP($A593,RA_result!$B$3:$N$62,10,0),"")</f>
        <v/>
      </c>
      <c r="R593" s="58" t="s">
        <v>55</v>
      </c>
      <c r="S593" s="59" t="str">
        <f aca="false">IFERROR(VLOOKUP($A593,RA_result!$B$3:$N$62,4,0),"")</f>
        <v/>
      </c>
      <c r="T593" s="60" t="s">
        <v>56</v>
      </c>
      <c r="U593" s="59" t="str">
        <f aca="false">IFERROR(IF(VLOOKUP($A593,RA_result!$B$3:$N$62,6,0)="",S593*T593,VLOOKUP($A593,RA_result!$B$3:$N$62,6,0)),"")</f>
        <v/>
      </c>
      <c r="V593" s="61" t="s">
        <v>56</v>
      </c>
      <c r="W593" s="62" t="n">
        <f aca="false">IFERROR((S593*30%)/V593,0)</f>
        <v>0</v>
      </c>
      <c r="X593" s="63" t="n">
        <f aca="false">IFERROR(N593/W593,0)</f>
        <v>0</v>
      </c>
      <c r="Y593" s="68"/>
      <c r="Z593" s="57"/>
      <c r="AA593" s="69" t="str">
        <f aca="false">IF(OR(U593="",Y593="",Z593=""),"",IF(AND(U593&gt;Y593,-U593&lt;Z593),"Ok","Not Ok"))</f>
        <v/>
      </c>
      <c r="AB593" s="70"/>
    </row>
    <row r="594" customFormat="false" ht="12.8" hidden="false" customHeight="false" outlineLevel="0" collapsed="false">
      <c r="A594" s="48" t="n">
        <f aca="false">TB_audited!A577</f>
        <v>0</v>
      </c>
      <c r="B594" s="49"/>
      <c r="C594" s="50"/>
      <c r="D594" s="51" t="n">
        <f aca="false">TB_audited!B577</f>
        <v>0</v>
      </c>
      <c r="E594" s="52" t="n">
        <f aca="false">TB_audited!C577</f>
        <v>0</v>
      </c>
      <c r="F594" s="53" t="n">
        <f aca="false">TB_audited!D577</f>
        <v>0</v>
      </c>
      <c r="G594" s="54" t="n">
        <f aca="false">IF($D$8="Interim",TB_audited!G577,TB_audited!E577)</f>
        <v>0</v>
      </c>
      <c r="H594" s="55" t="str">
        <f aca="false">IFERROR(VLOOKUP($A594,RA_result!$B$3:$N$62,11,0),"")</f>
        <v/>
      </c>
      <c r="I594" s="55" t="str">
        <f aca="false">IFERROR(VLOOKUP($A594,RA_result!$B$3:$N$62,12,0),"")</f>
        <v/>
      </c>
      <c r="J594" s="55" t="str">
        <f aca="false">IFERROR(VLOOKUP($A594,RA_result!$B$3:$N$62,13,0),"")</f>
        <v/>
      </c>
      <c r="K594" s="56"/>
      <c r="L594" s="56"/>
      <c r="M594" s="57" t="n">
        <f aca="false">G594</f>
        <v>0</v>
      </c>
      <c r="N594" s="54" t="n">
        <f aca="false">G594-M594</f>
        <v>0</v>
      </c>
      <c r="O594" s="55" t="str">
        <f aca="false">IFERROR(VLOOKUP($A594,RA_result!$B$3:$N$62,7,0),"")</f>
        <v/>
      </c>
      <c r="P594" s="52" t="str">
        <f aca="false">IFERROR(VLOOKUP($A594,RA_result!$B$3:$N$62,9,0),"")</f>
        <v/>
      </c>
      <c r="Q594" s="52" t="str">
        <f aca="false">IFERROR(VLOOKUP($A594,RA_result!$B$3:$N$62,10,0),"")</f>
        <v/>
      </c>
      <c r="R594" s="58" t="s">
        <v>55</v>
      </c>
      <c r="S594" s="59" t="str">
        <f aca="false">IFERROR(VLOOKUP($A594,RA_result!$B$3:$N$62,4,0),"")</f>
        <v/>
      </c>
      <c r="T594" s="60" t="s">
        <v>56</v>
      </c>
      <c r="U594" s="59" t="str">
        <f aca="false">IFERROR(IF(VLOOKUP($A594,RA_result!$B$3:$N$62,6,0)="",S594*T594,VLOOKUP($A594,RA_result!$B$3:$N$62,6,0)),"")</f>
        <v/>
      </c>
      <c r="V594" s="61" t="s">
        <v>56</v>
      </c>
      <c r="W594" s="62" t="n">
        <f aca="false">IFERROR((S594*30%)/V594,0)</f>
        <v>0</v>
      </c>
      <c r="X594" s="63" t="n">
        <f aca="false">IFERROR(N594/W594,0)</f>
        <v>0</v>
      </c>
      <c r="Y594" s="68"/>
      <c r="Z594" s="57"/>
      <c r="AA594" s="69" t="str">
        <f aca="false">IF(OR(U594="",Y594="",Z594=""),"",IF(AND(U594&gt;Y594,-U594&lt;Z594),"Ok","Not Ok"))</f>
        <v/>
      </c>
      <c r="AB594" s="70"/>
    </row>
    <row r="595" customFormat="false" ht="12.8" hidden="false" customHeight="false" outlineLevel="0" collapsed="false">
      <c r="A595" s="48" t="n">
        <f aca="false">TB_audited!A578</f>
        <v>0</v>
      </c>
      <c r="B595" s="49"/>
      <c r="C595" s="50"/>
      <c r="D595" s="51" t="n">
        <f aca="false">TB_audited!B578</f>
        <v>0</v>
      </c>
      <c r="E595" s="52" t="n">
        <f aca="false">TB_audited!C578</f>
        <v>0</v>
      </c>
      <c r="F595" s="53" t="n">
        <f aca="false">TB_audited!D578</f>
        <v>0</v>
      </c>
      <c r="G595" s="54" t="n">
        <f aca="false">IF($D$8="Interim",TB_audited!G578,TB_audited!E578)</f>
        <v>0</v>
      </c>
      <c r="H595" s="55" t="str">
        <f aca="false">IFERROR(VLOOKUP($A595,RA_result!$B$3:$N$62,11,0),"")</f>
        <v/>
      </c>
      <c r="I595" s="55" t="str">
        <f aca="false">IFERROR(VLOOKUP($A595,RA_result!$B$3:$N$62,12,0),"")</f>
        <v/>
      </c>
      <c r="J595" s="55" t="str">
        <f aca="false">IFERROR(VLOOKUP($A595,RA_result!$B$3:$N$62,13,0),"")</f>
        <v/>
      </c>
      <c r="K595" s="56"/>
      <c r="L595" s="56"/>
      <c r="M595" s="57" t="n">
        <f aca="false">G595</f>
        <v>0</v>
      </c>
      <c r="N595" s="54" t="n">
        <f aca="false">G595-M595</f>
        <v>0</v>
      </c>
      <c r="O595" s="55" t="str">
        <f aca="false">IFERROR(VLOOKUP($A595,RA_result!$B$3:$N$62,7,0),"")</f>
        <v/>
      </c>
      <c r="P595" s="52" t="str">
        <f aca="false">IFERROR(VLOOKUP($A595,RA_result!$B$3:$N$62,9,0),"")</f>
        <v/>
      </c>
      <c r="Q595" s="52" t="str">
        <f aca="false">IFERROR(VLOOKUP($A595,RA_result!$B$3:$N$62,10,0),"")</f>
        <v/>
      </c>
      <c r="R595" s="58" t="s">
        <v>55</v>
      </c>
      <c r="S595" s="59" t="str">
        <f aca="false">IFERROR(VLOOKUP($A595,RA_result!$B$3:$N$62,4,0),"")</f>
        <v/>
      </c>
      <c r="T595" s="60" t="s">
        <v>56</v>
      </c>
      <c r="U595" s="59" t="str">
        <f aca="false">IFERROR(IF(VLOOKUP($A595,RA_result!$B$3:$N$62,6,0)="",S595*T595,VLOOKUP($A595,RA_result!$B$3:$N$62,6,0)),"")</f>
        <v/>
      </c>
      <c r="V595" s="61" t="s">
        <v>56</v>
      </c>
      <c r="W595" s="62" t="n">
        <f aca="false">IFERROR((S595*30%)/V595,0)</f>
        <v>0</v>
      </c>
      <c r="X595" s="63" t="n">
        <f aca="false">IFERROR(N595/W595,0)</f>
        <v>0</v>
      </c>
      <c r="Y595" s="68"/>
      <c r="Z595" s="57"/>
      <c r="AA595" s="69" t="str">
        <f aca="false">IF(OR(U595="",Y595="",Z595=""),"",IF(AND(U595&gt;Y595,-U595&lt;Z595),"Ok","Not Ok"))</f>
        <v/>
      </c>
      <c r="AB595" s="70"/>
    </row>
    <row r="596" customFormat="false" ht="12.8" hidden="false" customHeight="false" outlineLevel="0" collapsed="false">
      <c r="A596" s="48" t="n">
        <f aca="false">TB_audited!A579</f>
        <v>0</v>
      </c>
      <c r="B596" s="49"/>
      <c r="C596" s="50"/>
      <c r="D596" s="51" t="n">
        <f aca="false">TB_audited!B579</f>
        <v>0</v>
      </c>
      <c r="E596" s="52" t="n">
        <f aca="false">TB_audited!C579</f>
        <v>0</v>
      </c>
      <c r="F596" s="53" t="n">
        <f aca="false">TB_audited!D579</f>
        <v>0</v>
      </c>
      <c r="G596" s="54" t="n">
        <f aca="false">IF($D$8="Interim",TB_audited!G579,TB_audited!E579)</f>
        <v>0</v>
      </c>
      <c r="H596" s="55" t="str">
        <f aca="false">IFERROR(VLOOKUP($A596,RA_result!$B$3:$N$62,11,0),"")</f>
        <v/>
      </c>
      <c r="I596" s="55" t="str">
        <f aca="false">IFERROR(VLOOKUP($A596,RA_result!$B$3:$N$62,12,0),"")</f>
        <v/>
      </c>
      <c r="J596" s="55" t="str">
        <f aca="false">IFERROR(VLOOKUP($A596,RA_result!$B$3:$N$62,13,0),"")</f>
        <v/>
      </c>
      <c r="K596" s="56"/>
      <c r="L596" s="56"/>
      <c r="M596" s="57" t="n">
        <f aca="false">G596</f>
        <v>0</v>
      </c>
      <c r="N596" s="54" t="n">
        <f aca="false">G596-M596</f>
        <v>0</v>
      </c>
      <c r="O596" s="55" t="str">
        <f aca="false">IFERROR(VLOOKUP($A596,RA_result!$B$3:$N$62,7,0),"")</f>
        <v/>
      </c>
      <c r="P596" s="52" t="str">
        <f aca="false">IFERROR(VLOOKUP($A596,RA_result!$B$3:$N$62,9,0),"")</f>
        <v/>
      </c>
      <c r="Q596" s="52" t="str">
        <f aca="false">IFERROR(VLOOKUP($A596,RA_result!$B$3:$N$62,10,0),"")</f>
        <v/>
      </c>
      <c r="R596" s="58" t="s">
        <v>55</v>
      </c>
      <c r="S596" s="59" t="str">
        <f aca="false">IFERROR(VLOOKUP($A596,RA_result!$B$3:$N$62,4,0),"")</f>
        <v/>
      </c>
      <c r="T596" s="60" t="s">
        <v>56</v>
      </c>
      <c r="U596" s="59" t="str">
        <f aca="false">IFERROR(IF(VLOOKUP($A596,RA_result!$B$3:$N$62,6,0)="",S596*T596,VLOOKUP($A596,RA_result!$B$3:$N$62,6,0)),"")</f>
        <v/>
      </c>
      <c r="V596" s="61" t="s">
        <v>56</v>
      </c>
      <c r="W596" s="62" t="n">
        <f aca="false">IFERROR((S596*30%)/V596,0)</f>
        <v>0</v>
      </c>
      <c r="X596" s="63" t="n">
        <f aca="false">IFERROR(N596/W596,0)</f>
        <v>0</v>
      </c>
      <c r="Y596" s="68"/>
      <c r="Z596" s="57"/>
      <c r="AA596" s="69" t="str">
        <f aca="false">IF(OR(U596="",Y596="",Z596=""),"",IF(AND(U596&gt;Y596,-U596&lt;Z596),"Ok","Not Ok"))</f>
        <v/>
      </c>
      <c r="AB596" s="70"/>
    </row>
    <row r="597" customFormat="false" ht="12.8" hidden="false" customHeight="false" outlineLevel="0" collapsed="false">
      <c r="A597" s="48" t="n">
        <f aca="false">TB_audited!A580</f>
        <v>0</v>
      </c>
      <c r="B597" s="49"/>
      <c r="C597" s="50"/>
      <c r="D597" s="51" t="n">
        <f aca="false">TB_audited!B580</f>
        <v>0</v>
      </c>
      <c r="E597" s="52" t="n">
        <f aca="false">TB_audited!C580</f>
        <v>0</v>
      </c>
      <c r="F597" s="53" t="n">
        <f aca="false">TB_audited!D580</f>
        <v>0</v>
      </c>
      <c r="G597" s="54" t="n">
        <f aca="false">IF($D$8="Interim",TB_audited!G580,TB_audited!E580)</f>
        <v>0</v>
      </c>
      <c r="H597" s="55" t="str">
        <f aca="false">IFERROR(VLOOKUP($A597,RA_result!$B$3:$N$62,11,0),"")</f>
        <v/>
      </c>
      <c r="I597" s="55" t="str">
        <f aca="false">IFERROR(VLOOKUP($A597,RA_result!$B$3:$N$62,12,0),"")</f>
        <v/>
      </c>
      <c r="J597" s="55" t="str">
        <f aca="false">IFERROR(VLOOKUP($A597,RA_result!$B$3:$N$62,13,0),"")</f>
        <v/>
      </c>
      <c r="K597" s="56"/>
      <c r="L597" s="56"/>
      <c r="M597" s="57" t="n">
        <f aca="false">G597</f>
        <v>0</v>
      </c>
      <c r="N597" s="54" t="n">
        <f aca="false">G597-M597</f>
        <v>0</v>
      </c>
      <c r="O597" s="55" t="str">
        <f aca="false">IFERROR(VLOOKUP($A597,RA_result!$B$3:$N$62,7,0),"")</f>
        <v/>
      </c>
      <c r="P597" s="52" t="str">
        <f aca="false">IFERROR(VLOOKUP($A597,RA_result!$B$3:$N$62,9,0),"")</f>
        <v/>
      </c>
      <c r="Q597" s="52" t="str">
        <f aca="false">IFERROR(VLOOKUP($A597,RA_result!$B$3:$N$62,10,0),"")</f>
        <v/>
      </c>
      <c r="R597" s="58" t="s">
        <v>55</v>
      </c>
      <c r="S597" s="59" t="str">
        <f aca="false">IFERROR(VLOOKUP($A597,RA_result!$B$3:$N$62,4,0),"")</f>
        <v/>
      </c>
      <c r="T597" s="60" t="s">
        <v>56</v>
      </c>
      <c r="U597" s="59" t="str">
        <f aca="false">IFERROR(IF(VLOOKUP($A597,RA_result!$B$3:$N$62,6,0)="",S597*T597,VLOOKUP($A597,RA_result!$B$3:$N$62,6,0)),"")</f>
        <v/>
      </c>
      <c r="V597" s="61" t="s">
        <v>56</v>
      </c>
      <c r="W597" s="62" t="n">
        <f aca="false">IFERROR((S597*30%)/V597,0)</f>
        <v>0</v>
      </c>
      <c r="X597" s="63" t="n">
        <f aca="false">IFERROR(N597/W597,0)</f>
        <v>0</v>
      </c>
      <c r="Y597" s="68"/>
      <c r="Z597" s="57"/>
      <c r="AA597" s="69" t="str">
        <f aca="false">IF(OR(U597="",Y597="",Z597=""),"",IF(AND(U597&gt;Y597,-U597&lt;Z597),"Ok","Not Ok"))</f>
        <v/>
      </c>
      <c r="AB597" s="70"/>
    </row>
    <row r="598" customFormat="false" ht="12.8" hidden="false" customHeight="false" outlineLevel="0" collapsed="false">
      <c r="A598" s="48" t="n">
        <f aca="false">TB_audited!A581</f>
        <v>0</v>
      </c>
      <c r="B598" s="49"/>
      <c r="C598" s="50"/>
      <c r="D598" s="51" t="n">
        <f aca="false">TB_audited!B581</f>
        <v>0</v>
      </c>
      <c r="E598" s="52" t="n">
        <f aca="false">TB_audited!C581</f>
        <v>0</v>
      </c>
      <c r="F598" s="53" t="n">
        <f aca="false">TB_audited!D581</f>
        <v>0</v>
      </c>
      <c r="G598" s="54" t="n">
        <f aca="false">IF($D$8="Interim",TB_audited!G581,TB_audited!E581)</f>
        <v>0</v>
      </c>
      <c r="H598" s="55" t="str">
        <f aca="false">IFERROR(VLOOKUP($A598,RA_result!$B$3:$N$62,11,0),"")</f>
        <v/>
      </c>
      <c r="I598" s="55" t="str">
        <f aca="false">IFERROR(VLOOKUP($A598,RA_result!$B$3:$N$62,12,0),"")</f>
        <v/>
      </c>
      <c r="J598" s="55" t="str">
        <f aca="false">IFERROR(VLOOKUP($A598,RA_result!$B$3:$N$62,13,0),"")</f>
        <v/>
      </c>
      <c r="K598" s="56"/>
      <c r="L598" s="56"/>
      <c r="M598" s="57" t="n">
        <f aca="false">G598</f>
        <v>0</v>
      </c>
      <c r="N598" s="54" t="n">
        <f aca="false">G598-M598</f>
        <v>0</v>
      </c>
      <c r="O598" s="55" t="str">
        <f aca="false">IFERROR(VLOOKUP($A598,RA_result!$B$3:$N$62,7,0),"")</f>
        <v/>
      </c>
      <c r="P598" s="52" t="str">
        <f aca="false">IFERROR(VLOOKUP($A598,RA_result!$B$3:$N$62,9,0),"")</f>
        <v/>
      </c>
      <c r="Q598" s="52" t="str">
        <f aca="false">IFERROR(VLOOKUP($A598,RA_result!$B$3:$N$62,10,0),"")</f>
        <v/>
      </c>
      <c r="R598" s="58" t="s">
        <v>55</v>
      </c>
      <c r="S598" s="59" t="str">
        <f aca="false">IFERROR(VLOOKUP($A598,RA_result!$B$3:$N$62,4,0),"")</f>
        <v/>
      </c>
      <c r="T598" s="60" t="s">
        <v>56</v>
      </c>
      <c r="U598" s="59" t="str">
        <f aca="false">IFERROR(IF(VLOOKUP($A598,RA_result!$B$3:$N$62,6,0)="",S598*T598,VLOOKUP($A598,RA_result!$B$3:$N$62,6,0)),"")</f>
        <v/>
      </c>
      <c r="V598" s="61" t="s">
        <v>56</v>
      </c>
      <c r="W598" s="62" t="n">
        <f aca="false">IFERROR((S598*30%)/V598,0)</f>
        <v>0</v>
      </c>
      <c r="X598" s="63" t="n">
        <f aca="false">IFERROR(N598/W598,0)</f>
        <v>0</v>
      </c>
      <c r="Y598" s="68"/>
      <c r="Z598" s="57"/>
      <c r="AA598" s="69" t="str">
        <f aca="false">IF(OR(U598="",Y598="",Z598=""),"",IF(AND(U598&gt;Y598,-U598&lt;Z598),"Ok","Not Ok"))</f>
        <v/>
      </c>
      <c r="AB598" s="70"/>
    </row>
    <row r="599" customFormat="false" ht="12.8" hidden="false" customHeight="false" outlineLevel="0" collapsed="false">
      <c r="A599" s="48" t="n">
        <f aca="false">TB_audited!A582</f>
        <v>0</v>
      </c>
      <c r="B599" s="49"/>
      <c r="C599" s="50"/>
      <c r="D599" s="51" t="n">
        <f aca="false">TB_audited!B582</f>
        <v>0</v>
      </c>
      <c r="E599" s="52" t="n">
        <f aca="false">TB_audited!C582</f>
        <v>0</v>
      </c>
      <c r="F599" s="53" t="n">
        <f aca="false">TB_audited!D582</f>
        <v>0</v>
      </c>
      <c r="G599" s="54" t="n">
        <f aca="false">IF($D$8="Interim",TB_audited!G582,TB_audited!E582)</f>
        <v>0</v>
      </c>
      <c r="H599" s="55" t="str">
        <f aca="false">IFERROR(VLOOKUP($A599,RA_result!$B$3:$N$62,11,0),"")</f>
        <v/>
      </c>
      <c r="I599" s="55" t="str">
        <f aca="false">IFERROR(VLOOKUP($A599,RA_result!$B$3:$N$62,12,0),"")</f>
        <v/>
      </c>
      <c r="J599" s="55" t="str">
        <f aca="false">IFERROR(VLOOKUP($A599,RA_result!$B$3:$N$62,13,0),"")</f>
        <v/>
      </c>
      <c r="K599" s="56"/>
      <c r="L599" s="56"/>
      <c r="M599" s="57" t="n">
        <f aca="false">G599</f>
        <v>0</v>
      </c>
      <c r="N599" s="54" t="n">
        <f aca="false">G599-M599</f>
        <v>0</v>
      </c>
      <c r="O599" s="55" t="str">
        <f aca="false">IFERROR(VLOOKUP($A599,RA_result!$B$3:$N$62,7,0),"")</f>
        <v/>
      </c>
      <c r="P599" s="52" t="str">
        <f aca="false">IFERROR(VLOOKUP($A599,RA_result!$B$3:$N$62,9,0),"")</f>
        <v/>
      </c>
      <c r="Q599" s="52" t="str">
        <f aca="false">IFERROR(VLOOKUP($A599,RA_result!$B$3:$N$62,10,0),"")</f>
        <v/>
      </c>
      <c r="R599" s="58" t="s">
        <v>55</v>
      </c>
      <c r="S599" s="59" t="str">
        <f aca="false">IFERROR(VLOOKUP($A599,RA_result!$B$3:$N$62,4,0),"")</f>
        <v/>
      </c>
      <c r="T599" s="60" t="s">
        <v>56</v>
      </c>
      <c r="U599" s="59" t="str">
        <f aca="false">IFERROR(IF(VLOOKUP($A599,RA_result!$B$3:$N$62,6,0)="",S599*T599,VLOOKUP($A599,RA_result!$B$3:$N$62,6,0)),"")</f>
        <v/>
      </c>
      <c r="V599" s="61" t="s">
        <v>56</v>
      </c>
      <c r="W599" s="62" t="n">
        <f aca="false">IFERROR((S599*30%)/V599,0)</f>
        <v>0</v>
      </c>
      <c r="X599" s="63" t="n">
        <f aca="false">IFERROR(N599/W599,0)</f>
        <v>0</v>
      </c>
      <c r="Y599" s="68"/>
      <c r="Z599" s="57"/>
      <c r="AA599" s="69" t="str">
        <f aca="false">IF(OR(U599="",Y599="",Z599=""),"",IF(AND(U599&gt;Y599,-U599&lt;Z599),"Ok","Not Ok"))</f>
        <v/>
      </c>
      <c r="AB599" s="70"/>
    </row>
    <row r="600" customFormat="false" ht="12.8" hidden="false" customHeight="false" outlineLevel="0" collapsed="false">
      <c r="A600" s="48" t="n">
        <f aca="false">TB_audited!A583</f>
        <v>0</v>
      </c>
      <c r="B600" s="49"/>
      <c r="C600" s="50"/>
      <c r="D600" s="51" t="n">
        <f aca="false">TB_audited!B583</f>
        <v>0</v>
      </c>
      <c r="E600" s="52" t="n">
        <f aca="false">TB_audited!C583</f>
        <v>0</v>
      </c>
      <c r="F600" s="53" t="n">
        <f aca="false">TB_audited!D583</f>
        <v>0</v>
      </c>
      <c r="G600" s="54" t="n">
        <f aca="false">IF($D$8="Interim",TB_audited!G583,TB_audited!E583)</f>
        <v>0</v>
      </c>
      <c r="H600" s="55" t="str">
        <f aca="false">IFERROR(VLOOKUP($A600,RA_result!$B$3:$N$62,11,0),"")</f>
        <v/>
      </c>
      <c r="I600" s="55" t="str">
        <f aca="false">IFERROR(VLOOKUP($A600,RA_result!$B$3:$N$62,12,0),"")</f>
        <v/>
      </c>
      <c r="J600" s="55" t="str">
        <f aca="false">IFERROR(VLOOKUP($A600,RA_result!$B$3:$N$62,13,0),"")</f>
        <v/>
      </c>
      <c r="K600" s="56"/>
      <c r="L600" s="56"/>
      <c r="M600" s="57" t="n">
        <f aca="false">G600</f>
        <v>0</v>
      </c>
      <c r="N600" s="54" t="n">
        <f aca="false">G600-M600</f>
        <v>0</v>
      </c>
      <c r="O600" s="55" t="str">
        <f aca="false">IFERROR(VLOOKUP($A600,RA_result!$B$3:$N$62,7,0),"")</f>
        <v/>
      </c>
      <c r="P600" s="52" t="str">
        <f aca="false">IFERROR(VLOOKUP($A600,RA_result!$B$3:$N$62,9,0),"")</f>
        <v/>
      </c>
      <c r="Q600" s="52" t="str">
        <f aca="false">IFERROR(VLOOKUP($A600,RA_result!$B$3:$N$62,10,0),"")</f>
        <v/>
      </c>
      <c r="R600" s="58" t="s">
        <v>55</v>
      </c>
      <c r="S600" s="59" t="str">
        <f aca="false">IFERROR(VLOOKUP($A600,RA_result!$B$3:$N$62,4,0),"")</f>
        <v/>
      </c>
      <c r="T600" s="60" t="s">
        <v>56</v>
      </c>
      <c r="U600" s="59" t="str">
        <f aca="false">IFERROR(IF(VLOOKUP($A600,RA_result!$B$3:$N$62,6,0)="",S600*T600,VLOOKUP($A600,RA_result!$B$3:$N$62,6,0)),"")</f>
        <v/>
      </c>
      <c r="V600" s="61" t="s">
        <v>56</v>
      </c>
      <c r="W600" s="62" t="n">
        <f aca="false">IFERROR((S600*30%)/V600,0)</f>
        <v>0</v>
      </c>
      <c r="X600" s="63" t="n">
        <f aca="false">IFERROR(N600/W600,0)</f>
        <v>0</v>
      </c>
      <c r="Y600" s="68"/>
      <c r="Z600" s="57"/>
      <c r="AA600" s="69" t="str">
        <f aca="false">IF(OR(U600="",Y600="",Z600=""),"",IF(AND(U600&gt;Y600,-U600&lt;Z600),"Ok","Not Ok"))</f>
        <v/>
      </c>
      <c r="AB600" s="70"/>
    </row>
    <row r="601" customFormat="false" ht="12.8" hidden="false" customHeight="false" outlineLevel="0" collapsed="false">
      <c r="A601" s="48" t="n">
        <f aca="false">TB_audited!A584</f>
        <v>0</v>
      </c>
      <c r="B601" s="49"/>
      <c r="C601" s="50"/>
      <c r="D601" s="51" t="n">
        <f aca="false">TB_audited!B584</f>
        <v>0</v>
      </c>
      <c r="E601" s="52" t="n">
        <f aca="false">TB_audited!C584</f>
        <v>0</v>
      </c>
      <c r="F601" s="53" t="n">
        <f aca="false">TB_audited!D584</f>
        <v>0</v>
      </c>
      <c r="G601" s="54" t="n">
        <f aca="false">IF($D$8="Interim",TB_audited!G584,TB_audited!E584)</f>
        <v>0</v>
      </c>
      <c r="H601" s="55" t="str">
        <f aca="false">IFERROR(VLOOKUP($A601,RA_result!$B$3:$N$62,11,0),"")</f>
        <v/>
      </c>
      <c r="I601" s="55" t="str">
        <f aca="false">IFERROR(VLOOKUP($A601,RA_result!$B$3:$N$62,12,0),"")</f>
        <v/>
      </c>
      <c r="J601" s="55" t="str">
        <f aca="false">IFERROR(VLOOKUP($A601,RA_result!$B$3:$N$62,13,0),"")</f>
        <v/>
      </c>
      <c r="K601" s="56"/>
      <c r="L601" s="56"/>
      <c r="M601" s="57" t="n">
        <f aca="false">G601</f>
        <v>0</v>
      </c>
      <c r="N601" s="54" t="n">
        <f aca="false">G601-M601</f>
        <v>0</v>
      </c>
      <c r="O601" s="55" t="str">
        <f aca="false">IFERROR(VLOOKUP($A601,RA_result!$B$3:$N$62,7,0),"")</f>
        <v/>
      </c>
      <c r="P601" s="52" t="str">
        <f aca="false">IFERROR(VLOOKUP($A601,RA_result!$B$3:$N$62,9,0),"")</f>
        <v/>
      </c>
      <c r="Q601" s="52" t="str">
        <f aca="false">IFERROR(VLOOKUP($A601,RA_result!$B$3:$N$62,10,0),"")</f>
        <v/>
      </c>
      <c r="R601" s="58" t="s">
        <v>55</v>
      </c>
      <c r="S601" s="59" t="str">
        <f aca="false">IFERROR(VLOOKUP($A601,RA_result!$B$3:$N$62,4,0),"")</f>
        <v/>
      </c>
      <c r="T601" s="60" t="s">
        <v>56</v>
      </c>
      <c r="U601" s="59" t="str">
        <f aca="false">IFERROR(IF(VLOOKUP($A601,RA_result!$B$3:$N$62,6,0)="",S601*T601,VLOOKUP($A601,RA_result!$B$3:$N$62,6,0)),"")</f>
        <v/>
      </c>
      <c r="V601" s="61" t="s">
        <v>56</v>
      </c>
      <c r="W601" s="62" t="n">
        <f aca="false">IFERROR((S601*30%)/V601,0)</f>
        <v>0</v>
      </c>
      <c r="X601" s="63" t="n">
        <f aca="false">IFERROR(N601/W601,0)</f>
        <v>0</v>
      </c>
      <c r="Y601" s="68"/>
      <c r="Z601" s="57"/>
      <c r="AA601" s="69" t="str">
        <f aca="false">IF(OR(U601="",Y601="",Z601=""),"",IF(AND(U601&gt;Y601,-U601&lt;Z601),"Ok","Not Ok"))</f>
        <v/>
      </c>
      <c r="AB601" s="70"/>
    </row>
    <row r="602" customFormat="false" ht="12.8" hidden="false" customHeight="false" outlineLevel="0" collapsed="false">
      <c r="A602" s="48" t="n">
        <f aca="false">TB_audited!A585</f>
        <v>0</v>
      </c>
      <c r="B602" s="49"/>
      <c r="C602" s="50"/>
      <c r="D602" s="51" t="n">
        <f aca="false">TB_audited!B585</f>
        <v>0</v>
      </c>
      <c r="E602" s="52" t="n">
        <f aca="false">TB_audited!C585</f>
        <v>0</v>
      </c>
      <c r="F602" s="53" t="n">
        <f aca="false">TB_audited!D585</f>
        <v>0</v>
      </c>
      <c r="G602" s="54" t="n">
        <f aca="false">IF($D$8="Interim",TB_audited!G585,TB_audited!E585)</f>
        <v>0</v>
      </c>
      <c r="H602" s="55" t="str">
        <f aca="false">IFERROR(VLOOKUP($A602,RA_result!$B$3:$N$62,11,0),"")</f>
        <v/>
      </c>
      <c r="I602" s="55" t="str">
        <f aca="false">IFERROR(VLOOKUP($A602,RA_result!$B$3:$N$62,12,0),"")</f>
        <v/>
      </c>
      <c r="J602" s="55" t="str">
        <f aca="false">IFERROR(VLOOKUP($A602,RA_result!$B$3:$N$62,13,0),"")</f>
        <v/>
      </c>
      <c r="K602" s="56"/>
      <c r="L602" s="56"/>
      <c r="M602" s="57" t="n">
        <f aca="false">G602</f>
        <v>0</v>
      </c>
      <c r="N602" s="54" t="n">
        <f aca="false">G602-M602</f>
        <v>0</v>
      </c>
      <c r="O602" s="55" t="str">
        <f aca="false">IFERROR(VLOOKUP($A602,RA_result!$B$3:$N$62,7,0),"")</f>
        <v/>
      </c>
      <c r="P602" s="52" t="str">
        <f aca="false">IFERROR(VLOOKUP($A602,RA_result!$B$3:$N$62,9,0),"")</f>
        <v/>
      </c>
      <c r="Q602" s="52" t="str">
        <f aca="false">IFERROR(VLOOKUP($A602,RA_result!$B$3:$N$62,10,0),"")</f>
        <v/>
      </c>
      <c r="R602" s="58" t="s">
        <v>55</v>
      </c>
      <c r="S602" s="59" t="str">
        <f aca="false">IFERROR(VLOOKUP($A602,RA_result!$B$3:$N$62,4,0),"")</f>
        <v/>
      </c>
      <c r="T602" s="60" t="s">
        <v>56</v>
      </c>
      <c r="U602" s="59" t="str">
        <f aca="false">IFERROR(IF(VLOOKUP($A602,RA_result!$B$3:$N$62,6,0)="",S602*T602,VLOOKUP($A602,RA_result!$B$3:$N$62,6,0)),"")</f>
        <v/>
      </c>
      <c r="V602" s="61" t="s">
        <v>56</v>
      </c>
      <c r="W602" s="62" t="n">
        <f aca="false">IFERROR((S602*30%)/V602,0)</f>
        <v>0</v>
      </c>
      <c r="X602" s="63" t="n">
        <f aca="false">IFERROR(N602/W602,0)</f>
        <v>0</v>
      </c>
      <c r="Y602" s="68"/>
      <c r="Z602" s="57"/>
      <c r="AA602" s="69" t="str">
        <f aca="false">IF(OR(U602="",Y602="",Z602=""),"",IF(AND(U602&gt;Y602,-U602&lt;Z602),"Ok","Not Ok"))</f>
        <v/>
      </c>
      <c r="AB602" s="70"/>
    </row>
    <row r="603" customFormat="false" ht="12.8" hidden="false" customHeight="false" outlineLevel="0" collapsed="false">
      <c r="A603" s="48" t="n">
        <f aca="false">TB_audited!A586</f>
        <v>0</v>
      </c>
      <c r="B603" s="49"/>
      <c r="C603" s="50"/>
      <c r="D603" s="51" t="n">
        <f aca="false">TB_audited!B586</f>
        <v>0</v>
      </c>
      <c r="E603" s="52" t="n">
        <f aca="false">TB_audited!C586</f>
        <v>0</v>
      </c>
      <c r="F603" s="53" t="n">
        <f aca="false">TB_audited!D586</f>
        <v>0</v>
      </c>
      <c r="G603" s="54" t="n">
        <f aca="false">IF($D$8="Interim",TB_audited!G586,TB_audited!E586)</f>
        <v>0</v>
      </c>
      <c r="H603" s="55" t="str">
        <f aca="false">IFERROR(VLOOKUP($A603,RA_result!$B$3:$N$62,11,0),"")</f>
        <v/>
      </c>
      <c r="I603" s="55" t="str">
        <f aca="false">IFERROR(VLOOKUP($A603,RA_result!$B$3:$N$62,12,0),"")</f>
        <v/>
      </c>
      <c r="J603" s="55" t="str">
        <f aca="false">IFERROR(VLOOKUP($A603,RA_result!$B$3:$N$62,13,0),"")</f>
        <v/>
      </c>
      <c r="K603" s="56"/>
      <c r="L603" s="56"/>
      <c r="M603" s="57" t="n">
        <f aca="false">G603</f>
        <v>0</v>
      </c>
      <c r="N603" s="54" t="n">
        <f aca="false">G603-M603</f>
        <v>0</v>
      </c>
      <c r="O603" s="55" t="str">
        <f aca="false">IFERROR(VLOOKUP($A603,RA_result!$B$3:$N$62,7,0),"")</f>
        <v/>
      </c>
      <c r="P603" s="52" t="str">
        <f aca="false">IFERROR(VLOOKUP($A603,RA_result!$B$3:$N$62,9,0),"")</f>
        <v/>
      </c>
      <c r="Q603" s="52" t="str">
        <f aca="false">IFERROR(VLOOKUP($A603,RA_result!$B$3:$N$62,10,0),"")</f>
        <v/>
      </c>
      <c r="R603" s="58" t="s">
        <v>55</v>
      </c>
      <c r="S603" s="59" t="str">
        <f aca="false">IFERROR(VLOOKUP($A603,RA_result!$B$3:$N$62,4,0),"")</f>
        <v/>
      </c>
      <c r="T603" s="60" t="s">
        <v>56</v>
      </c>
      <c r="U603" s="59" t="str">
        <f aca="false">IFERROR(IF(VLOOKUP($A603,RA_result!$B$3:$N$62,6,0)="",S603*T603,VLOOKUP($A603,RA_result!$B$3:$N$62,6,0)),"")</f>
        <v/>
      </c>
      <c r="V603" s="61" t="s">
        <v>56</v>
      </c>
      <c r="W603" s="62" t="n">
        <f aca="false">IFERROR((S603*30%)/V603,0)</f>
        <v>0</v>
      </c>
      <c r="X603" s="63" t="n">
        <f aca="false">IFERROR(N603/W603,0)</f>
        <v>0</v>
      </c>
      <c r="Y603" s="68"/>
      <c r="Z603" s="57"/>
      <c r="AA603" s="69" t="str">
        <f aca="false">IF(OR(U603="",Y603="",Z603=""),"",IF(AND(U603&gt;Y603,-U603&lt;Z603),"Ok","Not Ok"))</f>
        <v/>
      </c>
      <c r="AB603" s="70"/>
    </row>
    <row r="604" customFormat="false" ht="12.8" hidden="false" customHeight="false" outlineLevel="0" collapsed="false">
      <c r="A604" s="48" t="n">
        <f aca="false">TB_audited!A587</f>
        <v>0</v>
      </c>
      <c r="B604" s="49"/>
      <c r="C604" s="50"/>
      <c r="D604" s="51" t="n">
        <f aca="false">TB_audited!B587</f>
        <v>0</v>
      </c>
      <c r="E604" s="52" t="n">
        <f aca="false">TB_audited!C587</f>
        <v>0</v>
      </c>
      <c r="F604" s="53" t="n">
        <f aca="false">TB_audited!D587</f>
        <v>0</v>
      </c>
      <c r="G604" s="54" t="n">
        <f aca="false">IF($D$8="Interim",TB_audited!G587,TB_audited!E587)</f>
        <v>0</v>
      </c>
      <c r="H604" s="55" t="str">
        <f aca="false">IFERROR(VLOOKUP($A604,RA_result!$B$3:$N$62,11,0),"")</f>
        <v/>
      </c>
      <c r="I604" s="55" t="str">
        <f aca="false">IFERROR(VLOOKUP($A604,RA_result!$B$3:$N$62,12,0),"")</f>
        <v/>
      </c>
      <c r="J604" s="55" t="str">
        <f aca="false">IFERROR(VLOOKUP($A604,RA_result!$B$3:$N$62,13,0),"")</f>
        <v/>
      </c>
      <c r="K604" s="56"/>
      <c r="L604" s="56"/>
      <c r="M604" s="57" t="n">
        <f aca="false">G604</f>
        <v>0</v>
      </c>
      <c r="N604" s="54" t="n">
        <f aca="false">G604-M604</f>
        <v>0</v>
      </c>
      <c r="O604" s="55" t="str">
        <f aca="false">IFERROR(VLOOKUP($A604,RA_result!$B$3:$N$62,7,0),"")</f>
        <v/>
      </c>
      <c r="P604" s="52" t="str">
        <f aca="false">IFERROR(VLOOKUP($A604,RA_result!$B$3:$N$62,9,0),"")</f>
        <v/>
      </c>
      <c r="Q604" s="52" t="str">
        <f aca="false">IFERROR(VLOOKUP($A604,RA_result!$B$3:$N$62,10,0),"")</f>
        <v/>
      </c>
      <c r="R604" s="58" t="s">
        <v>55</v>
      </c>
      <c r="S604" s="59" t="str">
        <f aca="false">IFERROR(VLOOKUP($A604,RA_result!$B$3:$N$62,4,0),"")</f>
        <v/>
      </c>
      <c r="T604" s="60" t="s">
        <v>56</v>
      </c>
      <c r="U604" s="59" t="str">
        <f aca="false">IFERROR(IF(VLOOKUP($A604,RA_result!$B$3:$N$62,6,0)="",S604*T604,VLOOKUP($A604,RA_result!$B$3:$N$62,6,0)),"")</f>
        <v/>
      </c>
      <c r="V604" s="61" t="s">
        <v>56</v>
      </c>
      <c r="W604" s="62" t="n">
        <f aca="false">IFERROR((S604*30%)/V604,0)</f>
        <v>0</v>
      </c>
      <c r="X604" s="63" t="n">
        <f aca="false">IFERROR(N604/W604,0)</f>
        <v>0</v>
      </c>
      <c r="Y604" s="68"/>
      <c r="Z604" s="57"/>
      <c r="AA604" s="69" t="str">
        <f aca="false">IF(OR(U604="",Y604="",Z604=""),"",IF(AND(U604&gt;Y604,-U604&lt;Z604),"Ok","Not Ok"))</f>
        <v/>
      </c>
      <c r="AB604" s="70"/>
    </row>
    <row r="605" customFormat="false" ht="12.8" hidden="false" customHeight="false" outlineLevel="0" collapsed="false">
      <c r="A605" s="48" t="n">
        <f aca="false">TB_audited!A588</f>
        <v>0</v>
      </c>
      <c r="B605" s="49"/>
      <c r="C605" s="50"/>
      <c r="D605" s="51" t="n">
        <f aca="false">TB_audited!B588</f>
        <v>0</v>
      </c>
      <c r="E605" s="52" t="n">
        <f aca="false">TB_audited!C588</f>
        <v>0</v>
      </c>
      <c r="F605" s="53" t="n">
        <f aca="false">TB_audited!D588</f>
        <v>0</v>
      </c>
      <c r="G605" s="54" t="n">
        <f aca="false">IF($D$8="Interim",TB_audited!G588,TB_audited!E588)</f>
        <v>0</v>
      </c>
      <c r="H605" s="55" t="str">
        <f aca="false">IFERROR(VLOOKUP($A605,RA_result!$B$3:$N$62,11,0),"")</f>
        <v/>
      </c>
      <c r="I605" s="55" t="str">
        <f aca="false">IFERROR(VLOOKUP($A605,RA_result!$B$3:$N$62,12,0),"")</f>
        <v/>
      </c>
      <c r="J605" s="55" t="str">
        <f aca="false">IFERROR(VLOOKUP($A605,RA_result!$B$3:$N$62,13,0),"")</f>
        <v/>
      </c>
      <c r="K605" s="56"/>
      <c r="L605" s="56"/>
      <c r="M605" s="57" t="n">
        <f aca="false">G605</f>
        <v>0</v>
      </c>
      <c r="N605" s="54" t="n">
        <f aca="false">G605-M605</f>
        <v>0</v>
      </c>
      <c r="O605" s="55" t="str">
        <f aca="false">IFERROR(VLOOKUP($A605,RA_result!$B$3:$N$62,7,0),"")</f>
        <v/>
      </c>
      <c r="P605" s="52" t="str">
        <f aca="false">IFERROR(VLOOKUP($A605,RA_result!$B$3:$N$62,9,0),"")</f>
        <v/>
      </c>
      <c r="Q605" s="52" t="str">
        <f aca="false">IFERROR(VLOOKUP($A605,RA_result!$B$3:$N$62,10,0),"")</f>
        <v/>
      </c>
      <c r="R605" s="58" t="s">
        <v>55</v>
      </c>
      <c r="S605" s="59" t="str">
        <f aca="false">IFERROR(VLOOKUP($A605,RA_result!$B$3:$N$62,4,0),"")</f>
        <v/>
      </c>
      <c r="T605" s="60" t="s">
        <v>56</v>
      </c>
      <c r="U605" s="59" t="str">
        <f aca="false">IFERROR(IF(VLOOKUP($A605,RA_result!$B$3:$N$62,6,0)="",S605*T605,VLOOKUP($A605,RA_result!$B$3:$N$62,6,0)),"")</f>
        <v/>
      </c>
      <c r="V605" s="61" t="s">
        <v>56</v>
      </c>
      <c r="W605" s="62" t="n">
        <f aca="false">IFERROR((S605*30%)/V605,0)</f>
        <v>0</v>
      </c>
      <c r="X605" s="63" t="n">
        <f aca="false">IFERROR(N605/W605,0)</f>
        <v>0</v>
      </c>
      <c r="Y605" s="68"/>
      <c r="Z605" s="57"/>
      <c r="AA605" s="69" t="str">
        <f aca="false">IF(OR(U605="",Y605="",Z605=""),"",IF(AND(U605&gt;Y605,-U605&lt;Z605),"Ok","Not Ok"))</f>
        <v/>
      </c>
      <c r="AB605" s="70"/>
    </row>
    <row r="606" customFormat="false" ht="12.8" hidden="false" customHeight="false" outlineLevel="0" collapsed="false">
      <c r="A606" s="48" t="n">
        <f aca="false">TB_audited!A589</f>
        <v>0</v>
      </c>
      <c r="B606" s="49"/>
      <c r="C606" s="50"/>
      <c r="D606" s="51" t="n">
        <f aca="false">TB_audited!B589</f>
        <v>0</v>
      </c>
      <c r="E606" s="52" t="n">
        <f aca="false">TB_audited!C589</f>
        <v>0</v>
      </c>
      <c r="F606" s="53" t="n">
        <f aca="false">TB_audited!D589</f>
        <v>0</v>
      </c>
      <c r="G606" s="54" t="n">
        <f aca="false">IF($D$8="Interim",TB_audited!G589,TB_audited!E589)</f>
        <v>0</v>
      </c>
      <c r="H606" s="55" t="str">
        <f aca="false">IFERROR(VLOOKUP($A606,RA_result!$B$3:$N$62,11,0),"")</f>
        <v/>
      </c>
      <c r="I606" s="55" t="str">
        <f aca="false">IFERROR(VLOOKUP($A606,RA_result!$B$3:$N$62,12,0),"")</f>
        <v/>
      </c>
      <c r="J606" s="55" t="str">
        <f aca="false">IFERROR(VLOOKUP($A606,RA_result!$B$3:$N$62,13,0),"")</f>
        <v/>
      </c>
      <c r="K606" s="56"/>
      <c r="L606" s="56"/>
      <c r="M606" s="57" t="n">
        <f aca="false">G606</f>
        <v>0</v>
      </c>
      <c r="N606" s="54" t="n">
        <f aca="false">G606-M606</f>
        <v>0</v>
      </c>
      <c r="O606" s="55" t="str">
        <f aca="false">IFERROR(VLOOKUP($A606,RA_result!$B$3:$N$62,7,0),"")</f>
        <v/>
      </c>
      <c r="P606" s="52" t="str">
        <f aca="false">IFERROR(VLOOKUP($A606,RA_result!$B$3:$N$62,9,0),"")</f>
        <v/>
      </c>
      <c r="Q606" s="52" t="str">
        <f aca="false">IFERROR(VLOOKUP($A606,RA_result!$B$3:$N$62,10,0),"")</f>
        <v/>
      </c>
      <c r="R606" s="58" t="s">
        <v>55</v>
      </c>
      <c r="S606" s="59" t="str">
        <f aca="false">IFERROR(VLOOKUP($A606,RA_result!$B$3:$N$62,4,0),"")</f>
        <v/>
      </c>
      <c r="T606" s="60" t="s">
        <v>56</v>
      </c>
      <c r="U606" s="59" t="str">
        <f aca="false">IFERROR(IF(VLOOKUP($A606,RA_result!$B$3:$N$62,6,0)="",S606*T606,VLOOKUP($A606,RA_result!$B$3:$N$62,6,0)),"")</f>
        <v/>
      </c>
      <c r="V606" s="61" t="s">
        <v>56</v>
      </c>
      <c r="W606" s="62" t="n">
        <f aca="false">IFERROR((S606*30%)/V606,0)</f>
        <v>0</v>
      </c>
      <c r="X606" s="63" t="n">
        <f aca="false">IFERROR(N606/W606,0)</f>
        <v>0</v>
      </c>
      <c r="Y606" s="68"/>
      <c r="Z606" s="57"/>
      <c r="AA606" s="69" t="str">
        <f aca="false">IF(OR(U606="",Y606="",Z606=""),"",IF(AND(U606&gt;Y606,-U606&lt;Z606),"Ok","Not Ok"))</f>
        <v/>
      </c>
      <c r="AB606" s="70"/>
    </row>
    <row r="607" customFormat="false" ht="12.8" hidden="false" customHeight="false" outlineLevel="0" collapsed="false">
      <c r="A607" s="48" t="n">
        <f aca="false">TB_audited!A590</f>
        <v>0</v>
      </c>
      <c r="B607" s="49"/>
      <c r="C607" s="50"/>
      <c r="D607" s="51" t="n">
        <f aca="false">TB_audited!B590</f>
        <v>0</v>
      </c>
      <c r="E607" s="52" t="n">
        <f aca="false">TB_audited!C590</f>
        <v>0</v>
      </c>
      <c r="F607" s="53" t="n">
        <f aca="false">TB_audited!D590</f>
        <v>0</v>
      </c>
      <c r="G607" s="54" t="n">
        <f aca="false">IF($D$8="Interim",TB_audited!G590,TB_audited!E590)</f>
        <v>0</v>
      </c>
      <c r="H607" s="55" t="str">
        <f aca="false">IFERROR(VLOOKUP($A607,RA_result!$B$3:$N$62,11,0),"")</f>
        <v/>
      </c>
      <c r="I607" s="55" t="str">
        <f aca="false">IFERROR(VLOOKUP($A607,RA_result!$B$3:$N$62,12,0),"")</f>
        <v/>
      </c>
      <c r="J607" s="55" t="str">
        <f aca="false">IFERROR(VLOOKUP($A607,RA_result!$B$3:$N$62,13,0),"")</f>
        <v/>
      </c>
      <c r="K607" s="56"/>
      <c r="L607" s="56"/>
      <c r="M607" s="57" t="n">
        <f aca="false">G607</f>
        <v>0</v>
      </c>
      <c r="N607" s="54" t="n">
        <f aca="false">G607-M607</f>
        <v>0</v>
      </c>
      <c r="O607" s="55" t="str">
        <f aca="false">IFERROR(VLOOKUP($A607,RA_result!$B$3:$N$62,7,0),"")</f>
        <v/>
      </c>
      <c r="P607" s="52" t="str">
        <f aca="false">IFERROR(VLOOKUP($A607,RA_result!$B$3:$N$62,9,0),"")</f>
        <v/>
      </c>
      <c r="Q607" s="52" t="str">
        <f aca="false">IFERROR(VLOOKUP($A607,RA_result!$B$3:$N$62,10,0),"")</f>
        <v/>
      </c>
      <c r="R607" s="58" t="s">
        <v>55</v>
      </c>
      <c r="S607" s="59" t="str">
        <f aca="false">IFERROR(VLOOKUP($A607,RA_result!$B$3:$N$62,4,0),"")</f>
        <v/>
      </c>
      <c r="T607" s="60" t="s">
        <v>56</v>
      </c>
      <c r="U607" s="59" t="str">
        <f aca="false">IFERROR(IF(VLOOKUP($A607,RA_result!$B$3:$N$62,6,0)="",S607*T607,VLOOKUP($A607,RA_result!$B$3:$N$62,6,0)),"")</f>
        <v/>
      </c>
      <c r="V607" s="61" t="s">
        <v>56</v>
      </c>
      <c r="W607" s="62" t="n">
        <f aca="false">IFERROR((S607*30%)/V607,0)</f>
        <v>0</v>
      </c>
      <c r="X607" s="63" t="n">
        <f aca="false">IFERROR(N607/W607,0)</f>
        <v>0</v>
      </c>
      <c r="Y607" s="68"/>
      <c r="Z607" s="57"/>
      <c r="AA607" s="69" t="str">
        <f aca="false">IF(OR(U607="",Y607="",Z607=""),"",IF(AND(U607&gt;Y607,-U607&lt;Z607),"Ok","Not Ok"))</f>
        <v/>
      </c>
      <c r="AB607" s="70"/>
    </row>
    <row r="608" customFormat="false" ht="12.8" hidden="false" customHeight="false" outlineLevel="0" collapsed="false">
      <c r="A608" s="48" t="n">
        <f aca="false">TB_audited!A591</f>
        <v>0</v>
      </c>
      <c r="B608" s="49"/>
      <c r="C608" s="50"/>
      <c r="D608" s="51" t="n">
        <f aca="false">TB_audited!B591</f>
        <v>0</v>
      </c>
      <c r="E608" s="52" t="n">
        <f aca="false">TB_audited!C591</f>
        <v>0</v>
      </c>
      <c r="F608" s="53" t="n">
        <f aca="false">TB_audited!D591</f>
        <v>0</v>
      </c>
      <c r="G608" s="54" t="n">
        <f aca="false">IF($D$8="Interim",TB_audited!G591,TB_audited!E591)</f>
        <v>0</v>
      </c>
      <c r="H608" s="55" t="str">
        <f aca="false">IFERROR(VLOOKUP($A608,RA_result!$B$3:$N$62,11,0),"")</f>
        <v/>
      </c>
      <c r="I608" s="55" t="str">
        <f aca="false">IFERROR(VLOOKUP($A608,RA_result!$B$3:$N$62,12,0),"")</f>
        <v/>
      </c>
      <c r="J608" s="55" t="str">
        <f aca="false">IFERROR(VLOOKUP($A608,RA_result!$B$3:$N$62,13,0),"")</f>
        <v/>
      </c>
      <c r="K608" s="56"/>
      <c r="L608" s="56"/>
      <c r="M608" s="57" t="n">
        <f aca="false">G608</f>
        <v>0</v>
      </c>
      <c r="N608" s="54" t="n">
        <f aca="false">G608-M608</f>
        <v>0</v>
      </c>
      <c r="O608" s="55" t="str">
        <f aca="false">IFERROR(VLOOKUP($A608,RA_result!$B$3:$N$62,7,0),"")</f>
        <v/>
      </c>
      <c r="P608" s="52" t="str">
        <f aca="false">IFERROR(VLOOKUP($A608,RA_result!$B$3:$N$62,9,0),"")</f>
        <v/>
      </c>
      <c r="Q608" s="52" t="str">
        <f aca="false">IFERROR(VLOOKUP($A608,RA_result!$B$3:$N$62,10,0),"")</f>
        <v/>
      </c>
      <c r="R608" s="58" t="s">
        <v>55</v>
      </c>
      <c r="S608" s="59" t="str">
        <f aca="false">IFERROR(VLOOKUP($A608,RA_result!$B$3:$N$62,4,0),"")</f>
        <v/>
      </c>
      <c r="T608" s="60" t="s">
        <v>56</v>
      </c>
      <c r="U608" s="59" t="str">
        <f aca="false">IFERROR(IF(VLOOKUP($A608,RA_result!$B$3:$N$62,6,0)="",S608*T608,VLOOKUP($A608,RA_result!$B$3:$N$62,6,0)),"")</f>
        <v/>
      </c>
      <c r="V608" s="61" t="s">
        <v>56</v>
      </c>
      <c r="W608" s="62" t="n">
        <f aca="false">IFERROR((S608*30%)/V608,0)</f>
        <v>0</v>
      </c>
      <c r="X608" s="63" t="n">
        <f aca="false">IFERROR(N608/W608,0)</f>
        <v>0</v>
      </c>
      <c r="Y608" s="68"/>
      <c r="Z608" s="57"/>
      <c r="AA608" s="69" t="str">
        <f aca="false">IF(OR(U608="",Y608="",Z608=""),"",IF(AND(U608&gt;Y608,-U608&lt;Z608),"Ok","Not Ok"))</f>
        <v/>
      </c>
      <c r="AB608" s="70"/>
    </row>
    <row r="609" customFormat="false" ht="12.8" hidden="false" customHeight="false" outlineLevel="0" collapsed="false">
      <c r="A609" s="48" t="n">
        <f aca="false">TB_audited!A592</f>
        <v>0</v>
      </c>
      <c r="B609" s="49"/>
      <c r="C609" s="50"/>
      <c r="D609" s="51" t="n">
        <f aca="false">TB_audited!B592</f>
        <v>0</v>
      </c>
      <c r="E609" s="52" t="n">
        <f aca="false">TB_audited!C592</f>
        <v>0</v>
      </c>
      <c r="F609" s="53" t="n">
        <f aca="false">TB_audited!D592</f>
        <v>0</v>
      </c>
      <c r="G609" s="54" t="n">
        <f aca="false">IF($D$8="Interim",TB_audited!G592,TB_audited!E592)</f>
        <v>0</v>
      </c>
      <c r="H609" s="55" t="str">
        <f aca="false">IFERROR(VLOOKUP($A609,RA_result!$B$3:$N$62,11,0),"")</f>
        <v/>
      </c>
      <c r="I609" s="55" t="str">
        <f aca="false">IFERROR(VLOOKUP($A609,RA_result!$B$3:$N$62,12,0),"")</f>
        <v/>
      </c>
      <c r="J609" s="55" t="str">
        <f aca="false">IFERROR(VLOOKUP($A609,RA_result!$B$3:$N$62,13,0),"")</f>
        <v/>
      </c>
      <c r="K609" s="56"/>
      <c r="L609" s="56"/>
      <c r="M609" s="57" t="n">
        <f aca="false">G609</f>
        <v>0</v>
      </c>
      <c r="N609" s="54" t="n">
        <f aca="false">G609-M609</f>
        <v>0</v>
      </c>
      <c r="O609" s="55" t="str">
        <f aca="false">IFERROR(VLOOKUP($A609,RA_result!$B$3:$N$62,7,0),"")</f>
        <v/>
      </c>
      <c r="P609" s="52" t="str">
        <f aca="false">IFERROR(VLOOKUP($A609,RA_result!$B$3:$N$62,9,0),"")</f>
        <v/>
      </c>
      <c r="Q609" s="52" t="str">
        <f aca="false">IFERROR(VLOOKUP($A609,RA_result!$B$3:$N$62,10,0),"")</f>
        <v/>
      </c>
      <c r="R609" s="58" t="s">
        <v>55</v>
      </c>
      <c r="S609" s="59" t="str">
        <f aca="false">IFERROR(VLOOKUP($A609,RA_result!$B$3:$N$62,4,0),"")</f>
        <v/>
      </c>
      <c r="T609" s="60" t="s">
        <v>56</v>
      </c>
      <c r="U609" s="59" t="str">
        <f aca="false">IFERROR(IF(VLOOKUP($A609,RA_result!$B$3:$N$62,6,0)="",S609*T609,VLOOKUP($A609,RA_result!$B$3:$N$62,6,0)),"")</f>
        <v/>
      </c>
      <c r="V609" s="61" t="s">
        <v>56</v>
      </c>
      <c r="W609" s="62" t="n">
        <f aca="false">IFERROR((S609*30%)/V609,0)</f>
        <v>0</v>
      </c>
      <c r="X609" s="63" t="n">
        <f aca="false">IFERROR(N609/W609,0)</f>
        <v>0</v>
      </c>
      <c r="Y609" s="68"/>
      <c r="Z609" s="57"/>
      <c r="AA609" s="69" t="str">
        <f aca="false">IF(OR(U609="",Y609="",Z609=""),"",IF(AND(U609&gt;Y609,-U609&lt;Z609),"Ok","Not Ok"))</f>
        <v/>
      </c>
      <c r="AB609" s="70"/>
    </row>
    <row r="610" customFormat="false" ht="12.8" hidden="false" customHeight="false" outlineLevel="0" collapsed="false">
      <c r="A610" s="48" t="n">
        <f aca="false">TB_audited!A593</f>
        <v>0</v>
      </c>
      <c r="B610" s="49"/>
      <c r="C610" s="50"/>
      <c r="D610" s="51" t="n">
        <f aca="false">TB_audited!B593</f>
        <v>0</v>
      </c>
      <c r="E610" s="52" t="n">
        <f aca="false">TB_audited!C593</f>
        <v>0</v>
      </c>
      <c r="F610" s="53" t="n">
        <f aca="false">TB_audited!D593</f>
        <v>0</v>
      </c>
      <c r="G610" s="54" t="n">
        <f aca="false">IF($D$8="Interim",TB_audited!G593,TB_audited!E593)</f>
        <v>0</v>
      </c>
      <c r="H610" s="55" t="str">
        <f aca="false">IFERROR(VLOOKUP($A610,RA_result!$B$3:$N$62,11,0),"")</f>
        <v/>
      </c>
      <c r="I610" s="55" t="str">
        <f aca="false">IFERROR(VLOOKUP($A610,RA_result!$B$3:$N$62,12,0),"")</f>
        <v/>
      </c>
      <c r="J610" s="55" t="str">
        <f aca="false">IFERROR(VLOOKUP($A610,RA_result!$B$3:$N$62,13,0),"")</f>
        <v/>
      </c>
      <c r="K610" s="56"/>
      <c r="L610" s="56"/>
      <c r="M610" s="57" t="n">
        <f aca="false">G610</f>
        <v>0</v>
      </c>
      <c r="N610" s="54" t="n">
        <f aca="false">G610-M610</f>
        <v>0</v>
      </c>
      <c r="O610" s="55" t="str">
        <f aca="false">IFERROR(VLOOKUP($A610,RA_result!$B$3:$N$62,7,0),"")</f>
        <v/>
      </c>
      <c r="P610" s="52" t="str">
        <f aca="false">IFERROR(VLOOKUP($A610,RA_result!$B$3:$N$62,9,0),"")</f>
        <v/>
      </c>
      <c r="Q610" s="52" t="str">
        <f aca="false">IFERROR(VLOOKUP($A610,RA_result!$B$3:$N$62,10,0),"")</f>
        <v/>
      </c>
      <c r="R610" s="58" t="s">
        <v>55</v>
      </c>
      <c r="S610" s="59" t="str">
        <f aca="false">IFERROR(VLOOKUP($A610,RA_result!$B$3:$N$62,4,0),"")</f>
        <v/>
      </c>
      <c r="T610" s="60" t="s">
        <v>56</v>
      </c>
      <c r="U610" s="59" t="str">
        <f aca="false">IFERROR(IF(VLOOKUP($A610,RA_result!$B$3:$N$62,6,0)="",S610*T610,VLOOKUP($A610,RA_result!$B$3:$N$62,6,0)),"")</f>
        <v/>
      </c>
      <c r="V610" s="61" t="s">
        <v>56</v>
      </c>
      <c r="W610" s="62" t="n">
        <f aca="false">IFERROR((S610*30%)/V610,0)</f>
        <v>0</v>
      </c>
      <c r="X610" s="63" t="n">
        <f aca="false">IFERROR(N610/W610,0)</f>
        <v>0</v>
      </c>
      <c r="Y610" s="68"/>
      <c r="Z610" s="57"/>
      <c r="AA610" s="69" t="str">
        <f aca="false">IF(OR(U610="",Y610="",Z610=""),"",IF(AND(U610&gt;Y610,-U610&lt;Z610),"Ok","Not Ok"))</f>
        <v/>
      </c>
      <c r="AB610" s="70"/>
    </row>
    <row r="611" customFormat="false" ht="12.8" hidden="false" customHeight="false" outlineLevel="0" collapsed="false">
      <c r="A611" s="48" t="n">
        <f aca="false">TB_audited!A594</f>
        <v>0</v>
      </c>
      <c r="B611" s="49"/>
      <c r="C611" s="50"/>
      <c r="D611" s="51" t="n">
        <f aca="false">TB_audited!B594</f>
        <v>0</v>
      </c>
      <c r="E611" s="52" t="n">
        <f aca="false">TB_audited!C594</f>
        <v>0</v>
      </c>
      <c r="F611" s="53" t="n">
        <f aca="false">TB_audited!D594</f>
        <v>0</v>
      </c>
      <c r="G611" s="54" t="n">
        <f aca="false">IF($D$8="Interim",TB_audited!G594,TB_audited!E594)</f>
        <v>0</v>
      </c>
      <c r="H611" s="55" t="str">
        <f aca="false">IFERROR(VLOOKUP($A611,RA_result!$B$3:$N$62,11,0),"")</f>
        <v/>
      </c>
      <c r="I611" s="55" t="str">
        <f aca="false">IFERROR(VLOOKUP($A611,RA_result!$B$3:$N$62,12,0),"")</f>
        <v/>
      </c>
      <c r="J611" s="55" t="str">
        <f aca="false">IFERROR(VLOOKUP($A611,RA_result!$B$3:$N$62,13,0),"")</f>
        <v/>
      </c>
      <c r="K611" s="56"/>
      <c r="L611" s="56"/>
      <c r="M611" s="57" t="n">
        <f aca="false">G611</f>
        <v>0</v>
      </c>
      <c r="N611" s="54" t="n">
        <f aca="false">G611-M611</f>
        <v>0</v>
      </c>
      <c r="O611" s="55" t="str">
        <f aca="false">IFERROR(VLOOKUP($A611,RA_result!$B$3:$N$62,7,0),"")</f>
        <v/>
      </c>
      <c r="P611" s="52" t="str">
        <f aca="false">IFERROR(VLOOKUP($A611,RA_result!$B$3:$N$62,9,0),"")</f>
        <v/>
      </c>
      <c r="Q611" s="52" t="str">
        <f aca="false">IFERROR(VLOOKUP($A611,RA_result!$B$3:$N$62,10,0),"")</f>
        <v/>
      </c>
      <c r="R611" s="58" t="s">
        <v>55</v>
      </c>
      <c r="S611" s="59" t="str">
        <f aca="false">IFERROR(VLOOKUP($A611,RA_result!$B$3:$N$62,4,0),"")</f>
        <v/>
      </c>
      <c r="T611" s="60" t="s">
        <v>56</v>
      </c>
      <c r="U611" s="59" t="str">
        <f aca="false">IFERROR(IF(VLOOKUP($A611,RA_result!$B$3:$N$62,6,0)="",S611*T611,VLOOKUP($A611,RA_result!$B$3:$N$62,6,0)),"")</f>
        <v/>
      </c>
      <c r="V611" s="61" t="s">
        <v>56</v>
      </c>
      <c r="W611" s="62" t="n">
        <f aca="false">IFERROR((S611*30%)/V611,0)</f>
        <v>0</v>
      </c>
      <c r="X611" s="63" t="n">
        <f aca="false">IFERROR(N611/W611,0)</f>
        <v>0</v>
      </c>
      <c r="Y611" s="68"/>
      <c r="Z611" s="57"/>
      <c r="AA611" s="69" t="str">
        <f aca="false">IF(OR(U611="",Y611="",Z611=""),"",IF(AND(U611&gt;Y611,-U611&lt;Z611),"Ok","Not Ok"))</f>
        <v/>
      </c>
      <c r="AB611" s="70"/>
    </row>
    <row r="612" customFormat="false" ht="12.8" hidden="false" customHeight="false" outlineLevel="0" collapsed="false">
      <c r="A612" s="48" t="n">
        <f aca="false">TB_audited!A595</f>
        <v>0</v>
      </c>
      <c r="B612" s="49"/>
      <c r="C612" s="50"/>
      <c r="D612" s="51" t="n">
        <f aca="false">TB_audited!B595</f>
        <v>0</v>
      </c>
      <c r="E612" s="52" t="n">
        <f aca="false">TB_audited!C595</f>
        <v>0</v>
      </c>
      <c r="F612" s="53" t="n">
        <f aca="false">TB_audited!D595</f>
        <v>0</v>
      </c>
      <c r="G612" s="54" t="n">
        <f aca="false">IF($D$8="Interim",TB_audited!G595,TB_audited!E595)</f>
        <v>0</v>
      </c>
      <c r="H612" s="55" t="str">
        <f aca="false">IFERROR(VLOOKUP($A612,RA_result!$B$3:$N$62,11,0),"")</f>
        <v/>
      </c>
      <c r="I612" s="55" t="str">
        <f aca="false">IFERROR(VLOOKUP($A612,RA_result!$B$3:$N$62,12,0),"")</f>
        <v/>
      </c>
      <c r="J612" s="55" t="str">
        <f aca="false">IFERROR(VLOOKUP($A612,RA_result!$B$3:$N$62,13,0),"")</f>
        <v/>
      </c>
      <c r="K612" s="56"/>
      <c r="L612" s="56"/>
      <c r="M612" s="57" t="n">
        <f aca="false">G612</f>
        <v>0</v>
      </c>
      <c r="N612" s="54" t="n">
        <f aca="false">G612-M612</f>
        <v>0</v>
      </c>
      <c r="O612" s="55" t="str">
        <f aca="false">IFERROR(VLOOKUP($A612,RA_result!$B$3:$N$62,7,0),"")</f>
        <v/>
      </c>
      <c r="P612" s="52" t="str">
        <f aca="false">IFERROR(VLOOKUP($A612,RA_result!$B$3:$N$62,9,0),"")</f>
        <v/>
      </c>
      <c r="Q612" s="52" t="str">
        <f aca="false">IFERROR(VLOOKUP($A612,RA_result!$B$3:$N$62,10,0),"")</f>
        <v/>
      </c>
      <c r="R612" s="58" t="s">
        <v>55</v>
      </c>
      <c r="S612" s="59" t="str">
        <f aca="false">IFERROR(VLOOKUP($A612,RA_result!$B$3:$N$62,4,0),"")</f>
        <v/>
      </c>
      <c r="T612" s="60" t="s">
        <v>56</v>
      </c>
      <c r="U612" s="59" t="str">
        <f aca="false">IFERROR(IF(VLOOKUP($A612,RA_result!$B$3:$N$62,6,0)="",S612*T612,VLOOKUP($A612,RA_result!$B$3:$N$62,6,0)),"")</f>
        <v/>
      </c>
      <c r="V612" s="61" t="s">
        <v>56</v>
      </c>
      <c r="W612" s="62" t="n">
        <f aca="false">IFERROR((S612*30%)/V612,0)</f>
        <v>0</v>
      </c>
      <c r="X612" s="63" t="n">
        <f aca="false">IFERROR(N612/W612,0)</f>
        <v>0</v>
      </c>
      <c r="Y612" s="68"/>
      <c r="Z612" s="57"/>
      <c r="AA612" s="69" t="str">
        <f aca="false">IF(OR(U612="",Y612="",Z612=""),"",IF(AND(U612&gt;Y612,-U612&lt;Z612),"Ok","Not Ok"))</f>
        <v/>
      </c>
      <c r="AB612" s="70"/>
    </row>
    <row r="613" customFormat="false" ht="12.8" hidden="false" customHeight="false" outlineLevel="0" collapsed="false">
      <c r="A613" s="48" t="n">
        <f aca="false">TB_audited!A596</f>
        <v>0</v>
      </c>
      <c r="B613" s="49"/>
      <c r="C613" s="50"/>
      <c r="D613" s="51" t="n">
        <f aca="false">TB_audited!B596</f>
        <v>0</v>
      </c>
      <c r="E613" s="52" t="n">
        <f aca="false">TB_audited!C596</f>
        <v>0</v>
      </c>
      <c r="F613" s="53" t="n">
        <f aca="false">TB_audited!D596</f>
        <v>0</v>
      </c>
      <c r="G613" s="54" t="n">
        <f aca="false">IF($D$8="Interim",TB_audited!G596,TB_audited!E596)</f>
        <v>0</v>
      </c>
      <c r="H613" s="55" t="str">
        <f aca="false">IFERROR(VLOOKUP($A613,RA_result!$B$3:$N$62,11,0),"")</f>
        <v/>
      </c>
      <c r="I613" s="55" t="str">
        <f aca="false">IFERROR(VLOOKUP($A613,RA_result!$B$3:$N$62,12,0),"")</f>
        <v/>
      </c>
      <c r="J613" s="55" t="str">
        <f aca="false">IFERROR(VLOOKUP($A613,RA_result!$B$3:$N$62,13,0),"")</f>
        <v/>
      </c>
      <c r="K613" s="56"/>
      <c r="L613" s="56"/>
      <c r="M613" s="57" t="n">
        <f aca="false">G613</f>
        <v>0</v>
      </c>
      <c r="N613" s="54" t="n">
        <f aca="false">G613-M613</f>
        <v>0</v>
      </c>
      <c r="O613" s="55" t="str">
        <f aca="false">IFERROR(VLOOKUP($A613,RA_result!$B$3:$N$62,7,0),"")</f>
        <v/>
      </c>
      <c r="P613" s="52" t="str">
        <f aca="false">IFERROR(VLOOKUP($A613,RA_result!$B$3:$N$62,9,0),"")</f>
        <v/>
      </c>
      <c r="Q613" s="52" t="str">
        <f aca="false">IFERROR(VLOOKUP($A613,RA_result!$B$3:$N$62,10,0),"")</f>
        <v/>
      </c>
      <c r="R613" s="58" t="s">
        <v>55</v>
      </c>
      <c r="S613" s="59" t="str">
        <f aca="false">IFERROR(VLOOKUP($A613,RA_result!$B$3:$N$62,4,0),"")</f>
        <v/>
      </c>
      <c r="T613" s="60" t="s">
        <v>56</v>
      </c>
      <c r="U613" s="59" t="str">
        <f aca="false">IFERROR(IF(VLOOKUP($A613,RA_result!$B$3:$N$62,6,0)="",S613*T613,VLOOKUP($A613,RA_result!$B$3:$N$62,6,0)),"")</f>
        <v/>
      </c>
      <c r="V613" s="61" t="s">
        <v>56</v>
      </c>
      <c r="W613" s="62" t="n">
        <f aca="false">IFERROR((S613*30%)/V613,0)</f>
        <v>0</v>
      </c>
      <c r="X613" s="63" t="n">
        <f aca="false">IFERROR(N613/W613,0)</f>
        <v>0</v>
      </c>
      <c r="Y613" s="68"/>
      <c r="Z613" s="57"/>
      <c r="AA613" s="69" t="str">
        <f aca="false">IF(OR(U613="",Y613="",Z613=""),"",IF(AND(U613&gt;Y613,-U613&lt;Z613),"Ok","Not Ok"))</f>
        <v/>
      </c>
      <c r="AB613" s="70"/>
    </row>
    <row r="614" customFormat="false" ht="12.8" hidden="false" customHeight="false" outlineLevel="0" collapsed="false">
      <c r="A614" s="48" t="n">
        <f aca="false">TB_audited!A597</f>
        <v>0</v>
      </c>
      <c r="B614" s="49"/>
      <c r="C614" s="50"/>
      <c r="D614" s="51" t="n">
        <f aca="false">TB_audited!B597</f>
        <v>0</v>
      </c>
      <c r="E614" s="52" t="n">
        <f aca="false">TB_audited!C597</f>
        <v>0</v>
      </c>
      <c r="F614" s="53" t="n">
        <f aca="false">TB_audited!D597</f>
        <v>0</v>
      </c>
      <c r="G614" s="54" t="n">
        <f aca="false">IF($D$8="Interim",TB_audited!G597,TB_audited!E597)</f>
        <v>0</v>
      </c>
      <c r="H614" s="55" t="str">
        <f aca="false">IFERROR(VLOOKUP($A614,RA_result!$B$3:$N$62,11,0),"")</f>
        <v/>
      </c>
      <c r="I614" s="55" t="str">
        <f aca="false">IFERROR(VLOOKUP($A614,RA_result!$B$3:$N$62,12,0),"")</f>
        <v/>
      </c>
      <c r="J614" s="55" t="str">
        <f aca="false">IFERROR(VLOOKUP($A614,RA_result!$B$3:$N$62,13,0),"")</f>
        <v/>
      </c>
      <c r="K614" s="56"/>
      <c r="L614" s="56"/>
      <c r="M614" s="57" t="n">
        <f aca="false">G614</f>
        <v>0</v>
      </c>
      <c r="N614" s="54" t="n">
        <f aca="false">G614-M614</f>
        <v>0</v>
      </c>
      <c r="O614" s="55" t="str">
        <f aca="false">IFERROR(VLOOKUP($A614,RA_result!$B$3:$N$62,7,0),"")</f>
        <v/>
      </c>
      <c r="P614" s="52" t="str">
        <f aca="false">IFERROR(VLOOKUP($A614,RA_result!$B$3:$N$62,9,0),"")</f>
        <v/>
      </c>
      <c r="Q614" s="52" t="str">
        <f aca="false">IFERROR(VLOOKUP($A614,RA_result!$B$3:$N$62,10,0),"")</f>
        <v/>
      </c>
      <c r="R614" s="58" t="s">
        <v>55</v>
      </c>
      <c r="S614" s="59" t="str">
        <f aca="false">IFERROR(VLOOKUP($A614,RA_result!$B$3:$N$62,4,0),"")</f>
        <v/>
      </c>
      <c r="T614" s="60" t="s">
        <v>56</v>
      </c>
      <c r="U614" s="59" t="str">
        <f aca="false">IFERROR(IF(VLOOKUP($A614,RA_result!$B$3:$N$62,6,0)="",S614*T614,VLOOKUP($A614,RA_result!$B$3:$N$62,6,0)),"")</f>
        <v/>
      </c>
      <c r="V614" s="61" t="s">
        <v>56</v>
      </c>
      <c r="W614" s="62" t="n">
        <f aca="false">IFERROR((S614*30%)/V614,0)</f>
        <v>0</v>
      </c>
      <c r="X614" s="63" t="n">
        <f aca="false">IFERROR(N614/W614,0)</f>
        <v>0</v>
      </c>
      <c r="Y614" s="68"/>
      <c r="Z614" s="57"/>
      <c r="AA614" s="69" t="str">
        <f aca="false">IF(OR(U614="",Y614="",Z614=""),"",IF(AND(U614&gt;Y614,-U614&lt;Z614),"Ok","Not Ok"))</f>
        <v/>
      </c>
      <c r="AB614" s="70"/>
    </row>
    <row r="615" customFormat="false" ht="12.8" hidden="false" customHeight="false" outlineLevel="0" collapsed="false">
      <c r="A615" s="48" t="n">
        <f aca="false">TB_audited!A598</f>
        <v>0</v>
      </c>
      <c r="B615" s="49"/>
      <c r="C615" s="50"/>
      <c r="D615" s="51" t="n">
        <f aca="false">TB_audited!B598</f>
        <v>0</v>
      </c>
      <c r="E615" s="52" t="n">
        <f aca="false">TB_audited!C598</f>
        <v>0</v>
      </c>
      <c r="F615" s="53" t="n">
        <f aca="false">TB_audited!D598</f>
        <v>0</v>
      </c>
      <c r="G615" s="54" t="n">
        <f aca="false">IF($D$8="Interim",TB_audited!G598,TB_audited!E598)</f>
        <v>0</v>
      </c>
      <c r="H615" s="55" t="str">
        <f aca="false">IFERROR(VLOOKUP($A615,RA_result!$B$3:$N$62,11,0),"")</f>
        <v/>
      </c>
      <c r="I615" s="55" t="str">
        <f aca="false">IFERROR(VLOOKUP($A615,RA_result!$B$3:$N$62,12,0),"")</f>
        <v/>
      </c>
      <c r="J615" s="55" t="str">
        <f aca="false">IFERROR(VLOOKUP($A615,RA_result!$B$3:$N$62,13,0),"")</f>
        <v/>
      </c>
      <c r="K615" s="56"/>
      <c r="L615" s="56"/>
      <c r="M615" s="57" t="n">
        <f aca="false">G615</f>
        <v>0</v>
      </c>
      <c r="N615" s="54" t="n">
        <f aca="false">G615-M615</f>
        <v>0</v>
      </c>
      <c r="O615" s="55" t="str">
        <f aca="false">IFERROR(VLOOKUP($A615,RA_result!$B$3:$N$62,7,0),"")</f>
        <v/>
      </c>
      <c r="P615" s="52" t="str">
        <f aca="false">IFERROR(VLOOKUP($A615,RA_result!$B$3:$N$62,9,0),"")</f>
        <v/>
      </c>
      <c r="Q615" s="52" t="str">
        <f aca="false">IFERROR(VLOOKUP($A615,RA_result!$B$3:$N$62,10,0),"")</f>
        <v/>
      </c>
      <c r="R615" s="58" t="s">
        <v>55</v>
      </c>
      <c r="S615" s="59" t="str">
        <f aca="false">IFERROR(VLOOKUP($A615,RA_result!$B$3:$N$62,4,0),"")</f>
        <v/>
      </c>
      <c r="T615" s="60" t="s">
        <v>56</v>
      </c>
      <c r="U615" s="59" t="str">
        <f aca="false">IFERROR(IF(VLOOKUP($A615,RA_result!$B$3:$N$62,6,0)="",S615*T615,VLOOKUP($A615,RA_result!$B$3:$N$62,6,0)),"")</f>
        <v/>
      </c>
      <c r="V615" s="61" t="s">
        <v>56</v>
      </c>
      <c r="W615" s="62" t="n">
        <f aca="false">IFERROR((S615*30%)/V615,0)</f>
        <v>0</v>
      </c>
      <c r="X615" s="63" t="n">
        <f aca="false">IFERROR(N615/W615,0)</f>
        <v>0</v>
      </c>
      <c r="Y615" s="68"/>
      <c r="Z615" s="57"/>
      <c r="AA615" s="69" t="str">
        <f aca="false">IF(OR(U615="",Y615="",Z615=""),"",IF(AND(U615&gt;Y615,-U615&lt;Z615),"Ok","Not Ok"))</f>
        <v/>
      </c>
      <c r="AB615" s="70"/>
    </row>
    <row r="616" customFormat="false" ht="12.8" hidden="false" customHeight="false" outlineLevel="0" collapsed="false">
      <c r="A616" s="48" t="n">
        <f aca="false">TB_audited!A599</f>
        <v>0</v>
      </c>
      <c r="B616" s="49"/>
      <c r="C616" s="50"/>
      <c r="D616" s="51" t="n">
        <f aca="false">TB_audited!B599</f>
        <v>0</v>
      </c>
      <c r="E616" s="52" t="n">
        <f aca="false">TB_audited!C599</f>
        <v>0</v>
      </c>
      <c r="F616" s="53" t="n">
        <f aca="false">TB_audited!D599</f>
        <v>0</v>
      </c>
      <c r="G616" s="54" t="n">
        <f aca="false">IF($D$8="Interim",TB_audited!G599,TB_audited!E599)</f>
        <v>0</v>
      </c>
      <c r="H616" s="55" t="str">
        <f aca="false">IFERROR(VLOOKUP($A616,RA_result!$B$3:$N$62,11,0),"")</f>
        <v/>
      </c>
      <c r="I616" s="55" t="str">
        <f aca="false">IFERROR(VLOOKUP($A616,RA_result!$B$3:$N$62,12,0),"")</f>
        <v/>
      </c>
      <c r="J616" s="55" t="str">
        <f aca="false">IFERROR(VLOOKUP($A616,RA_result!$B$3:$N$62,13,0),"")</f>
        <v/>
      </c>
      <c r="K616" s="56"/>
      <c r="L616" s="56"/>
      <c r="M616" s="57" t="n">
        <f aca="false">G616</f>
        <v>0</v>
      </c>
      <c r="N616" s="54" t="n">
        <f aca="false">G616-M616</f>
        <v>0</v>
      </c>
      <c r="O616" s="55" t="str">
        <f aca="false">IFERROR(VLOOKUP($A616,RA_result!$B$3:$N$62,7,0),"")</f>
        <v/>
      </c>
      <c r="P616" s="52" t="str">
        <f aca="false">IFERROR(VLOOKUP($A616,RA_result!$B$3:$N$62,9,0),"")</f>
        <v/>
      </c>
      <c r="Q616" s="52" t="str">
        <f aca="false">IFERROR(VLOOKUP($A616,RA_result!$B$3:$N$62,10,0),"")</f>
        <v/>
      </c>
      <c r="R616" s="58" t="s">
        <v>55</v>
      </c>
      <c r="S616" s="59" t="str">
        <f aca="false">IFERROR(VLOOKUP($A616,RA_result!$B$3:$N$62,4,0),"")</f>
        <v/>
      </c>
      <c r="T616" s="60" t="s">
        <v>56</v>
      </c>
      <c r="U616" s="59" t="str">
        <f aca="false">IFERROR(IF(VLOOKUP($A616,RA_result!$B$3:$N$62,6,0)="",S616*T616,VLOOKUP($A616,RA_result!$B$3:$N$62,6,0)),"")</f>
        <v/>
      </c>
      <c r="V616" s="61" t="s">
        <v>56</v>
      </c>
      <c r="W616" s="62" t="n">
        <f aca="false">IFERROR((S616*30%)/V616,0)</f>
        <v>0</v>
      </c>
      <c r="X616" s="63" t="n">
        <f aca="false">IFERROR(N616/W616,0)</f>
        <v>0</v>
      </c>
      <c r="Y616" s="68"/>
      <c r="Z616" s="57"/>
      <c r="AA616" s="69" t="str">
        <f aca="false">IF(OR(U616="",Y616="",Z616=""),"",IF(AND(U616&gt;Y616,-U616&lt;Z616),"Ok","Not Ok"))</f>
        <v/>
      </c>
      <c r="AB616" s="70"/>
    </row>
    <row r="617" customFormat="false" ht="12.8" hidden="false" customHeight="false" outlineLevel="0" collapsed="false">
      <c r="A617" s="48" t="n">
        <f aca="false">TB_audited!A600</f>
        <v>0</v>
      </c>
      <c r="B617" s="49"/>
      <c r="C617" s="50"/>
      <c r="D617" s="51" t="n">
        <f aca="false">TB_audited!B600</f>
        <v>0</v>
      </c>
      <c r="E617" s="52" t="n">
        <f aca="false">TB_audited!C600</f>
        <v>0</v>
      </c>
      <c r="F617" s="53" t="n">
        <f aca="false">TB_audited!D600</f>
        <v>0</v>
      </c>
      <c r="G617" s="54" t="n">
        <f aca="false">IF($D$8="Interim",TB_audited!G600,TB_audited!E600)</f>
        <v>0</v>
      </c>
      <c r="H617" s="55" t="str">
        <f aca="false">IFERROR(VLOOKUP($A617,RA_result!$B$3:$N$62,11,0),"")</f>
        <v/>
      </c>
      <c r="I617" s="55" t="str">
        <f aca="false">IFERROR(VLOOKUP($A617,RA_result!$B$3:$N$62,12,0),"")</f>
        <v/>
      </c>
      <c r="J617" s="55" t="str">
        <f aca="false">IFERROR(VLOOKUP($A617,RA_result!$B$3:$N$62,13,0),"")</f>
        <v/>
      </c>
      <c r="K617" s="56"/>
      <c r="L617" s="56"/>
      <c r="M617" s="57" t="n">
        <f aca="false">G617</f>
        <v>0</v>
      </c>
      <c r="N617" s="54" t="n">
        <f aca="false">G617-M617</f>
        <v>0</v>
      </c>
      <c r="O617" s="55" t="str">
        <f aca="false">IFERROR(VLOOKUP($A617,RA_result!$B$3:$N$62,7,0),"")</f>
        <v/>
      </c>
      <c r="P617" s="52" t="str">
        <f aca="false">IFERROR(VLOOKUP($A617,RA_result!$B$3:$N$62,9,0),"")</f>
        <v/>
      </c>
      <c r="Q617" s="52" t="str">
        <f aca="false">IFERROR(VLOOKUP($A617,RA_result!$B$3:$N$62,10,0),"")</f>
        <v/>
      </c>
      <c r="R617" s="58" t="s">
        <v>55</v>
      </c>
      <c r="S617" s="59" t="str">
        <f aca="false">IFERROR(VLOOKUP($A617,RA_result!$B$3:$N$62,4,0),"")</f>
        <v/>
      </c>
      <c r="T617" s="60" t="s">
        <v>56</v>
      </c>
      <c r="U617" s="59" t="str">
        <f aca="false">IFERROR(IF(VLOOKUP($A617,RA_result!$B$3:$N$62,6,0)="",S617*T617,VLOOKUP($A617,RA_result!$B$3:$N$62,6,0)),"")</f>
        <v/>
      </c>
      <c r="V617" s="61" t="s">
        <v>56</v>
      </c>
      <c r="W617" s="62" t="n">
        <f aca="false">IFERROR((S617*30%)/V617,0)</f>
        <v>0</v>
      </c>
      <c r="X617" s="63" t="n">
        <f aca="false">IFERROR(N617/W617,0)</f>
        <v>0</v>
      </c>
      <c r="Y617" s="68"/>
      <c r="Z617" s="57"/>
      <c r="AA617" s="69" t="str">
        <f aca="false">IF(OR(U617="",Y617="",Z617=""),"",IF(AND(U617&gt;Y617,-U617&lt;Z617),"Ok","Not Ok"))</f>
        <v/>
      </c>
      <c r="AB617" s="70"/>
    </row>
    <row r="618" customFormat="false" ht="12.8" hidden="false" customHeight="false" outlineLevel="0" collapsed="false">
      <c r="A618" s="48" t="n">
        <f aca="false">TB_audited!A601</f>
        <v>0</v>
      </c>
      <c r="B618" s="49"/>
      <c r="C618" s="50"/>
      <c r="D618" s="51" t="n">
        <f aca="false">TB_audited!B601</f>
        <v>0</v>
      </c>
      <c r="E618" s="52" t="n">
        <f aca="false">TB_audited!C601</f>
        <v>0</v>
      </c>
      <c r="F618" s="53" t="n">
        <f aca="false">TB_audited!D601</f>
        <v>0</v>
      </c>
      <c r="G618" s="54" t="n">
        <f aca="false">IF($D$8="Interim",TB_audited!G601,TB_audited!E601)</f>
        <v>0</v>
      </c>
      <c r="H618" s="55" t="str">
        <f aca="false">IFERROR(VLOOKUP($A618,RA_result!$B$3:$N$62,11,0),"")</f>
        <v/>
      </c>
      <c r="I618" s="55" t="str">
        <f aca="false">IFERROR(VLOOKUP($A618,RA_result!$B$3:$N$62,12,0),"")</f>
        <v/>
      </c>
      <c r="J618" s="55" t="str">
        <f aca="false">IFERROR(VLOOKUP($A618,RA_result!$B$3:$N$62,13,0),"")</f>
        <v/>
      </c>
      <c r="K618" s="56"/>
      <c r="L618" s="56"/>
      <c r="M618" s="57" t="n">
        <f aca="false">G618</f>
        <v>0</v>
      </c>
      <c r="N618" s="54" t="n">
        <f aca="false">G618-M618</f>
        <v>0</v>
      </c>
      <c r="O618" s="55" t="str">
        <f aca="false">IFERROR(VLOOKUP($A618,RA_result!$B$3:$N$62,7,0),"")</f>
        <v/>
      </c>
      <c r="P618" s="52" t="str">
        <f aca="false">IFERROR(VLOOKUP($A618,RA_result!$B$3:$N$62,9,0),"")</f>
        <v/>
      </c>
      <c r="Q618" s="52" t="str">
        <f aca="false">IFERROR(VLOOKUP($A618,RA_result!$B$3:$N$62,10,0),"")</f>
        <v/>
      </c>
      <c r="R618" s="58" t="s">
        <v>55</v>
      </c>
      <c r="S618" s="59" t="str">
        <f aca="false">IFERROR(VLOOKUP($A618,RA_result!$B$3:$N$62,4,0),"")</f>
        <v/>
      </c>
      <c r="T618" s="60" t="s">
        <v>56</v>
      </c>
      <c r="U618" s="59" t="str">
        <f aca="false">IFERROR(IF(VLOOKUP($A618,RA_result!$B$3:$N$62,6,0)="",S618*T618,VLOOKUP($A618,RA_result!$B$3:$N$62,6,0)),"")</f>
        <v/>
      </c>
      <c r="V618" s="61" t="s">
        <v>56</v>
      </c>
      <c r="W618" s="62" t="n">
        <f aca="false">IFERROR((S618*30%)/V618,0)</f>
        <v>0</v>
      </c>
      <c r="X618" s="63" t="n">
        <f aca="false">IFERROR(N618/W618,0)</f>
        <v>0</v>
      </c>
      <c r="Y618" s="68"/>
      <c r="Z618" s="57"/>
      <c r="AA618" s="69" t="str">
        <f aca="false">IF(OR(U618="",Y618="",Z618=""),"",IF(AND(U618&gt;Y618,-U618&lt;Z618),"Ok","Not Ok"))</f>
        <v/>
      </c>
      <c r="AB618" s="70"/>
    </row>
    <row r="619" customFormat="false" ht="12.8" hidden="false" customHeight="false" outlineLevel="0" collapsed="false">
      <c r="A619" s="48" t="n">
        <f aca="false">TB_audited!A602</f>
        <v>0</v>
      </c>
      <c r="B619" s="49"/>
      <c r="C619" s="50"/>
      <c r="D619" s="51" t="n">
        <f aca="false">TB_audited!B602</f>
        <v>0</v>
      </c>
      <c r="E619" s="52" t="n">
        <f aca="false">TB_audited!C602</f>
        <v>0</v>
      </c>
      <c r="F619" s="53" t="n">
        <f aca="false">TB_audited!D602</f>
        <v>0</v>
      </c>
      <c r="G619" s="54" t="n">
        <f aca="false">IF($D$8="Interim",TB_audited!G602,TB_audited!E602)</f>
        <v>0</v>
      </c>
      <c r="H619" s="55" t="str">
        <f aca="false">IFERROR(VLOOKUP($A619,RA_result!$B$3:$N$62,11,0),"")</f>
        <v/>
      </c>
      <c r="I619" s="55" t="str">
        <f aca="false">IFERROR(VLOOKUP($A619,RA_result!$B$3:$N$62,12,0),"")</f>
        <v/>
      </c>
      <c r="J619" s="55" t="str">
        <f aca="false">IFERROR(VLOOKUP($A619,RA_result!$B$3:$N$62,13,0),"")</f>
        <v/>
      </c>
      <c r="K619" s="56"/>
      <c r="L619" s="56"/>
      <c r="M619" s="57" t="n">
        <f aca="false">G619</f>
        <v>0</v>
      </c>
      <c r="N619" s="54" t="n">
        <f aca="false">G619-M619</f>
        <v>0</v>
      </c>
      <c r="O619" s="55" t="str">
        <f aca="false">IFERROR(VLOOKUP($A619,RA_result!$B$3:$N$62,7,0),"")</f>
        <v/>
      </c>
      <c r="P619" s="52" t="str">
        <f aca="false">IFERROR(VLOOKUP($A619,RA_result!$B$3:$N$62,9,0),"")</f>
        <v/>
      </c>
      <c r="Q619" s="52" t="str">
        <f aca="false">IFERROR(VLOOKUP($A619,RA_result!$B$3:$N$62,10,0),"")</f>
        <v/>
      </c>
      <c r="R619" s="58" t="s">
        <v>55</v>
      </c>
      <c r="S619" s="59" t="str">
        <f aca="false">IFERROR(VLOOKUP($A619,RA_result!$B$3:$N$62,4,0),"")</f>
        <v/>
      </c>
      <c r="T619" s="60" t="s">
        <v>56</v>
      </c>
      <c r="U619" s="59" t="str">
        <f aca="false">IFERROR(IF(VLOOKUP($A619,RA_result!$B$3:$N$62,6,0)="",S619*T619,VLOOKUP($A619,RA_result!$B$3:$N$62,6,0)),"")</f>
        <v/>
      </c>
      <c r="V619" s="61" t="s">
        <v>56</v>
      </c>
      <c r="W619" s="62" t="n">
        <f aca="false">IFERROR((S619*30%)/V619,0)</f>
        <v>0</v>
      </c>
      <c r="X619" s="63" t="n">
        <f aca="false">IFERROR(N619/W619,0)</f>
        <v>0</v>
      </c>
      <c r="Y619" s="68"/>
      <c r="Z619" s="57"/>
      <c r="AA619" s="69" t="str">
        <f aca="false">IF(OR(U619="",Y619="",Z619=""),"",IF(AND(U619&gt;Y619,-U619&lt;Z619),"Ok","Not Ok"))</f>
        <v/>
      </c>
      <c r="AB619" s="70"/>
    </row>
    <row r="620" customFormat="false" ht="12.8" hidden="false" customHeight="false" outlineLevel="0" collapsed="false">
      <c r="A620" s="48" t="n">
        <f aca="false">TB_audited!A603</f>
        <v>0</v>
      </c>
      <c r="B620" s="49"/>
      <c r="C620" s="50"/>
      <c r="D620" s="51" t="n">
        <f aca="false">TB_audited!B603</f>
        <v>0</v>
      </c>
      <c r="E620" s="52" t="n">
        <f aca="false">TB_audited!C603</f>
        <v>0</v>
      </c>
      <c r="F620" s="53" t="n">
        <f aca="false">TB_audited!D603</f>
        <v>0</v>
      </c>
      <c r="G620" s="54" t="n">
        <f aca="false">IF($D$8="Interim",TB_audited!G603,TB_audited!E603)</f>
        <v>0</v>
      </c>
      <c r="H620" s="55" t="str">
        <f aca="false">IFERROR(VLOOKUP($A620,RA_result!$B$3:$N$62,11,0),"")</f>
        <v/>
      </c>
      <c r="I620" s="55" t="str">
        <f aca="false">IFERROR(VLOOKUP($A620,RA_result!$B$3:$N$62,12,0),"")</f>
        <v/>
      </c>
      <c r="J620" s="55" t="str">
        <f aca="false">IFERROR(VLOOKUP($A620,RA_result!$B$3:$N$62,13,0),"")</f>
        <v/>
      </c>
      <c r="K620" s="56"/>
      <c r="L620" s="56"/>
      <c r="M620" s="57" t="n">
        <f aca="false">G620</f>
        <v>0</v>
      </c>
      <c r="N620" s="54" t="n">
        <f aca="false">G620-M620</f>
        <v>0</v>
      </c>
      <c r="O620" s="55" t="str">
        <f aca="false">IFERROR(VLOOKUP($A620,RA_result!$B$3:$N$62,7,0),"")</f>
        <v/>
      </c>
      <c r="P620" s="52" t="str">
        <f aca="false">IFERROR(VLOOKUP($A620,RA_result!$B$3:$N$62,9,0),"")</f>
        <v/>
      </c>
      <c r="Q620" s="52" t="str">
        <f aca="false">IFERROR(VLOOKUP($A620,RA_result!$B$3:$N$62,10,0),"")</f>
        <v/>
      </c>
      <c r="R620" s="58" t="s">
        <v>55</v>
      </c>
      <c r="S620" s="59" t="str">
        <f aca="false">IFERROR(VLOOKUP($A620,RA_result!$B$3:$N$62,4,0),"")</f>
        <v/>
      </c>
      <c r="T620" s="60" t="s">
        <v>56</v>
      </c>
      <c r="U620" s="59" t="str">
        <f aca="false">IFERROR(IF(VLOOKUP($A620,RA_result!$B$3:$N$62,6,0)="",S620*T620,VLOOKUP($A620,RA_result!$B$3:$N$62,6,0)),"")</f>
        <v/>
      </c>
      <c r="V620" s="61" t="s">
        <v>56</v>
      </c>
      <c r="W620" s="62" t="n">
        <f aca="false">IFERROR((S620*30%)/V620,0)</f>
        <v>0</v>
      </c>
      <c r="X620" s="63" t="n">
        <f aca="false">IFERROR(N620/W620,0)</f>
        <v>0</v>
      </c>
      <c r="Y620" s="68"/>
      <c r="Z620" s="57"/>
      <c r="AA620" s="69" t="str">
        <f aca="false">IF(OR(U620="",Y620="",Z620=""),"",IF(AND(U620&gt;Y620,-U620&lt;Z620),"Ok","Not Ok"))</f>
        <v/>
      </c>
      <c r="AB620" s="70"/>
    </row>
    <row r="621" customFormat="false" ht="12.8" hidden="false" customHeight="false" outlineLevel="0" collapsed="false">
      <c r="A621" s="48" t="n">
        <f aca="false">TB_audited!A604</f>
        <v>0</v>
      </c>
      <c r="B621" s="49"/>
      <c r="C621" s="50"/>
      <c r="D621" s="51" t="n">
        <f aca="false">TB_audited!B604</f>
        <v>0</v>
      </c>
      <c r="E621" s="52" t="n">
        <f aca="false">TB_audited!C604</f>
        <v>0</v>
      </c>
      <c r="F621" s="53" t="n">
        <f aca="false">TB_audited!D604</f>
        <v>0</v>
      </c>
      <c r="G621" s="54" t="n">
        <f aca="false">IF($D$8="Interim",TB_audited!G604,TB_audited!E604)</f>
        <v>0</v>
      </c>
      <c r="H621" s="55" t="str">
        <f aca="false">IFERROR(VLOOKUP($A621,RA_result!$B$3:$N$62,11,0),"")</f>
        <v/>
      </c>
      <c r="I621" s="55" t="str">
        <f aca="false">IFERROR(VLOOKUP($A621,RA_result!$B$3:$N$62,12,0),"")</f>
        <v/>
      </c>
      <c r="J621" s="55" t="str">
        <f aca="false">IFERROR(VLOOKUP($A621,RA_result!$B$3:$N$62,13,0),"")</f>
        <v/>
      </c>
      <c r="K621" s="56"/>
      <c r="L621" s="56"/>
      <c r="M621" s="57" t="n">
        <f aca="false">G621</f>
        <v>0</v>
      </c>
      <c r="N621" s="54" t="n">
        <f aca="false">G621-M621</f>
        <v>0</v>
      </c>
      <c r="O621" s="55" t="str">
        <f aca="false">IFERROR(VLOOKUP($A621,RA_result!$B$3:$N$62,7,0),"")</f>
        <v/>
      </c>
      <c r="P621" s="52" t="str">
        <f aca="false">IFERROR(VLOOKUP($A621,RA_result!$B$3:$N$62,9,0),"")</f>
        <v/>
      </c>
      <c r="Q621" s="52" t="str">
        <f aca="false">IFERROR(VLOOKUP($A621,RA_result!$B$3:$N$62,10,0),"")</f>
        <v/>
      </c>
      <c r="R621" s="58" t="s">
        <v>55</v>
      </c>
      <c r="S621" s="59" t="str">
        <f aca="false">IFERROR(VLOOKUP($A621,RA_result!$B$3:$N$62,4,0),"")</f>
        <v/>
      </c>
      <c r="T621" s="60" t="s">
        <v>56</v>
      </c>
      <c r="U621" s="59" t="str">
        <f aca="false">IFERROR(IF(VLOOKUP($A621,RA_result!$B$3:$N$62,6,0)="",S621*T621,VLOOKUP($A621,RA_result!$B$3:$N$62,6,0)),"")</f>
        <v/>
      </c>
      <c r="V621" s="61" t="s">
        <v>56</v>
      </c>
      <c r="W621" s="62" t="n">
        <f aca="false">IFERROR((S621*30%)/V621,0)</f>
        <v>0</v>
      </c>
      <c r="X621" s="63" t="n">
        <f aca="false">IFERROR(N621/W621,0)</f>
        <v>0</v>
      </c>
      <c r="Y621" s="68"/>
      <c r="Z621" s="57"/>
      <c r="AA621" s="69" t="str">
        <f aca="false">IF(OR(U621="",Y621="",Z621=""),"",IF(AND(U621&gt;Y621,-U621&lt;Z621),"Ok","Not Ok"))</f>
        <v/>
      </c>
      <c r="AB621" s="70"/>
    </row>
    <row r="622" customFormat="false" ht="12.8" hidden="false" customHeight="false" outlineLevel="0" collapsed="false">
      <c r="A622" s="48" t="n">
        <f aca="false">TB_audited!A605</f>
        <v>0</v>
      </c>
      <c r="B622" s="49"/>
      <c r="C622" s="50"/>
      <c r="D622" s="51" t="n">
        <f aca="false">TB_audited!B605</f>
        <v>0</v>
      </c>
      <c r="E622" s="52" t="n">
        <f aca="false">TB_audited!C605</f>
        <v>0</v>
      </c>
      <c r="F622" s="53" t="n">
        <f aca="false">TB_audited!D605</f>
        <v>0</v>
      </c>
      <c r="G622" s="54" t="n">
        <f aca="false">IF($D$8="Interim",TB_audited!G605,TB_audited!E605)</f>
        <v>0</v>
      </c>
      <c r="H622" s="55" t="str">
        <f aca="false">IFERROR(VLOOKUP($A622,RA_result!$B$3:$N$62,11,0),"")</f>
        <v/>
      </c>
      <c r="I622" s="55" t="str">
        <f aca="false">IFERROR(VLOOKUP($A622,RA_result!$B$3:$N$62,12,0),"")</f>
        <v/>
      </c>
      <c r="J622" s="55" t="str">
        <f aca="false">IFERROR(VLOOKUP($A622,RA_result!$B$3:$N$62,13,0),"")</f>
        <v/>
      </c>
      <c r="K622" s="56"/>
      <c r="L622" s="56"/>
      <c r="M622" s="57" t="n">
        <f aca="false">G622</f>
        <v>0</v>
      </c>
      <c r="N622" s="54" t="n">
        <f aca="false">G622-M622</f>
        <v>0</v>
      </c>
      <c r="O622" s="55" t="str">
        <f aca="false">IFERROR(VLOOKUP($A622,RA_result!$B$3:$N$62,7,0),"")</f>
        <v/>
      </c>
      <c r="P622" s="52" t="str">
        <f aca="false">IFERROR(VLOOKUP($A622,RA_result!$B$3:$N$62,9,0),"")</f>
        <v/>
      </c>
      <c r="Q622" s="52" t="str">
        <f aca="false">IFERROR(VLOOKUP($A622,RA_result!$B$3:$N$62,10,0),"")</f>
        <v/>
      </c>
      <c r="R622" s="58" t="s">
        <v>55</v>
      </c>
      <c r="S622" s="59" t="str">
        <f aca="false">IFERROR(VLOOKUP($A622,RA_result!$B$3:$N$62,4,0),"")</f>
        <v/>
      </c>
      <c r="T622" s="60" t="s">
        <v>56</v>
      </c>
      <c r="U622" s="59" t="str">
        <f aca="false">IFERROR(IF(VLOOKUP($A622,RA_result!$B$3:$N$62,6,0)="",S622*T622,VLOOKUP($A622,RA_result!$B$3:$N$62,6,0)),"")</f>
        <v/>
      </c>
      <c r="V622" s="61" t="s">
        <v>56</v>
      </c>
      <c r="W622" s="62" t="n">
        <f aca="false">IFERROR((S622*30%)/V622,0)</f>
        <v>0</v>
      </c>
      <c r="X622" s="63" t="n">
        <f aca="false">IFERROR(N622/W622,0)</f>
        <v>0</v>
      </c>
      <c r="Y622" s="68"/>
      <c r="Z622" s="57"/>
      <c r="AA622" s="69" t="str">
        <f aca="false">IF(OR(U622="",Y622="",Z622=""),"",IF(AND(U622&gt;Y622,-U622&lt;Z622),"Ok","Not Ok"))</f>
        <v/>
      </c>
      <c r="AB622" s="70"/>
    </row>
    <row r="623" customFormat="false" ht="12.8" hidden="false" customHeight="false" outlineLevel="0" collapsed="false">
      <c r="A623" s="48" t="n">
        <f aca="false">TB_audited!A606</f>
        <v>0</v>
      </c>
      <c r="B623" s="49"/>
      <c r="C623" s="50"/>
      <c r="D623" s="51" t="n">
        <f aca="false">TB_audited!B606</f>
        <v>0</v>
      </c>
      <c r="E623" s="52" t="n">
        <f aca="false">TB_audited!C606</f>
        <v>0</v>
      </c>
      <c r="F623" s="53" t="n">
        <f aca="false">TB_audited!D606</f>
        <v>0</v>
      </c>
      <c r="G623" s="54" t="n">
        <f aca="false">IF($D$8="Interim",TB_audited!G606,TB_audited!E606)</f>
        <v>0</v>
      </c>
      <c r="H623" s="55" t="str">
        <f aca="false">IFERROR(VLOOKUP($A623,RA_result!$B$3:$N$62,11,0),"")</f>
        <v/>
      </c>
      <c r="I623" s="55" t="str">
        <f aca="false">IFERROR(VLOOKUP($A623,RA_result!$B$3:$N$62,12,0),"")</f>
        <v/>
      </c>
      <c r="J623" s="55" t="str">
        <f aca="false">IFERROR(VLOOKUP($A623,RA_result!$B$3:$N$62,13,0),"")</f>
        <v/>
      </c>
      <c r="K623" s="56"/>
      <c r="L623" s="56"/>
      <c r="M623" s="57" t="n">
        <f aca="false">G623</f>
        <v>0</v>
      </c>
      <c r="N623" s="54" t="n">
        <f aca="false">G623-M623</f>
        <v>0</v>
      </c>
      <c r="O623" s="55" t="str">
        <f aca="false">IFERROR(VLOOKUP($A623,RA_result!$B$3:$N$62,7,0),"")</f>
        <v/>
      </c>
      <c r="P623" s="52" t="str">
        <f aca="false">IFERROR(VLOOKUP($A623,RA_result!$B$3:$N$62,9,0),"")</f>
        <v/>
      </c>
      <c r="Q623" s="52" t="str">
        <f aca="false">IFERROR(VLOOKUP($A623,RA_result!$B$3:$N$62,10,0),"")</f>
        <v/>
      </c>
      <c r="R623" s="58" t="s">
        <v>55</v>
      </c>
      <c r="S623" s="59" t="str">
        <f aca="false">IFERROR(VLOOKUP($A623,RA_result!$B$3:$N$62,4,0),"")</f>
        <v/>
      </c>
      <c r="T623" s="60" t="s">
        <v>56</v>
      </c>
      <c r="U623" s="59" t="str">
        <f aca="false">IFERROR(IF(VLOOKUP($A623,RA_result!$B$3:$N$62,6,0)="",S623*T623,VLOOKUP($A623,RA_result!$B$3:$N$62,6,0)),"")</f>
        <v/>
      </c>
      <c r="V623" s="61" t="s">
        <v>56</v>
      </c>
      <c r="W623" s="62" t="n">
        <f aca="false">IFERROR((S623*30%)/V623,0)</f>
        <v>0</v>
      </c>
      <c r="X623" s="63" t="n">
        <f aca="false">IFERROR(N623/W623,0)</f>
        <v>0</v>
      </c>
      <c r="Y623" s="68"/>
      <c r="Z623" s="57"/>
      <c r="AA623" s="69" t="str">
        <f aca="false">IF(OR(U623="",Y623="",Z623=""),"",IF(AND(U623&gt;Y623,-U623&lt;Z623),"Ok","Not Ok"))</f>
        <v/>
      </c>
      <c r="AB623" s="70"/>
    </row>
    <row r="624" customFormat="false" ht="12.8" hidden="false" customHeight="false" outlineLevel="0" collapsed="false">
      <c r="A624" s="48" t="n">
        <f aca="false">TB_audited!A607</f>
        <v>0</v>
      </c>
      <c r="B624" s="49"/>
      <c r="C624" s="50"/>
      <c r="D624" s="51" t="n">
        <f aca="false">TB_audited!B607</f>
        <v>0</v>
      </c>
      <c r="E624" s="52" t="n">
        <f aca="false">TB_audited!C607</f>
        <v>0</v>
      </c>
      <c r="F624" s="53" t="n">
        <f aca="false">TB_audited!D607</f>
        <v>0</v>
      </c>
      <c r="G624" s="54" t="n">
        <f aca="false">IF($D$8="Interim",TB_audited!G607,TB_audited!E607)</f>
        <v>0</v>
      </c>
      <c r="H624" s="55" t="str">
        <f aca="false">IFERROR(VLOOKUP($A624,RA_result!$B$3:$N$62,11,0),"")</f>
        <v/>
      </c>
      <c r="I624" s="55" t="str">
        <f aca="false">IFERROR(VLOOKUP($A624,RA_result!$B$3:$N$62,12,0),"")</f>
        <v/>
      </c>
      <c r="J624" s="55" t="str">
        <f aca="false">IFERROR(VLOOKUP($A624,RA_result!$B$3:$N$62,13,0),"")</f>
        <v/>
      </c>
      <c r="K624" s="56"/>
      <c r="L624" s="56"/>
      <c r="M624" s="57" t="n">
        <f aca="false">G624</f>
        <v>0</v>
      </c>
      <c r="N624" s="54" t="n">
        <f aca="false">G624-M624</f>
        <v>0</v>
      </c>
      <c r="O624" s="55" t="str">
        <f aca="false">IFERROR(VLOOKUP($A624,RA_result!$B$3:$N$62,7,0),"")</f>
        <v/>
      </c>
      <c r="P624" s="52" t="str">
        <f aca="false">IFERROR(VLOOKUP($A624,RA_result!$B$3:$N$62,9,0),"")</f>
        <v/>
      </c>
      <c r="Q624" s="52" t="str">
        <f aca="false">IFERROR(VLOOKUP($A624,RA_result!$B$3:$N$62,10,0),"")</f>
        <v/>
      </c>
      <c r="R624" s="58" t="s">
        <v>55</v>
      </c>
      <c r="S624" s="59" t="str">
        <f aca="false">IFERROR(VLOOKUP($A624,RA_result!$B$3:$N$62,4,0),"")</f>
        <v/>
      </c>
      <c r="T624" s="60" t="s">
        <v>56</v>
      </c>
      <c r="U624" s="59" t="str">
        <f aca="false">IFERROR(IF(VLOOKUP($A624,RA_result!$B$3:$N$62,6,0)="",S624*T624,VLOOKUP($A624,RA_result!$B$3:$N$62,6,0)),"")</f>
        <v/>
      </c>
      <c r="V624" s="61" t="s">
        <v>56</v>
      </c>
      <c r="W624" s="62" t="n">
        <f aca="false">IFERROR((S624*30%)/V624,0)</f>
        <v>0</v>
      </c>
      <c r="X624" s="63" t="n">
        <f aca="false">IFERROR(N624/W624,0)</f>
        <v>0</v>
      </c>
      <c r="Y624" s="68"/>
      <c r="Z624" s="57"/>
      <c r="AA624" s="69" t="str">
        <f aca="false">IF(OR(U624="",Y624="",Z624=""),"",IF(AND(U624&gt;Y624,-U624&lt;Z624),"Ok","Not Ok"))</f>
        <v/>
      </c>
      <c r="AB624" s="70"/>
    </row>
    <row r="625" customFormat="false" ht="12.8" hidden="false" customHeight="false" outlineLevel="0" collapsed="false">
      <c r="A625" s="48" t="n">
        <f aca="false">TB_audited!A608</f>
        <v>0</v>
      </c>
      <c r="B625" s="49"/>
      <c r="C625" s="50"/>
      <c r="D625" s="51" t="n">
        <f aca="false">TB_audited!B608</f>
        <v>0</v>
      </c>
      <c r="E625" s="52" t="n">
        <f aca="false">TB_audited!C608</f>
        <v>0</v>
      </c>
      <c r="F625" s="53" t="n">
        <f aca="false">TB_audited!D608</f>
        <v>0</v>
      </c>
      <c r="G625" s="54" t="n">
        <f aca="false">IF($D$8="Interim",TB_audited!G608,TB_audited!E608)</f>
        <v>0</v>
      </c>
      <c r="H625" s="55" t="str">
        <f aca="false">IFERROR(VLOOKUP($A625,RA_result!$B$3:$N$62,11,0),"")</f>
        <v/>
      </c>
      <c r="I625" s="55" t="str">
        <f aca="false">IFERROR(VLOOKUP($A625,RA_result!$B$3:$N$62,12,0),"")</f>
        <v/>
      </c>
      <c r="J625" s="55" t="str">
        <f aca="false">IFERROR(VLOOKUP($A625,RA_result!$B$3:$N$62,13,0),"")</f>
        <v/>
      </c>
      <c r="K625" s="56"/>
      <c r="L625" s="56"/>
      <c r="M625" s="57" t="n">
        <f aca="false">G625</f>
        <v>0</v>
      </c>
      <c r="N625" s="54" t="n">
        <f aca="false">G625-M625</f>
        <v>0</v>
      </c>
      <c r="O625" s="55" t="str">
        <f aca="false">IFERROR(VLOOKUP($A625,RA_result!$B$3:$N$62,7,0),"")</f>
        <v/>
      </c>
      <c r="P625" s="52" t="str">
        <f aca="false">IFERROR(VLOOKUP($A625,RA_result!$B$3:$N$62,9,0),"")</f>
        <v/>
      </c>
      <c r="Q625" s="52" t="str">
        <f aca="false">IFERROR(VLOOKUP($A625,RA_result!$B$3:$N$62,10,0),"")</f>
        <v/>
      </c>
      <c r="R625" s="58" t="s">
        <v>55</v>
      </c>
      <c r="S625" s="59" t="str">
        <f aca="false">IFERROR(VLOOKUP($A625,RA_result!$B$3:$N$62,4,0),"")</f>
        <v/>
      </c>
      <c r="T625" s="60" t="s">
        <v>56</v>
      </c>
      <c r="U625" s="59" t="str">
        <f aca="false">IFERROR(IF(VLOOKUP($A625,RA_result!$B$3:$N$62,6,0)="",S625*T625,VLOOKUP($A625,RA_result!$B$3:$N$62,6,0)),"")</f>
        <v/>
      </c>
      <c r="V625" s="61" t="s">
        <v>56</v>
      </c>
      <c r="W625" s="62" t="n">
        <f aca="false">IFERROR((S625*30%)/V625,0)</f>
        <v>0</v>
      </c>
      <c r="X625" s="63" t="n">
        <f aca="false">IFERROR(N625/W625,0)</f>
        <v>0</v>
      </c>
      <c r="Y625" s="68"/>
      <c r="Z625" s="57"/>
      <c r="AA625" s="69" t="str">
        <f aca="false">IF(OR(U625="",Y625="",Z625=""),"",IF(AND(U625&gt;Y625,-U625&lt;Z625),"Ok","Not Ok"))</f>
        <v/>
      </c>
      <c r="AB625" s="70"/>
    </row>
    <row r="626" customFormat="false" ht="12.8" hidden="false" customHeight="false" outlineLevel="0" collapsed="false">
      <c r="A626" s="48" t="n">
        <f aca="false">TB_audited!A609</f>
        <v>0</v>
      </c>
      <c r="B626" s="49"/>
      <c r="C626" s="50"/>
      <c r="D626" s="51" t="n">
        <f aca="false">TB_audited!B609</f>
        <v>0</v>
      </c>
      <c r="E626" s="52" t="n">
        <f aca="false">TB_audited!C609</f>
        <v>0</v>
      </c>
      <c r="F626" s="53" t="n">
        <f aca="false">TB_audited!D609</f>
        <v>0</v>
      </c>
      <c r="G626" s="54" t="n">
        <f aca="false">IF($D$8="Interim",TB_audited!G609,TB_audited!E609)</f>
        <v>0</v>
      </c>
      <c r="H626" s="55" t="str">
        <f aca="false">IFERROR(VLOOKUP($A626,RA_result!$B$3:$N$62,11,0),"")</f>
        <v/>
      </c>
      <c r="I626" s="55" t="str">
        <f aca="false">IFERROR(VLOOKUP($A626,RA_result!$B$3:$N$62,12,0),"")</f>
        <v/>
      </c>
      <c r="J626" s="55" t="str">
        <f aca="false">IFERROR(VLOOKUP($A626,RA_result!$B$3:$N$62,13,0),"")</f>
        <v/>
      </c>
      <c r="K626" s="56"/>
      <c r="L626" s="56"/>
      <c r="M626" s="57" t="n">
        <f aca="false">G626</f>
        <v>0</v>
      </c>
      <c r="N626" s="54" t="n">
        <f aca="false">G626-M626</f>
        <v>0</v>
      </c>
      <c r="O626" s="55" t="str">
        <f aca="false">IFERROR(VLOOKUP($A626,RA_result!$B$3:$N$62,7,0),"")</f>
        <v/>
      </c>
      <c r="P626" s="52" t="str">
        <f aca="false">IFERROR(VLOOKUP($A626,RA_result!$B$3:$N$62,9,0),"")</f>
        <v/>
      </c>
      <c r="Q626" s="52" t="str">
        <f aca="false">IFERROR(VLOOKUP($A626,RA_result!$B$3:$N$62,10,0),"")</f>
        <v/>
      </c>
      <c r="R626" s="58" t="s">
        <v>55</v>
      </c>
      <c r="S626" s="59" t="str">
        <f aca="false">IFERROR(VLOOKUP($A626,RA_result!$B$3:$N$62,4,0),"")</f>
        <v/>
      </c>
      <c r="T626" s="60" t="s">
        <v>56</v>
      </c>
      <c r="U626" s="59" t="str">
        <f aca="false">IFERROR(IF(VLOOKUP($A626,RA_result!$B$3:$N$62,6,0)="",S626*T626,VLOOKUP($A626,RA_result!$B$3:$N$62,6,0)),"")</f>
        <v/>
      </c>
      <c r="V626" s="61" t="s">
        <v>56</v>
      </c>
      <c r="W626" s="62" t="n">
        <f aca="false">IFERROR((S626*30%)/V626,0)</f>
        <v>0</v>
      </c>
      <c r="X626" s="63" t="n">
        <f aca="false">IFERROR(N626/W626,0)</f>
        <v>0</v>
      </c>
      <c r="Y626" s="68"/>
      <c r="Z626" s="57"/>
      <c r="AA626" s="69" t="str">
        <f aca="false">IF(OR(U626="",Y626="",Z626=""),"",IF(AND(U626&gt;Y626,-U626&lt;Z626),"Ok","Not Ok"))</f>
        <v/>
      </c>
      <c r="AB626" s="70"/>
    </row>
    <row r="627" customFormat="false" ht="12.8" hidden="false" customHeight="false" outlineLevel="0" collapsed="false">
      <c r="A627" s="48" t="n">
        <f aca="false">TB_audited!A610</f>
        <v>0</v>
      </c>
      <c r="B627" s="49"/>
      <c r="C627" s="50"/>
      <c r="D627" s="51" t="n">
        <f aca="false">TB_audited!B610</f>
        <v>0</v>
      </c>
      <c r="E627" s="52" t="n">
        <f aca="false">TB_audited!C610</f>
        <v>0</v>
      </c>
      <c r="F627" s="53" t="n">
        <f aca="false">TB_audited!D610</f>
        <v>0</v>
      </c>
      <c r="G627" s="54" t="n">
        <f aca="false">IF($D$8="Interim",TB_audited!G610,TB_audited!E610)</f>
        <v>0</v>
      </c>
      <c r="H627" s="55" t="str">
        <f aca="false">IFERROR(VLOOKUP($A627,RA_result!$B$3:$N$62,11,0),"")</f>
        <v/>
      </c>
      <c r="I627" s="55" t="str">
        <f aca="false">IFERROR(VLOOKUP($A627,RA_result!$B$3:$N$62,12,0),"")</f>
        <v/>
      </c>
      <c r="J627" s="55" t="str">
        <f aca="false">IFERROR(VLOOKUP($A627,RA_result!$B$3:$N$62,13,0),"")</f>
        <v/>
      </c>
      <c r="K627" s="56"/>
      <c r="L627" s="56"/>
      <c r="M627" s="57" t="n">
        <f aca="false">G627</f>
        <v>0</v>
      </c>
      <c r="N627" s="54" t="n">
        <f aca="false">G627-M627</f>
        <v>0</v>
      </c>
      <c r="O627" s="55" t="str">
        <f aca="false">IFERROR(VLOOKUP($A627,RA_result!$B$3:$N$62,7,0),"")</f>
        <v/>
      </c>
      <c r="P627" s="52" t="str">
        <f aca="false">IFERROR(VLOOKUP($A627,RA_result!$B$3:$N$62,9,0),"")</f>
        <v/>
      </c>
      <c r="Q627" s="52" t="str">
        <f aca="false">IFERROR(VLOOKUP($A627,RA_result!$B$3:$N$62,10,0),"")</f>
        <v/>
      </c>
      <c r="R627" s="58" t="s">
        <v>55</v>
      </c>
      <c r="S627" s="59" t="str">
        <f aca="false">IFERROR(VLOOKUP($A627,RA_result!$B$3:$N$62,4,0),"")</f>
        <v/>
      </c>
      <c r="T627" s="60" t="s">
        <v>56</v>
      </c>
      <c r="U627" s="59" t="str">
        <f aca="false">IFERROR(IF(VLOOKUP($A627,RA_result!$B$3:$N$62,6,0)="",S627*T627,VLOOKUP($A627,RA_result!$B$3:$N$62,6,0)),"")</f>
        <v/>
      </c>
      <c r="V627" s="61" t="s">
        <v>56</v>
      </c>
      <c r="W627" s="62" t="n">
        <f aca="false">IFERROR((S627*30%)/V627,0)</f>
        <v>0</v>
      </c>
      <c r="X627" s="63" t="n">
        <f aca="false">IFERROR(N627/W627,0)</f>
        <v>0</v>
      </c>
      <c r="Y627" s="68"/>
      <c r="Z627" s="57"/>
      <c r="AA627" s="69" t="str">
        <f aca="false">IF(OR(U627="",Y627="",Z627=""),"",IF(AND(U627&gt;Y627,-U627&lt;Z627),"Ok","Not Ok"))</f>
        <v/>
      </c>
      <c r="AB627" s="70"/>
    </row>
    <row r="628" customFormat="false" ht="12.8" hidden="false" customHeight="false" outlineLevel="0" collapsed="false">
      <c r="A628" s="48" t="n">
        <f aca="false">TB_audited!A611</f>
        <v>0</v>
      </c>
      <c r="B628" s="49"/>
      <c r="C628" s="50"/>
      <c r="D628" s="51" t="n">
        <f aca="false">TB_audited!B611</f>
        <v>0</v>
      </c>
      <c r="E628" s="52" t="n">
        <f aca="false">TB_audited!C611</f>
        <v>0</v>
      </c>
      <c r="F628" s="53" t="n">
        <f aca="false">TB_audited!D611</f>
        <v>0</v>
      </c>
      <c r="G628" s="54" t="n">
        <f aca="false">IF($D$8="Interim",TB_audited!G611,TB_audited!E611)</f>
        <v>0</v>
      </c>
      <c r="H628" s="55" t="str">
        <f aca="false">IFERROR(VLOOKUP($A628,RA_result!$B$3:$N$62,11,0),"")</f>
        <v/>
      </c>
      <c r="I628" s="55" t="str">
        <f aca="false">IFERROR(VLOOKUP($A628,RA_result!$B$3:$N$62,12,0),"")</f>
        <v/>
      </c>
      <c r="J628" s="55" t="str">
        <f aca="false">IFERROR(VLOOKUP($A628,RA_result!$B$3:$N$62,13,0),"")</f>
        <v/>
      </c>
      <c r="K628" s="56"/>
      <c r="L628" s="56"/>
      <c r="M628" s="57" t="n">
        <f aca="false">G628</f>
        <v>0</v>
      </c>
      <c r="N628" s="54" t="n">
        <f aca="false">G628-M628</f>
        <v>0</v>
      </c>
      <c r="O628" s="55" t="str">
        <f aca="false">IFERROR(VLOOKUP($A628,RA_result!$B$3:$N$62,7,0),"")</f>
        <v/>
      </c>
      <c r="P628" s="52" t="str">
        <f aca="false">IFERROR(VLOOKUP($A628,RA_result!$B$3:$N$62,9,0),"")</f>
        <v/>
      </c>
      <c r="Q628" s="52" t="str">
        <f aca="false">IFERROR(VLOOKUP($A628,RA_result!$B$3:$N$62,10,0),"")</f>
        <v/>
      </c>
      <c r="R628" s="58" t="s">
        <v>55</v>
      </c>
      <c r="S628" s="59" t="str">
        <f aca="false">IFERROR(VLOOKUP($A628,RA_result!$B$3:$N$62,4,0),"")</f>
        <v/>
      </c>
      <c r="T628" s="60" t="s">
        <v>56</v>
      </c>
      <c r="U628" s="59" t="str">
        <f aca="false">IFERROR(IF(VLOOKUP($A628,RA_result!$B$3:$N$62,6,0)="",S628*T628,VLOOKUP($A628,RA_result!$B$3:$N$62,6,0)),"")</f>
        <v/>
      </c>
      <c r="V628" s="61" t="s">
        <v>56</v>
      </c>
      <c r="W628" s="62" t="n">
        <f aca="false">IFERROR((S628*30%)/V628,0)</f>
        <v>0</v>
      </c>
      <c r="X628" s="63" t="n">
        <f aca="false">IFERROR(N628/W628,0)</f>
        <v>0</v>
      </c>
      <c r="Y628" s="68"/>
      <c r="Z628" s="57"/>
      <c r="AA628" s="69" t="str">
        <f aca="false">IF(OR(U628="",Y628="",Z628=""),"",IF(AND(U628&gt;Y628,-U628&lt;Z628),"Ok","Not Ok"))</f>
        <v/>
      </c>
      <c r="AB628" s="70"/>
    </row>
    <row r="629" customFormat="false" ht="12.8" hidden="false" customHeight="false" outlineLevel="0" collapsed="false">
      <c r="A629" s="48" t="n">
        <f aca="false">TB_audited!A612</f>
        <v>0</v>
      </c>
      <c r="B629" s="49"/>
      <c r="C629" s="50"/>
      <c r="D629" s="51" t="n">
        <f aca="false">TB_audited!B612</f>
        <v>0</v>
      </c>
      <c r="E629" s="52" t="n">
        <f aca="false">TB_audited!C612</f>
        <v>0</v>
      </c>
      <c r="F629" s="53" t="n">
        <f aca="false">TB_audited!D612</f>
        <v>0</v>
      </c>
      <c r="G629" s="54" t="n">
        <f aca="false">IF($D$8="Interim",TB_audited!G612,TB_audited!E612)</f>
        <v>0</v>
      </c>
      <c r="H629" s="55" t="str">
        <f aca="false">IFERROR(VLOOKUP($A629,RA_result!$B$3:$N$62,11,0),"")</f>
        <v/>
      </c>
      <c r="I629" s="55" t="str">
        <f aca="false">IFERROR(VLOOKUP($A629,RA_result!$B$3:$N$62,12,0),"")</f>
        <v/>
      </c>
      <c r="J629" s="55" t="str">
        <f aca="false">IFERROR(VLOOKUP($A629,RA_result!$B$3:$N$62,13,0),"")</f>
        <v/>
      </c>
      <c r="K629" s="56"/>
      <c r="L629" s="56"/>
      <c r="M629" s="57" t="n">
        <f aca="false">G629</f>
        <v>0</v>
      </c>
      <c r="N629" s="54" t="n">
        <f aca="false">G629-M629</f>
        <v>0</v>
      </c>
      <c r="O629" s="55" t="str">
        <f aca="false">IFERROR(VLOOKUP($A629,RA_result!$B$3:$N$62,7,0),"")</f>
        <v/>
      </c>
      <c r="P629" s="52" t="str">
        <f aca="false">IFERROR(VLOOKUP($A629,RA_result!$B$3:$N$62,9,0),"")</f>
        <v/>
      </c>
      <c r="Q629" s="52" t="str">
        <f aca="false">IFERROR(VLOOKUP($A629,RA_result!$B$3:$N$62,10,0),"")</f>
        <v/>
      </c>
      <c r="R629" s="58" t="s">
        <v>55</v>
      </c>
      <c r="S629" s="59" t="str">
        <f aca="false">IFERROR(VLOOKUP($A629,RA_result!$B$3:$N$62,4,0),"")</f>
        <v/>
      </c>
      <c r="T629" s="60" t="s">
        <v>56</v>
      </c>
      <c r="U629" s="59" t="str">
        <f aca="false">IFERROR(IF(VLOOKUP($A629,RA_result!$B$3:$N$62,6,0)="",S629*T629,VLOOKUP($A629,RA_result!$B$3:$N$62,6,0)),"")</f>
        <v/>
      </c>
      <c r="V629" s="61" t="s">
        <v>56</v>
      </c>
      <c r="W629" s="62" t="n">
        <f aca="false">IFERROR((S629*30%)/V629,0)</f>
        <v>0</v>
      </c>
      <c r="X629" s="63" t="n">
        <f aca="false">IFERROR(N629/W629,0)</f>
        <v>0</v>
      </c>
      <c r="Y629" s="68"/>
      <c r="Z629" s="57"/>
      <c r="AA629" s="69" t="str">
        <f aca="false">IF(OR(U629="",Y629="",Z629=""),"",IF(AND(U629&gt;Y629,-U629&lt;Z629),"Ok","Not Ok"))</f>
        <v/>
      </c>
      <c r="AB629" s="70"/>
    </row>
    <row r="630" customFormat="false" ht="12.8" hidden="false" customHeight="false" outlineLevel="0" collapsed="false">
      <c r="A630" s="48" t="n">
        <f aca="false">TB_audited!A613</f>
        <v>0</v>
      </c>
      <c r="B630" s="49"/>
      <c r="C630" s="50"/>
      <c r="D630" s="51" t="n">
        <f aca="false">TB_audited!B613</f>
        <v>0</v>
      </c>
      <c r="E630" s="52" t="n">
        <f aca="false">TB_audited!C613</f>
        <v>0</v>
      </c>
      <c r="F630" s="53" t="n">
        <f aca="false">TB_audited!D613</f>
        <v>0</v>
      </c>
      <c r="G630" s="54" t="n">
        <f aca="false">IF($D$8="Interim",TB_audited!G613,TB_audited!E613)</f>
        <v>0</v>
      </c>
      <c r="H630" s="55" t="str">
        <f aca="false">IFERROR(VLOOKUP($A630,RA_result!$B$3:$N$62,11,0),"")</f>
        <v/>
      </c>
      <c r="I630" s="55" t="str">
        <f aca="false">IFERROR(VLOOKUP($A630,RA_result!$B$3:$N$62,12,0),"")</f>
        <v/>
      </c>
      <c r="J630" s="55" t="str">
        <f aca="false">IFERROR(VLOOKUP($A630,RA_result!$B$3:$N$62,13,0),"")</f>
        <v/>
      </c>
      <c r="K630" s="56"/>
      <c r="L630" s="56"/>
      <c r="M630" s="57" t="n">
        <f aca="false">G630</f>
        <v>0</v>
      </c>
      <c r="N630" s="54" t="n">
        <f aca="false">G630-M630</f>
        <v>0</v>
      </c>
      <c r="O630" s="55" t="str">
        <f aca="false">IFERROR(VLOOKUP($A630,RA_result!$B$3:$N$62,7,0),"")</f>
        <v/>
      </c>
      <c r="P630" s="52" t="str">
        <f aca="false">IFERROR(VLOOKUP($A630,RA_result!$B$3:$N$62,9,0),"")</f>
        <v/>
      </c>
      <c r="Q630" s="52" t="str">
        <f aca="false">IFERROR(VLOOKUP($A630,RA_result!$B$3:$N$62,10,0),"")</f>
        <v/>
      </c>
      <c r="R630" s="58" t="s">
        <v>55</v>
      </c>
      <c r="S630" s="59" t="str">
        <f aca="false">IFERROR(VLOOKUP($A630,RA_result!$B$3:$N$62,4,0),"")</f>
        <v/>
      </c>
      <c r="T630" s="60" t="s">
        <v>56</v>
      </c>
      <c r="U630" s="59" t="str">
        <f aca="false">IFERROR(IF(VLOOKUP($A630,RA_result!$B$3:$N$62,6,0)="",S630*T630,VLOOKUP($A630,RA_result!$B$3:$N$62,6,0)),"")</f>
        <v/>
      </c>
      <c r="V630" s="61" t="s">
        <v>56</v>
      </c>
      <c r="W630" s="62" t="n">
        <f aca="false">IFERROR((S630*30%)/V630,0)</f>
        <v>0</v>
      </c>
      <c r="X630" s="63" t="n">
        <f aca="false">IFERROR(N630/W630,0)</f>
        <v>0</v>
      </c>
      <c r="Y630" s="68"/>
      <c r="Z630" s="57"/>
      <c r="AA630" s="69" t="str">
        <f aca="false">IF(OR(U630="",Y630="",Z630=""),"",IF(AND(U630&gt;Y630,-U630&lt;Z630),"Ok","Not Ok"))</f>
        <v/>
      </c>
      <c r="AB630" s="70"/>
    </row>
    <row r="631" customFormat="false" ht="12.8" hidden="false" customHeight="false" outlineLevel="0" collapsed="false">
      <c r="A631" s="48" t="n">
        <f aca="false">TB_audited!A614</f>
        <v>0</v>
      </c>
      <c r="B631" s="49"/>
      <c r="C631" s="50"/>
      <c r="D631" s="51" t="n">
        <f aca="false">TB_audited!B614</f>
        <v>0</v>
      </c>
      <c r="E631" s="52" t="n">
        <f aca="false">TB_audited!C614</f>
        <v>0</v>
      </c>
      <c r="F631" s="53" t="n">
        <f aca="false">TB_audited!D614</f>
        <v>0</v>
      </c>
      <c r="G631" s="54" t="n">
        <f aca="false">IF($D$8="Interim",TB_audited!G614,TB_audited!E614)</f>
        <v>0</v>
      </c>
      <c r="H631" s="55" t="str">
        <f aca="false">IFERROR(VLOOKUP($A631,RA_result!$B$3:$N$62,11,0),"")</f>
        <v/>
      </c>
      <c r="I631" s="55" t="str">
        <f aca="false">IFERROR(VLOOKUP($A631,RA_result!$B$3:$N$62,12,0),"")</f>
        <v/>
      </c>
      <c r="J631" s="55" t="str">
        <f aca="false">IFERROR(VLOOKUP($A631,RA_result!$B$3:$N$62,13,0),"")</f>
        <v/>
      </c>
      <c r="K631" s="56"/>
      <c r="L631" s="56"/>
      <c r="M631" s="57" t="n">
        <f aca="false">G631</f>
        <v>0</v>
      </c>
      <c r="N631" s="54" t="n">
        <f aca="false">G631-M631</f>
        <v>0</v>
      </c>
      <c r="O631" s="55" t="str">
        <f aca="false">IFERROR(VLOOKUP($A631,RA_result!$B$3:$N$62,7,0),"")</f>
        <v/>
      </c>
      <c r="P631" s="52" t="str">
        <f aca="false">IFERROR(VLOOKUP($A631,RA_result!$B$3:$N$62,9,0),"")</f>
        <v/>
      </c>
      <c r="Q631" s="52" t="str">
        <f aca="false">IFERROR(VLOOKUP($A631,RA_result!$B$3:$N$62,10,0),"")</f>
        <v/>
      </c>
      <c r="R631" s="58" t="s">
        <v>55</v>
      </c>
      <c r="S631" s="59" t="str">
        <f aca="false">IFERROR(VLOOKUP($A631,RA_result!$B$3:$N$62,4,0),"")</f>
        <v/>
      </c>
      <c r="T631" s="60" t="s">
        <v>56</v>
      </c>
      <c r="U631" s="59" t="str">
        <f aca="false">IFERROR(IF(VLOOKUP($A631,RA_result!$B$3:$N$62,6,0)="",S631*T631,VLOOKUP($A631,RA_result!$B$3:$N$62,6,0)),"")</f>
        <v/>
      </c>
      <c r="V631" s="61" t="s">
        <v>56</v>
      </c>
      <c r="W631" s="62" t="n">
        <f aca="false">IFERROR((S631*30%)/V631,0)</f>
        <v>0</v>
      </c>
      <c r="X631" s="63" t="n">
        <f aca="false">IFERROR(N631/W631,0)</f>
        <v>0</v>
      </c>
      <c r="Y631" s="68"/>
      <c r="Z631" s="57"/>
      <c r="AA631" s="69" t="str">
        <f aca="false">IF(OR(U631="",Y631="",Z631=""),"",IF(AND(U631&gt;Y631,-U631&lt;Z631),"Ok","Not Ok"))</f>
        <v/>
      </c>
      <c r="AB631" s="70"/>
    </row>
    <row r="632" customFormat="false" ht="12.8" hidden="false" customHeight="false" outlineLevel="0" collapsed="false">
      <c r="A632" s="48" t="n">
        <f aca="false">TB_audited!A615</f>
        <v>0</v>
      </c>
      <c r="B632" s="49"/>
      <c r="C632" s="50"/>
      <c r="D632" s="51" t="n">
        <f aca="false">TB_audited!B615</f>
        <v>0</v>
      </c>
      <c r="E632" s="52" t="n">
        <f aca="false">TB_audited!C615</f>
        <v>0</v>
      </c>
      <c r="F632" s="53" t="n">
        <f aca="false">TB_audited!D615</f>
        <v>0</v>
      </c>
      <c r="G632" s="54" t="n">
        <f aca="false">IF($D$8="Interim",TB_audited!G615,TB_audited!E615)</f>
        <v>0</v>
      </c>
      <c r="H632" s="55" t="str">
        <f aca="false">IFERROR(VLOOKUP($A632,RA_result!$B$3:$N$62,11,0),"")</f>
        <v/>
      </c>
      <c r="I632" s="55" t="str">
        <f aca="false">IFERROR(VLOOKUP($A632,RA_result!$B$3:$N$62,12,0),"")</f>
        <v/>
      </c>
      <c r="J632" s="55" t="str">
        <f aca="false">IFERROR(VLOOKUP($A632,RA_result!$B$3:$N$62,13,0),"")</f>
        <v/>
      </c>
      <c r="K632" s="56"/>
      <c r="L632" s="56"/>
      <c r="M632" s="57" t="n">
        <f aca="false">G632</f>
        <v>0</v>
      </c>
      <c r="N632" s="54" t="n">
        <f aca="false">G632-M632</f>
        <v>0</v>
      </c>
      <c r="O632" s="55" t="str">
        <f aca="false">IFERROR(VLOOKUP($A632,RA_result!$B$3:$N$62,7,0),"")</f>
        <v/>
      </c>
      <c r="P632" s="52" t="str">
        <f aca="false">IFERROR(VLOOKUP($A632,RA_result!$B$3:$N$62,9,0),"")</f>
        <v/>
      </c>
      <c r="Q632" s="52" t="str">
        <f aca="false">IFERROR(VLOOKUP($A632,RA_result!$B$3:$N$62,10,0),"")</f>
        <v/>
      </c>
      <c r="R632" s="58" t="s">
        <v>55</v>
      </c>
      <c r="S632" s="59" t="str">
        <f aca="false">IFERROR(VLOOKUP($A632,RA_result!$B$3:$N$62,4,0),"")</f>
        <v/>
      </c>
      <c r="T632" s="60" t="s">
        <v>56</v>
      </c>
      <c r="U632" s="59" t="str">
        <f aca="false">IFERROR(IF(VLOOKUP($A632,RA_result!$B$3:$N$62,6,0)="",S632*T632,VLOOKUP($A632,RA_result!$B$3:$N$62,6,0)),"")</f>
        <v/>
      </c>
      <c r="V632" s="61" t="s">
        <v>56</v>
      </c>
      <c r="W632" s="62" t="n">
        <f aca="false">IFERROR((S632*30%)/V632,0)</f>
        <v>0</v>
      </c>
      <c r="X632" s="63" t="n">
        <f aca="false">IFERROR(N632/W632,0)</f>
        <v>0</v>
      </c>
      <c r="Y632" s="68"/>
      <c r="Z632" s="57"/>
      <c r="AA632" s="69" t="str">
        <f aca="false">IF(OR(U632="",Y632="",Z632=""),"",IF(AND(U632&gt;Y632,-U632&lt;Z632),"Ok","Not Ok"))</f>
        <v/>
      </c>
      <c r="AB632" s="70"/>
    </row>
    <row r="633" customFormat="false" ht="12.8" hidden="false" customHeight="false" outlineLevel="0" collapsed="false">
      <c r="A633" s="48" t="n">
        <f aca="false">TB_audited!A616</f>
        <v>0</v>
      </c>
      <c r="B633" s="49"/>
      <c r="C633" s="50"/>
      <c r="D633" s="51" t="n">
        <f aca="false">TB_audited!B616</f>
        <v>0</v>
      </c>
      <c r="E633" s="52" t="n">
        <f aca="false">TB_audited!C616</f>
        <v>0</v>
      </c>
      <c r="F633" s="53" t="n">
        <f aca="false">TB_audited!D616</f>
        <v>0</v>
      </c>
      <c r="G633" s="54" t="n">
        <f aca="false">IF($D$8="Interim",TB_audited!G616,TB_audited!E616)</f>
        <v>0</v>
      </c>
      <c r="H633" s="55" t="str">
        <f aca="false">IFERROR(VLOOKUP($A633,RA_result!$B$3:$N$62,11,0),"")</f>
        <v/>
      </c>
      <c r="I633" s="55" t="str">
        <f aca="false">IFERROR(VLOOKUP($A633,RA_result!$B$3:$N$62,12,0),"")</f>
        <v/>
      </c>
      <c r="J633" s="55" t="str">
        <f aca="false">IFERROR(VLOOKUP($A633,RA_result!$B$3:$N$62,13,0),"")</f>
        <v/>
      </c>
      <c r="K633" s="56"/>
      <c r="L633" s="56"/>
      <c r="M633" s="57" t="n">
        <f aca="false">G633</f>
        <v>0</v>
      </c>
      <c r="N633" s="54" t="n">
        <f aca="false">G633-M633</f>
        <v>0</v>
      </c>
      <c r="O633" s="55" t="str">
        <f aca="false">IFERROR(VLOOKUP($A633,RA_result!$B$3:$N$62,7,0),"")</f>
        <v/>
      </c>
      <c r="P633" s="52" t="str">
        <f aca="false">IFERROR(VLOOKUP($A633,RA_result!$B$3:$N$62,9,0),"")</f>
        <v/>
      </c>
      <c r="Q633" s="52" t="str">
        <f aca="false">IFERROR(VLOOKUP($A633,RA_result!$B$3:$N$62,10,0),"")</f>
        <v/>
      </c>
      <c r="R633" s="58" t="s">
        <v>55</v>
      </c>
      <c r="S633" s="59" t="str">
        <f aca="false">IFERROR(VLOOKUP($A633,RA_result!$B$3:$N$62,4,0),"")</f>
        <v/>
      </c>
      <c r="T633" s="60" t="s">
        <v>56</v>
      </c>
      <c r="U633" s="59" t="str">
        <f aca="false">IFERROR(IF(VLOOKUP($A633,RA_result!$B$3:$N$62,6,0)="",S633*T633,VLOOKUP($A633,RA_result!$B$3:$N$62,6,0)),"")</f>
        <v/>
      </c>
      <c r="V633" s="61" t="s">
        <v>56</v>
      </c>
      <c r="W633" s="62" t="n">
        <f aca="false">IFERROR((S633*30%)/V633,0)</f>
        <v>0</v>
      </c>
      <c r="X633" s="63" t="n">
        <f aca="false">IFERROR(N633/W633,0)</f>
        <v>0</v>
      </c>
      <c r="Y633" s="68"/>
      <c r="Z633" s="57"/>
      <c r="AA633" s="69" t="str">
        <f aca="false">IF(OR(U633="",Y633="",Z633=""),"",IF(AND(U633&gt;Y633,-U633&lt;Z633),"Ok","Not Ok"))</f>
        <v/>
      </c>
      <c r="AB633" s="70"/>
    </row>
    <row r="634" customFormat="false" ht="12.8" hidden="false" customHeight="false" outlineLevel="0" collapsed="false">
      <c r="A634" s="48" t="n">
        <f aca="false">TB_audited!A617</f>
        <v>0</v>
      </c>
      <c r="B634" s="49"/>
      <c r="C634" s="50"/>
      <c r="D634" s="51" t="n">
        <f aca="false">TB_audited!B617</f>
        <v>0</v>
      </c>
      <c r="E634" s="52" t="n">
        <f aca="false">TB_audited!C617</f>
        <v>0</v>
      </c>
      <c r="F634" s="53" t="n">
        <f aca="false">TB_audited!D617</f>
        <v>0</v>
      </c>
      <c r="G634" s="54" t="n">
        <f aca="false">IF($D$8="Interim",TB_audited!G617,TB_audited!E617)</f>
        <v>0</v>
      </c>
      <c r="H634" s="55" t="str">
        <f aca="false">IFERROR(VLOOKUP($A634,RA_result!$B$3:$N$62,11,0),"")</f>
        <v/>
      </c>
      <c r="I634" s="55" t="str">
        <f aca="false">IFERROR(VLOOKUP($A634,RA_result!$B$3:$N$62,12,0),"")</f>
        <v/>
      </c>
      <c r="J634" s="55" t="str">
        <f aca="false">IFERROR(VLOOKUP($A634,RA_result!$B$3:$N$62,13,0),"")</f>
        <v/>
      </c>
      <c r="K634" s="56"/>
      <c r="L634" s="56"/>
      <c r="M634" s="57" t="n">
        <f aca="false">G634</f>
        <v>0</v>
      </c>
      <c r="N634" s="54" t="n">
        <f aca="false">G634-M634</f>
        <v>0</v>
      </c>
      <c r="O634" s="55" t="str">
        <f aca="false">IFERROR(VLOOKUP($A634,RA_result!$B$3:$N$62,7,0),"")</f>
        <v/>
      </c>
      <c r="P634" s="52" t="str">
        <f aca="false">IFERROR(VLOOKUP($A634,RA_result!$B$3:$N$62,9,0),"")</f>
        <v/>
      </c>
      <c r="Q634" s="52" t="str">
        <f aca="false">IFERROR(VLOOKUP($A634,RA_result!$B$3:$N$62,10,0),"")</f>
        <v/>
      </c>
      <c r="R634" s="58" t="s">
        <v>55</v>
      </c>
      <c r="S634" s="59" t="str">
        <f aca="false">IFERROR(VLOOKUP($A634,RA_result!$B$3:$N$62,4,0),"")</f>
        <v/>
      </c>
      <c r="T634" s="60" t="s">
        <v>56</v>
      </c>
      <c r="U634" s="59" t="str">
        <f aca="false">IFERROR(IF(VLOOKUP($A634,RA_result!$B$3:$N$62,6,0)="",S634*T634,VLOOKUP($A634,RA_result!$B$3:$N$62,6,0)),"")</f>
        <v/>
      </c>
      <c r="V634" s="61" t="s">
        <v>56</v>
      </c>
      <c r="W634" s="62" t="n">
        <f aca="false">IFERROR((S634*30%)/V634,0)</f>
        <v>0</v>
      </c>
      <c r="X634" s="63" t="n">
        <f aca="false">IFERROR(N634/W634,0)</f>
        <v>0</v>
      </c>
      <c r="Y634" s="68"/>
      <c r="Z634" s="57"/>
      <c r="AA634" s="69" t="str">
        <f aca="false">IF(OR(U634="",Y634="",Z634=""),"",IF(AND(U634&gt;Y634,-U634&lt;Z634),"Ok","Not Ok"))</f>
        <v/>
      </c>
      <c r="AB634" s="70"/>
    </row>
    <row r="635" customFormat="false" ht="12.8" hidden="false" customHeight="false" outlineLevel="0" collapsed="false">
      <c r="A635" s="48" t="n">
        <f aca="false">TB_audited!A618</f>
        <v>0</v>
      </c>
      <c r="B635" s="49"/>
      <c r="C635" s="50"/>
      <c r="D635" s="51" t="n">
        <f aca="false">TB_audited!B618</f>
        <v>0</v>
      </c>
      <c r="E635" s="52" t="n">
        <f aca="false">TB_audited!C618</f>
        <v>0</v>
      </c>
      <c r="F635" s="53" t="n">
        <f aca="false">TB_audited!D618</f>
        <v>0</v>
      </c>
      <c r="G635" s="54" t="n">
        <f aca="false">IF($D$8="Interim",TB_audited!G618,TB_audited!E618)</f>
        <v>0</v>
      </c>
      <c r="H635" s="55" t="str">
        <f aca="false">IFERROR(VLOOKUP($A635,RA_result!$B$3:$N$62,11,0),"")</f>
        <v/>
      </c>
      <c r="I635" s="55" t="str">
        <f aca="false">IFERROR(VLOOKUP($A635,RA_result!$B$3:$N$62,12,0),"")</f>
        <v/>
      </c>
      <c r="J635" s="55" t="str">
        <f aca="false">IFERROR(VLOOKUP($A635,RA_result!$B$3:$N$62,13,0),"")</f>
        <v/>
      </c>
      <c r="K635" s="56"/>
      <c r="L635" s="56"/>
      <c r="M635" s="57" t="n">
        <f aca="false">G635</f>
        <v>0</v>
      </c>
      <c r="N635" s="54" t="n">
        <f aca="false">G635-M635</f>
        <v>0</v>
      </c>
      <c r="O635" s="55" t="str">
        <f aca="false">IFERROR(VLOOKUP($A635,RA_result!$B$3:$N$62,7,0),"")</f>
        <v/>
      </c>
      <c r="P635" s="52" t="str">
        <f aca="false">IFERROR(VLOOKUP($A635,RA_result!$B$3:$N$62,9,0),"")</f>
        <v/>
      </c>
      <c r="Q635" s="52" t="str">
        <f aca="false">IFERROR(VLOOKUP($A635,RA_result!$B$3:$N$62,10,0),"")</f>
        <v/>
      </c>
      <c r="R635" s="58" t="s">
        <v>55</v>
      </c>
      <c r="S635" s="59" t="str">
        <f aca="false">IFERROR(VLOOKUP($A635,RA_result!$B$3:$N$62,4,0),"")</f>
        <v/>
      </c>
      <c r="T635" s="60" t="s">
        <v>56</v>
      </c>
      <c r="U635" s="59" t="str">
        <f aca="false">IFERROR(IF(VLOOKUP($A635,RA_result!$B$3:$N$62,6,0)="",S635*T635,VLOOKUP($A635,RA_result!$B$3:$N$62,6,0)),"")</f>
        <v/>
      </c>
      <c r="V635" s="61" t="s">
        <v>56</v>
      </c>
      <c r="W635" s="62" t="n">
        <f aca="false">IFERROR((S635*30%)/V635,0)</f>
        <v>0</v>
      </c>
      <c r="X635" s="63" t="n">
        <f aca="false">IFERROR(N635/W635,0)</f>
        <v>0</v>
      </c>
      <c r="Y635" s="68"/>
      <c r="Z635" s="57"/>
      <c r="AA635" s="69" t="str">
        <f aca="false">IF(OR(U635="",Y635="",Z635=""),"",IF(AND(U635&gt;Y635,-U635&lt;Z635),"Ok","Not Ok"))</f>
        <v/>
      </c>
      <c r="AB635" s="70"/>
    </row>
    <row r="636" customFormat="false" ht="12.8" hidden="false" customHeight="false" outlineLevel="0" collapsed="false">
      <c r="A636" s="48" t="n">
        <f aca="false">TB_audited!A619</f>
        <v>0</v>
      </c>
      <c r="B636" s="49"/>
      <c r="C636" s="50"/>
      <c r="D636" s="51" t="n">
        <f aca="false">TB_audited!B619</f>
        <v>0</v>
      </c>
      <c r="E636" s="52" t="n">
        <f aca="false">TB_audited!C619</f>
        <v>0</v>
      </c>
      <c r="F636" s="53" t="n">
        <f aca="false">TB_audited!D619</f>
        <v>0</v>
      </c>
      <c r="G636" s="54" t="n">
        <f aca="false">IF($D$8="Interim",TB_audited!G619,TB_audited!E619)</f>
        <v>0</v>
      </c>
      <c r="H636" s="55" t="str">
        <f aca="false">IFERROR(VLOOKUP($A636,RA_result!$B$3:$N$62,11,0),"")</f>
        <v/>
      </c>
      <c r="I636" s="55" t="str">
        <f aca="false">IFERROR(VLOOKUP($A636,RA_result!$B$3:$N$62,12,0),"")</f>
        <v/>
      </c>
      <c r="J636" s="55" t="str">
        <f aca="false">IFERROR(VLOOKUP($A636,RA_result!$B$3:$N$62,13,0),"")</f>
        <v/>
      </c>
      <c r="K636" s="56"/>
      <c r="L636" s="56"/>
      <c r="M636" s="57" t="n">
        <f aca="false">G636</f>
        <v>0</v>
      </c>
      <c r="N636" s="54" t="n">
        <f aca="false">G636-M636</f>
        <v>0</v>
      </c>
      <c r="O636" s="55" t="str">
        <f aca="false">IFERROR(VLOOKUP($A636,RA_result!$B$3:$N$62,7,0),"")</f>
        <v/>
      </c>
      <c r="P636" s="52" t="str">
        <f aca="false">IFERROR(VLOOKUP($A636,RA_result!$B$3:$N$62,9,0),"")</f>
        <v/>
      </c>
      <c r="Q636" s="52" t="str">
        <f aca="false">IFERROR(VLOOKUP($A636,RA_result!$B$3:$N$62,10,0),"")</f>
        <v/>
      </c>
      <c r="R636" s="58" t="s">
        <v>55</v>
      </c>
      <c r="S636" s="59" t="str">
        <f aca="false">IFERROR(VLOOKUP($A636,RA_result!$B$3:$N$62,4,0),"")</f>
        <v/>
      </c>
      <c r="T636" s="60" t="s">
        <v>56</v>
      </c>
      <c r="U636" s="59" t="str">
        <f aca="false">IFERROR(IF(VLOOKUP($A636,RA_result!$B$3:$N$62,6,0)="",S636*T636,VLOOKUP($A636,RA_result!$B$3:$N$62,6,0)),"")</f>
        <v/>
      </c>
      <c r="V636" s="61" t="s">
        <v>56</v>
      </c>
      <c r="W636" s="62" t="n">
        <f aca="false">IFERROR((S636*30%)/V636,0)</f>
        <v>0</v>
      </c>
      <c r="X636" s="63" t="n">
        <f aca="false">IFERROR(N636/W636,0)</f>
        <v>0</v>
      </c>
      <c r="Y636" s="68"/>
      <c r="Z636" s="57"/>
      <c r="AA636" s="69" t="str">
        <f aca="false">IF(OR(U636="",Y636="",Z636=""),"",IF(AND(U636&gt;Y636,-U636&lt;Z636),"Ok","Not Ok"))</f>
        <v/>
      </c>
      <c r="AB636" s="70"/>
    </row>
    <row r="637" customFormat="false" ht="12.8" hidden="false" customHeight="false" outlineLevel="0" collapsed="false">
      <c r="A637" s="48" t="n">
        <f aca="false">TB_audited!A620</f>
        <v>0</v>
      </c>
      <c r="B637" s="49"/>
      <c r="C637" s="50"/>
      <c r="D637" s="51" t="n">
        <f aca="false">TB_audited!B620</f>
        <v>0</v>
      </c>
      <c r="E637" s="52" t="n">
        <f aca="false">TB_audited!C620</f>
        <v>0</v>
      </c>
      <c r="F637" s="53" t="n">
        <f aca="false">TB_audited!D620</f>
        <v>0</v>
      </c>
      <c r="G637" s="54" t="n">
        <f aca="false">IF($D$8="Interim",TB_audited!G620,TB_audited!E620)</f>
        <v>0</v>
      </c>
      <c r="H637" s="55" t="str">
        <f aca="false">IFERROR(VLOOKUP($A637,RA_result!$B$3:$N$62,11,0),"")</f>
        <v/>
      </c>
      <c r="I637" s="55" t="str">
        <f aca="false">IFERROR(VLOOKUP($A637,RA_result!$B$3:$N$62,12,0),"")</f>
        <v/>
      </c>
      <c r="J637" s="55" t="str">
        <f aca="false">IFERROR(VLOOKUP($A637,RA_result!$B$3:$N$62,13,0),"")</f>
        <v/>
      </c>
      <c r="K637" s="56"/>
      <c r="L637" s="56"/>
      <c r="M637" s="57" t="n">
        <f aca="false">G637</f>
        <v>0</v>
      </c>
      <c r="N637" s="54" t="n">
        <f aca="false">G637-M637</f>
        <v>0</v>
      </c>
      <c r="O637" s="55" t="str">
        <f aca="false">IFERROR(VLOOKUP($A637,RA_result!$B$3:$N$62,7,0),"")</f>
        <v/>
      </c>
      <c r="P637" s="52" t="str">
        <f aca="false">IFERROR(VLOOKUP($A637,RA_result!$B$3:$N$62,9,0),"")</f>
        <v/>
      </c>
      <c r="Q637" s="52" t="str">
        <f aca="false">IFERROR(VLOOKUP($A637,RA_result!$B$3:$N$62,10,0),"")</f>
        <v/>
      </c>
      <c r="R637" s="58" t="s">
        <v>55</v>
      </c>
      <c r="S637" s="59" t="str">
        <f aca="false">IFERROR(VLOOKUP($A637,RA_result!$B$3:$N$62,4,0),"")</f>
        <v/>
      </c>
      <c r="T637" s="60" t="s">
        <v>56</v>
      </c>
      <c r="U637" s="59" t="str">
        <f aca="false">IFERROR(IF(VLOOKUP($A637,RA_result!$B$3:$N$62,6,0)="",S637*T637,VLOOKUP($A637,RA_result!$B$3:$N$62,6,0)),"")</f>
        <v/>
      </c>
      <c r="V637" s="61" t="s">
        <v>56</v>
      </c>
      <c r="W637" s="62" t="n">
        <f aca="false">IFERROR((S637*30%)/V637,0)</f>
        <v>0</v>
      </c>
      <c r="X637" s="63" t="n">
        <f aca="false">IFERROR(N637/W637,0)</f>
        <v>0</v>
      </c>
      <c r="Y637" s="68"/>
      <c r="Z637" s="57"/>
      <c r="AA637" s="69" t="str">
        <f aca="false">IF(OR(U637="",Y637="",Z637=""),"",IF(AND(U637&gt;Y637,-U637&lt;Z637),"Ok","Not Ok"))</f>
        <v/>
      </c>
      <c r="AB637" s="70"/>
    </row>
    <row r="638" customFormat="false" ht="12.8" hidden="false" customHeight="false" outlineLevel="0" collapsed="false">
      <c r="A638" s="48" t="n">
        <f aca="false">TB_audited!A621</f>
        <v>0</v>
      </c>
      <c r="B638" s="49"/>
      <c r="C638" s="50"/>
      <c r="D638" s="51" t="n">
        <f aca="false">TB_audited!B621</f>
        <v>0</v>
      </c>
      <c r="E638" s="52" t="n">
        <f aca="false">TB_audited!C621</f>
        <v>0</v>
      </c>
      <c r="F638" s="53" t="n">
        <f aca="false">TB_audited!D621</f>
        <v>0</v>
      </c>
      <c r="G638" s="54" t="n">
        <f aca="false">IF($D$8="Interim",TB_audited!G621,TB_audited!E621)</f>
        <v>0</v>
      </c>
      <c r="H638" s="55" t="str">
        <f aca="false">IFERROR(VLOOKUP($A638,RA_result!$B$3:$N$62,11,0),"")</f>
        <v/>
      </c>
      <c r="I638" s="55" t="str">
        <f aca="false">IFERROR(VLOOKUP($A638,RA_result!$B$3:$N$62,12,0),"")</f>
        <v/>
      </c>
      <c r="J638" s="55" t="str">
        <f aca="false">IFERROR(VLOOKUP($A638,RA_result!$B$3:$N$62,13,0),"")</f>
        <v/>
      </c>
      <c r="K638" s="56"/>
      <c r="L638" s="56"/>
      <c r="M638" s="57" t="n">
        <f aca="false">G638</f>
        <v>0</v>
      </c>
      <c r="N638" s="54" t="n">
        <f aca="false">G638-M638</f>
        <v>0</v>
      </c>
      <c r="O638" s="55" t="str">
        <f aca="false">IFERROR(VLOOKUP($A638,RA_result!$B$3:$N$62,7,0),"")</f>
        <v/>
      </c>
      <c r="P638" s="52" t="str">
        <f aca="false">IFERROR(VLOOKUP($A638,RA_result!$B$3:$N$62,9,0),"")</f>
        <v/>
      </c>
      <c r="Q638" s="52" t="str">
        <f aca="false">IFERROR(VLOOKUP($A638,RA_result!$B$3:$N$62,10,0),"")</f>
        <v/>
      </c>
      <c r="R638" s="58" t="s">
        <v>55</v>
      </c>
      <c r="S638" s="59" t="str">
        <f aca="false">IFERROR(VLOOKUP($A638,RA_result!$B$3:$N$62,4,0),"")</f>
        <v/>
      </c>
      <c r="T638" s="60" t="s">
        <v>56</v>
      </c>
      <c r="U638" s="59" t="str">
        <f aca="false">IFERROR(IF(VLOOKUP($A638,RA_result!$B$3:$N$62,6,0)="",S638*T638,VLOOKUP($A638,RA_result!$B$3:$N$62,6,0)),"")</f>
        <v/>
      </c>
      <c r="V638" s="61" t="s">
        <v>56</v>
      </c>
      <c r="W638" s="62" t="n">
        <f aca="false">IFERROR((S638*30%)/V638,0)</f>
        <v>0</v>
      </c>
      <c r="X638" s="63" t="n">
        <f aca="false">IFERROR(N638/W638,0)</f>
        <v>0</v>
      </c>
      <c r="Y638" s="68"/>
      <c r="Z638" s="57"/>
      <c r="AA638" s="69" t="str">
        <f aca="false">IF(OR(U638="",Y638="",Z638=""),"",IF(AND(U638&gt;Y638,-U638&lt;Z638),"Ok","Not Ok"))</f>
        <v/>
      </c>
      <c r="AB638" s="70"/>
    </row>
    <row r="639" customFormat="false" ht="12.8" hidden="false" customHeight="false" outlineLevel="0" collapsed="false">
      <c r="A639" s="48" t="n">
        <f aca="false">TB_audited!A622</f>
        <v>0</v>
      </c>
      <c r="B639" s="49"/>
      <c r="C639" s="50"/>
      <c r="D639" s="51" t="n">
        <f aca="false">TB_audited!B622</f>
        <v>0</v>
      </c>
      <c r="E639" s="52" t="n">
        <f aca="false">TB_audited!C622</f>
        <v>0</v>
      </c>
      <c r="F639" s="53" t="n">
        <f aca="false">TB_audited!D622</f>
        <v>0</v>
      </c>
      <c r="G639" s="54" t="n">
        <f aca="false">IF($D$8="Interim",TB_audited!G622,TB_audited!E622)</f>
        <v>0</v>
      </c>
      <c r="H639" s="55" t="str">
        <f aca="false">IFERROR(VLOOKUP($A639,RA_result!$B$3:$N$62,11,0),"")</f>
        <v/>
      </c>
      <c r="I639" s="55" t="str">
        <f aca="false">IFERROR(VLOOKUP($A639,RA_result!$B$3:$N$62,12,0),"")</f>
        <v/>
      </c>
      <c r="J639" s="55" t="str">
        <f aca="false">IFERROR(VLOOKUP($A639,RA_result!$B$3:$N$62,13,0),"")</f>
        <v/>
      </c>
      <c r="K639" s="56"/>
      <c r="L639" s="56"/>
      <c r="M639" s="57" t="n">
        <f aca="false">G639</f>
        <v>0</v>
      </c>
      <c r="N639" s="54" t="n">
        <f aca="false">G639-M639</f>
        <v>0</v>
      </c>
      <c r="O639" s="55" t="str">
        <f aca="false">IFERROR(VLOOKUP($A639,RA_result!$B$3:$N$62,7,0),"")</f>
        <v/>
      </c>
      <c r="P639" s="52" t="str">
        <f aca="false">IFERROR(VLOOKUP($A639,RA_result!$B$3:$N$62,9,0),"")</f>
        <v/>
      </c>
      <c r="Q639" s="52" t="str">
        <f aca="false">IFERROR(VLOOKUP($A639,RA_result!$B$3:$N$62,10,0),"")</f>
        <v/>
      </c>
      <c r="R639" s="58" t="s">
        <v>55</v>
      </c>
      <c r="S639" s="59" t="str">
        <f aca="false">IFERROR(VLOOKUP($A639,RA_result!$B$3:$N$62,4,0),"")</f>
        <v/>
      </c>
      <c r="T639" s="60" t="s">
        <v>56</v>
      </c>
      <c r="U639" s="59" t="str">
        <f aca="false">IFERROR(IF(VLOOKUP($A639,RA_result!$B$3:$N$62,6,0)="",S639*T639,VLOOKUP($A639,RA_result!$B$3:$N$62,6,0)),"")</f>
        <v/>
      </c>
      <c r="V639" s="61" t="s">
        <v>56</v>
      </c>
      <c r="W639" s="62" t="n">
        <f aca="false">IFERROR((S639*30%)/V639,0)</f>
        <v>0</v>
      </c>
      <c r="X639" s="63" t="n">
        <f aca="false">IFERROR(N639/W639,0)</f>
        <v>0</v>
      </c>
      <c r="Y639" s="68"/>
      <c r="Z639" s="57"/>
      <c r="AA639" s="69" t="str">
        <f aca="false">IF(OR(U639="",Y639="",Z639=""),"",IF(AND(U639&gt;Y639,-U639&lt;Z639),"Ok","Not Ok"))</f>
        <v/>
      </c>
      <c r="AB639" s="70"/>
    </row>
    <row r="640" customFormat="false" ht="12.8" hidden="false" customHeight="false" outlineLevel="0" collapsed="false">
      <c r="A640" s="48" t="n">
        <f aca="false">TB_audited!A623</f>
        <v>0</v>
      </c>
      <c r="B640" s="49"/>
      <c r="C640" s="50"/>
      <c r="D640" s="51" t="n">
        <f aca="false">TB_audited!B623</f>
        <v>0</v>
      </c>
      <c r="E640" s="52" t="n">
        <f aca="false">TB_audited!C623</f>
        <v>0</v>
      </c>
      <c r="F640" s="53" t="n">
        <f aca="false">TB_audited!D623</f>
        <v>0</v>
      </c>
      <c r="G640" s="54" t="n">
        <f aca="false">IF($D$8="Interim",TB_audited!G623,TB_audited!E623)</f>
        <v>0</v>
      </c>
      <c r="H640" s="55" t="str">
        <f aca="false">IFERROR(VLOOKUP($A640,RA_result!$B$3:$N$62,11,0),"")</f>
        <v/>
      </c>
      <c r="I640" s="55" t="str">
        <f aca="false">IFERROR(VLOOKUP($A640,RA_result!$B$3:$N$62,12,0),"")</f>
        <v/>
      </c>
      <c r="J640" s="55" t="str">
        <f aca="false">IFERROR(VLOOKUP($A640,RA_result!$B$3:$N$62,13,0),"")</f>
        <v/>
      </c>
      <c r="K640" s="56"/>
      <c r="L640" s="56"/>
      <c r="M640" s="57" t="n">
        <f aca="false">G640</f>
        <v>0</v>
      </c>
      <c r="N640" s="54" t="n">
        <f aca="false">G640-M640</f>
        <v>0</v>
      </c>
      <c r="O640" s="55" t="str">
        <f aca="false">IFERROR(VLOOKUP($A640,RA_result!$B$3:$N$62,7,0),"")</f>
        <v/>
      </c>
      <c r="P640" s="52" t="str">
        <f aca="false">IFERROR(VLOOKUP($A640,RA_result!$B$3:$N$62,9,0),"")</f>
        <v/>
      </c>
      <c r="Q640" s="52" t="str">
        <f aca="false">IFERROR(VLOOKUP($A640,RA_result!$B$3:$N$62,10,0),"")</f>
        <v/>
      </c>
      <c r="R640" s="58" t="s">
        <v>55</v>
      </c>
      <c r="S640" s="59" t="str">
        <f aca="false">IFERROR(VLOOKUP($A640,RA_result!$B$3:$N$62,4,0),"")</f>
        <v/>
      </c>
      <c r="T640" s="60" t="s">
        <v>56</v>
      </c>
      <c r="U640" s="59" t="str">
        <f aca="false">IFERROR(IF(VLOOKUP($A640,RA_result!$B$3:$N$62,6,0)="",S640*T640,VLOOKUP($A640,RA_result!$B$3:$N$62,6,0)),"")</f>
        <v/>
      </c>
      <c r="V640" s="61" t="s">
        <v>56</v>
      </c>
      <c r="W640" s="62" t="n">
        <f aca="false">IFERROR((S640*30%)/V640,0)</f>
        <v>0</v>
      </c>
      <c r="X640" s="63" t="n">
        <f aca="false">IFERROR(N640/W640,0)</f>
        <v>0</v>
      </c>
      <c r="Y640" s="68"/>
      <c r="Z640" s="57"/>
      <c r="AA640" s="69" t="str">
        <f aca="false">IF(OR(U640="",Y640="",Z640=""),"",IF(AND(U640&gt;Y640,-U640&lt;Z640),"Ok","Not Ok"))</f>
        <v/>
      </c>
      <c r="AB640" s="70"/>
    </row>
    <row r="641" customFormat="false" ht="12.8" hidden="false" customHeight="false" outlineLevel="0" collapsed="false">
      <c r="A641" s="48" t="n">
        <f aca="false">TB_audited!A624</f>
        <v>0</v>
      </c>
      <c r="B641" s="49"/>
      <c r="C641" s="50"/>
      <c r="D641" s="51" t="n">
        <f aca="false">TB_audited!B624</f>
        <v>0</v>
      </c>
      <c r="E641" s="52" t="n">
        <f aca="false">TB_audited!C624</f>
        <v>0</v>
      </c>
      <c r="F641" s="53" t="n">
        <f aca="false">TB_audited!D624</f>
        <v>0</v>
      </c>
      <c r="G641" s="54" t="n">
        <f aca="false">IF($D$8="Interim",TB_audited!G624,TB_audited!E624)</f>
        <v>0</v>
      </c>
      <c r="H641" s="55" t="str">
        <f aca="false">IFERROR(VLOOKUP($A641,RA_result!$B$3:$N$62,11,0),"")</f>
        <v/>
      </c>
      <c r="I641" s="55" t="str">
        <f aca="false">IFERROR(VLOOKUP($A641,RA_result!$B$3:$N$62,12,0),"")</f>
        <v/>
      </c>
      <c r="J641" s="55" t="str">
        <f aca="false">IFERROR(VLOOKUP($A641,RA_result!$B$3:$N$62,13,0),"")</f>
        <v/>
      </c>
      <c r="K641" s="56"/>
      <c r="L641" s="56"/>
      <c r="M641" s="57" t="n">
        <f aca="false">G641</f>
        <v>0</v>
      </c>
      <c r="N641" s="54" t="n">
        <f aca="false">G641-M641</f>
        <v>0</v>
      </c>
      <c r="O641" s="55" t="str">
        <f aca="false">IFERROR(VLOOKUP($A641,RA_result!$B$3:$N$62,7,0),"")</f>
        <v/>
      </c>
      <c r="P641" s="52" t="str">
        <f aca="false">IFERROR(VLOOKUP($A641,RA_result!$B$3:$N$62,9,0),"")</f>
        <v/>
      </c>
      <c r="Q641" s="52" t="str">
        <f aca="false">IFERROR(VLOOKUP($A641,RA_result!$B$3:$N$62,10,0),"")</f>
        <v/>
      </c>
      <c r="R641" s="58" t="s">
        <v>55</v>
      </c>
      <c r="S641" s="59" t="str">
        <f aca="false">IFERROR(VLOOKUP($A641,RA_result!$B$3:$N$62,4,0),"")</f>
        <v/>
      </c>
      <c r="T641" s="60" t="s">
        <v>56</v>
      </c>
      <c r="U641" s="59" t="str">
        <f aca="false">IFERROR(IF(VLOOKUP($A641,RA_result!$B$3:$N$62,6,0)="",S641*T641,VLOOKUP($A641,RA_result!$B$3:$N$62,6,0)),"")</f>
        <v/>
      </c>
      <c r="V641" s="61" t="s">
        <v>56</v>
      </c>
      <c r="W641" s="62" t="n">
        <f aca="false">IFERROR((S641*30%)/V641,0)</f>
        <v>0</v>
      </c>
      <c r="X641" s="63" t="n">
        <f aca="false">IFERROR(N641/W641,0)</f>
        <v>0</v>
      </c>
      <c r="Y641" s="68"/>
      <c r="Z641" s="57"/>
      <c r="AA641" s="69" t="str">
        <f aca="false">IF(OR(U641="",Y641="",Z641=""),"",IF(AND(U641&gt;Y641,-U641&lt;Z641),"Ok","Not Ok"))</f>
        <v/>
      </c>
      <c r="AB641" s="70"/>
    </row>
    <row r="642" customFormat="false" ht="12.8" hidden="false" customHeight="false" outlineLevel="0" collapsed="false">
      <c r="A642" s="48" t="n">
        <f aca="false">TB_audited!A625</f>
        <v>0</v>
      </c>
      <c r="B642" s="49"/>
      <c r="C642" s="50"/>
      <c r="D642" s="51" t="n">
        <f aca="false">TB_audited!B625</f>
        <v>0</v>
      </c>
      <c r="E642" s="52" t="n">
        <f aca="false">TB_audited!C625</f>
        <v>0</v>
      </c>
      <c r="F642" s="53" t="n">
        <f aca="false">TB_audited!D625</f>
        <v>0</v>
      </c>
      <c r="G642" s="54" t="n">
        <f aca="false">IF($D$8="Interim",TB_audited!G625,TB_audited!E625)</f>
        <v>0</v>
      </c>
      <c r="H642" s="55" t="str">
        <f aca="false">IFERROR(VLOOKUP($A642,RA_result!$B$3:$N$62,11,0),"")</f>
        <v/>
      </c>
      <c r="I642" s="55" t="str">
        <f aca="false">IFERROR(VLOOKUP($A642,RA_result!$B$3:$N$62,12,0),"")</f>
        <v/>
      </c>
      <c r="J642" s="55" t="str">
        <f aca="false">IFERROR(VLOOKUP($A642,RA_result!$B$3:$N$62,13,0),"")</f>
        <v/>
      </c>
      <c r="K642" s="56"/>
      <c r="L642" s="56"/>
      <c r="M642" s="57" t="n">
        <f aca="false">G642</f>
        <v>0</v>
      </c>
      <c r="N642" s="54" t="n">
        <f aca="false">G642-M642</f>
        <v>0</v>
      </c>
      <c r="O642" s="55" t="str">
        <f aca="false">IFERROR(VLOOKUP($A642,RA_result!$B$3:$N$62,7,0),"")</f>
        <v/>
      </c>
      <c r="P642" s="52" t="str">
        <f aca="false">IFERROR(VLOOKUP($A642,RA_result!$B$3:$N$62,9,0),"")</f>
        <v/>
      </c>
      <c r="Q642" s="52" t="str">
        <f aca="false">IFERROR(VLOOKUP($A642,RA_result!$B$3:$N$62,10,0),"")</f>
        <v/>
      </c>
      <c r="R642" s="58" t="s">
        <v>55</v>
      </c>
      <c r="S642" s="59" t="str">
        <f aca="false">IFERROR(VLOOKUP($A642,RA_result!$B$3:$N$62,4,0),"")</f>
        <v/>
      </c>
      <c r="T642" s="60" t="s">
        <v>56</v>
      </c>
      <c r="U642" s="59" t="str">
        <f aca="false">IFERROR(IF(VLOOKUP($A642,RA_result!$B$3:$N$62,6,0)="",S642*T642,VLOOKUP($A642,RA_result!$B$3:$N$62,6,0)),"")</f>
        <v/>
      </c>
      <c r="V642" s="61" t="s">
        <v>56</v>
      </c>
      <c r="W642" s="62" t="n">
        <f aca="false">IFERROR((S642*30%)/V642,0)</f>
        <v>0</v>
      </c>
      <c r="X642" s="63" t="n">
        <f aca="false">IFERROR(N642/W642,0)</f>
        <v>0</v>
      </c>
      <c r="Y642" s="68"/>
      <c r="Z642" s="57"/>
      <c r="AA642" s="69" t="str">
        <f aca="false">IF(OR(U642="",Y642="",Z642=""),"",IF(AND(U642&gt;Y642,-U642&lt;Z642),"Ok","Not Ok"))</f>
        <v/>
      </c>
      <c r="AB642" s="70"/>
    </row>
    <row r="643" customFormat="false" ht="12.8" hidden="false" customHeight="false" outlineLevel="0" collapsed="false">
      <c r="A643" s="48" t="n">
        <f aca="false">TB_audited!A626</f>
        <v>0</v>
      </c>
      <c r="B643" s="49"/>
      <c r="C643" s="50"/>
      <c r="D643" s="51" t="n">
        <f aca="false">TB_audited!B626</f>
        <v>0</v>
      </c>
      <c r="E643" s="52" t="n">
        <f aca="false">TB_audited!C626</f>
        <v>0</v>
      </c>
      <c r="F643" s="53" t="n">
        <f aca="false">TB_audited!D626</f>
        <v>0</v>
      </c>
      <c r="G643" s="54" t="n">
        <f aca="false">IF($D$8="Interim",TB_audited!G626,TB_audited!E626)</f>
        <v>0</v>
      </c>
      <c r="H643" s="55" t="str">
        <f aca="false">IFERROR(VLOOKUP($A643,RA_result!$B$3:$N$62,11,0),"")</f>
        <v/>
      </c>
      <c r="I643" s="55" t="str">
        <f aca="false">IFERROR(VLOOKUP($A643,RA_result!$B$3:$N$62,12,0),"")</f>
        <v/>
      </c>
      <c r="J643" s="55" t="str">
        <f aca="false">IFERROR(VLOOKUP($A643,RA_result!$B$3:$N$62,13,0),"")</f>
        <v/>
      </c>
      <c r="K643" s="56"/>
      <c r="L643" s="56"/>
      <c r="M643" s="57" t="n">
        <f aca="false">G643</f>
        <v>0</v>
      </c>
      <c r="N643" s="54" t="n">
        <f aca="false">G643-M643</f>
        <v>0</v>
      </c>
      <c r="O643" s="55" t="str">
        <f aca="false">IFERROR(VLOOKUP($A643,RA_result!$B$3:$N$62,7,0),"")</f>
        <v/>
      </c>
      <c r="P643" s="52" t="str">
        <f aca="false">IFERROR(VLOOKUP($A643,RA_result!$B$3:$N$62,9,0),"")</f>
        <v/>
      </c>
      <c r="Q643" s="52" t="str">
        <f aca="false">IFERROR(VLOOKUP($A643,RA_result!$B$3:$N$62,10,0),"")</f>
        <v/>
      </c>
      <c r="R643" s="58" t="s">
        <v>55</v>
      </c>
      <c r="S643" s="59" t="str">
        <f aca="false">IFERROR(VLOOKUP($A643,RA_result!$B$3:$N$62,4,0),"")</f>
        <v/>
      </c>
      <c r="T643" s="60" t="s">
        <v>56</v>
      </c>
      <c r="U643" s="59" t="str">
        <f aca="false">IFERROR(IF(VLOOKUP($A643,RA_result!$B$3:$N$62,6,0)="",S643*T643,VLOOKUP($A643,RA_result!$B$3:$N$62,6,0)),"")</f>
        <v/>
      </c>
      <c r="V643" s="61" t="s">
        <v>56</v>
      </c>
      <c r="W643" s="62" t="n">
        <f aca="false">IFERROR((S643*30%)/V643,0)</f>
        <v>0</v>
      </c>
      <c r="X643" s="63" t="n">
        <f aca="false">IFERROR(N643/W643,0)</f>
        <v>0</v>
      </c>
      <c r="Y643" s="68"/>
      <c r="Z643" s="57"/>
      <c r="AA643" s="69" t="str">
        <f aca="false">IF(OR(U643="",Y643="",Z643=""),"",IF(AND(U643&gt;Y643,-U643&lt;Z643),"Ok","Not Ok"))</f>
        <v/>
      </c>
      <c r="AB643" s="70"/>
    </row>
    <row r="644" customFormat="false" ht="12.8" hidden="false" customHeight="false" outlineLevel="0" collapsed="false">
      <c r="A644" s="48" t="n">
        <f aca="false">TB_audited!A627</f>
        <v>0</v>
      </c>
      <c r="B644" s="49"/>
      <c r="C644" s="50"/>
      <c r="D644" s="51" t="n">
        <f aca="false">TB_audited!B627</f>
        <v>0</v>
      </c>
      <c r="E644" s="52" t="n">
        <f aca="false">TB_audited!C627</f>
        <v>0</v>
      </c>
      <c r="F644" s="53" t="n">
        <f aca="false">TB_audited!D627</f>
        <v>0</v>
      </c>
      <c r="G644" s="54" t="n">
        <f aca="false">IF($D$8="Interim",TB_audited!G627,TB_audited!E627)</f>
        <v>0</v>
      </c>
      <c r="H644" s="55" t="str">
        <f aca="false">IFERROR(VLOOKUP($A644,RA_result!$B$3:$N$62,11,0),"")</f>
        <v/>
      </c>
      <c r="I644" s="55" t="str">
        <f aca="false">IFERROR(VLOOKUP($A644,RA_result!$B$3:$N$62,12,0),"")</f>
        <v/>
      </c>
      <c r="J644" s="55" t="str">
        <f aca="false">IFERROR(VLOOKUP($A644,RA_result!$B$3:$N$62,13,0),"")</f>
        <v/>
      </c>
      <c r="K644" s="56"/>
      <c r="L644" s="56"/>
      <c r="M644" s="57" t="n">
        <f aca="false">G644</f>
        <v>0</v>
      </c>
      <c r="N644" s="54" t="n">
        <f aca="false">G644-M644</f>
        <v>0</v>
      </c>
      <c r="O644" s="55" t="str">
        <f aca="false">IFERROR(VLOOKUP($A644,RA_result!$B$3:$N$62,7,0),"")</f>
        <v/>
      </c>
      <c r="P644" s="52" t="str">
        <f aca="false">IFERROR(VLOOKUP($A644,RA_result!$B$3:$N$62,9,0),"")</f>
        <v/>
      </c>
      <c r="Q644" s="52" t="str">
        <f aca="false">IFERROR(VLOOKUP($A644,RA_result!$B$3:$N$62,10,0),"")</f>
        <v/>
      </c>
      <c r="R644" s="58" t="s">
        <v>55</v>
      </c>
      <c r="S644" s="59" t="str">
        <f aca="false">IFERROR(VLOOKUP($A644,RA_result!$B$3:$N$62,4,0),"")</f>
        <v/>
      </c>
      <c r="T644" s="60" t="s">
        <v>56</v>
      </c>
      <c r="U644" s="59" t="str">
        <f aca="false">IFERROR(IF(VLOOKUP($A644,RA_result!$B$3:$N$62,6,0)="",S644*T644,VLOOKUP($A644,RA_result!$B$3:$N$62,6,0)),"")</f>
        <v/>
      </c>
      <c r="V644" s="61" t="s">
        <v>56</v>
      </c>
      <c r="W644" s="62" t="n">
        <f aca="false">IFERROR((S644*30%)/V644,0)</f>
        <v>0</v>
      </c>
      <c r="X644" s="63" t="n">
        <f aca="false">IFERROR(N644/W644,0)</f>
        <v>0</v>
      </c>
      <c r="Y644" s="68"/>
      <c r="Z644" s="57"/>
      <c r="AA644" s="69" t="str">
        <f aca="false">IF(OR(U644="",Y644="",Z644=""),"",IF(AND(U644&gt;Y644,-U644&lt;Z644),"Ok","Not Ok"))</f>
        <v/>
      </c>
      <c r="AB644" s="70"/>
    </row>
    <row r="645" customFormat="false" ht="12.8" hidden="false" customHeight="false" outlineLevel="0" collapsed="false">
      <c r="A645" s="48" t="n">
        <f aca="false">TB_audited!A628</f>
        <v>0</v>
      </c>
      <c r="B645" s="49"/>
      <c r="C645" s="50"/>
      <c r="D645" s="51" t="n">
        <f aca="false">TB_audited!B628</f>
        <v>0</v>
      </c>
      <c r="E645" s="52" t="n">
        <f aca="false">TB_audited!C628</f>
        <v>0</v>
      </c>
      <c r="F645" s="53" t="n">
        <f aca="false">TB_audited!D628</f>
        <v>0</v>
      </c>
      <c r="G645" s="54" t="n">
        <f aca="false">IF($D$8="Interim",TB_audited!G628,TB_audited!E628)</f>
        <v>0</v>
      </c>
      <c r="H645" s="55" t="str">
        <f aca="false">IFERROR(VLOOKUP($A645,RA_result!$B$3:$N$62,11,0),"")</f>
        <v/>
      </c>
      <c r="I645" s="55" t="str">
        <f aca="false">IFERROR(VLOOKUP($A645,RA_result!$B$3:$N$62,12,0),"")</f>
        <v/>
      </c>
      <c r="J645" s="55" t="str">
        <f aca="false">IFERROR(VLOOKUP($A645,RA_result!$B$3:$N$62,13,0),"")</f>
        <v/>
      </c>
      <c r="K645" s="56"/>
      <c r="L645" s="56"/>
      <c r="M645" s="57" t="n">
        <f aca="false">G645</f>
        <v>0</v>
      </c>
      <c r="N645" s="54" t="n">
        <f aca="false">G645-M645</f>
        <v>0</v>
      </c>
      <c r="O645" s="55" t="str">
        <f aca="false">IFERROR(VLOOKUP($A645,RA_result!$B$3:$N$62,7,0),"")</f>
        <v/>
      </c>
      <c r="P645" s="52" t="str">
        <f aca="false">IFERROR(VLOOKUP($A645,RA_result!$B$3:$N$62,9,0),"")</f>
        <v/>
      </c>
      <c r="Q645" s="52" t="str">
        <f aca="false">IFERROR(VLOOKUP($A645,RA_result!$B$3:$N$62,10,0),"")</f>
        <v/>
      </c>
      <c r="R645" s="58" t="s">
        <v>55</v>
      </c>
      <c r="S645" s="59" t="str">
        <f aca="false">IFERROR(VLOOKUP($A645,RA_result!$B$3:$N$62,4,0),"")</f>
        <v/>
      </c>
      <c r="T645" s="60" t="s">
        <v>56</v>
      </c>
      <c r="U645" s="59" t="str">
        <f aca="false">IFERROR(IF(VLOOKUP($A645,RA_result!$B$3:$N$62,6,0)="",S645*T645,VLOOKUP($A645,RA_result!$B$3:$N$62,6,0)),"")</f>
        <v/>
      </c>
      <c r="V645" s="61" t="s">
        <v>56</v>
      </c>
      <c r="W645" s="62" t="n">
        <f aca="false">IFERROR((S645*30%)/V645,0)</f>
        <v>0</v>
      </c>
      <c r="X645" s="63" t="n">
        <f aca="false">IFERROR(N645/W645,0)</f>
        <v>0</v>
      </c>
      <c r="Y645" s="68"/>
      <c r="Z645" s="57"/>
      <c r="AA645" s="69" t="str">
        <f aca="false">IF(OR(U645="",Y645="",Z645=""),"",IF(AND(U645&gt;Y645,-U645&lt;Z645),"Ok","Not Ok"))</f>
        <v/>
      </c>
      <c r="AB645" s="70"/>
    </row>
    <row r="646" customFormat="false" ht="12.8" hidden="false" customHeight="false" outlineLevel="0" collapsed="false">
      <c r="A646" s="48" t="n">
        <f aca="false">TB_audited!A629</f>
        <v>0</v>
      </c>
      <c r="B646" s="49"/>
      <c r="C646" s="50"/>
      <c r="D646" s="51" t="n">
        <f aca="false">TB_audited!B629</f>
        <v>0</v>
      </c>
      <c r="E646" s="52" t="n">
        <f aca="false">TB_audited!C629</f>
        <v>0</v>
      </c>
      <c r="F646" s="53" t="n">
        <f aca="false">TB_audited!D629</f>
        <v>0</v>
      </c>
      <c r="G646" s="54" t="n">
        <f aca="false">IF($D$8="Interim",TB_audited!G629,TB_audited!E629)</f>
        <v>0</v>
      </c>
      <c r="H646" s="55" t="str">
        <f aca="false">IFERROR(VLOOKUP($A646,RA_result!$B$3:$N$62,11,0),"")</f>
        <v/>
      </c>
      <c r="I646" s="55" t="str">
        <f aca="false">IFERROR(VLOOKUP($A646,RA_result!$B$3:$N$62,12,0),"")</f>
        <v/>
      </c>
      <c r="J646" s="55" t="str">
        <f aca="false">IFERROR(VLOOKUP($A646,RA_result!$B$3:$N$62,13,0),"")</f>
        <v/>
      </c>
      <c r="K646" s="56"/>
      <c r="L646" s="56"/>
      <c r="M646" s="57" t="n">
        <f aca="false">G646</f>
        <v>0</v>
      </c>
      <c r="N646" s="54" t="n">
        <f aca="false">G646-M646</f>
        <v>0</v>
      </c>
      <c r="O646" s="55" t="str">
        <f aca="false">IFERROR(VLOOKUP($A646,RA_result!$B$3:$N$62,7,0),"")</f>
        <v/>
      </c>
      <c r="P646" s="52" t="str">
        <f aca="false">IFERROR(VLOOKUP($A646,RA_result!$B$3:$N$62,9,0),"")</f>
        <v/>
      </c>
      <c r="Q646" s="52" t="str">
        <f aca="false">IFERROR(VLOOKUP($A646,RA_result!$B$3:$N$62,10,0),"")</f>
        <v/>
      </c>
      <c r="R646" s="58" t="s">
        <v>55</v>
      </c>
      <c r="S646" s="59" t="str">
        <f aca="false">IFERROR(VLOOKUP($A646,RA_result!$B$3:$N$62,4,0),"")</f>
        <v/>
      </c>
      <c r="T646" s="60" t="s">
        <v>56</v>
      </c>
      <c r="U646" s="59" t="str">
        <f aca="false">IFERROR(IF(VLOOKUP($A646,RA_result!$B$3:$N$62,6,0)="",S646*T646,VLOOKUP($A646,RA_result!$B$3:$N$62,6,0)),"")</f>
        <v/>
      </c>
      <c r="V646" s="61" t="s">
        <v>56</v>
      </c>
      <c r="W646" s="62" t="n">
        <f aca="false">IFERROR((S646*30%)/V646,0)</f>
        <v>0</v>
      </c>
      <c r="X646" s="63" t="n">
        <f aca="false">IFERROR(N646/W646,0)</f>
        <v>0</v>
      </c>
      <c r="Y646" s="68"/>
      <c r="Z646" s="57"/>
      <c r="AA646" s="69" t="str">
        <f aca="false">IF(OR(U646="",Y646="",Z646=""),"",IF(AND(U646&gt;Y646,-U646&lt;Z646),"Ok","Not Ok"))</f>
        <v/>
      </c>
      <c r="AB646" s="70"/>
    </row>
    <row r="647" customFormat="false" ht="12.8" hidden="false" customHeight="false" outlineLevel="0" collapsed="false">
      <c r="A647" s="48" t="n">
        <f aca="false">TB_audited!A630</f>
        <v>0</v>
      </c>
      <c r="B647" s="49"/>
      <c r="C647" s="50"/>
      <c r="D647" s="51" t="n">
        <f aca="false">TB_audited!B630</f>
        <v>0</v>
      </c>
      <c r="E647" s="52" t="n">
        <f aca="false">TB_audited!C630</f>
        <v>0</v>
      </c>
      <c r="F647" s="53" t="n">
        <f aca="false">TB_audited!D630</f>
        <v>0</v>
      </c>
      <c r="G647" s="54" t="n">
        <f aca="false">IF($D$8="Interim",TB_audited!G630,TB_audited!E630)</f>
        <v>0</v>
      </c>
      <c r="H647" s="55" t="str">
        <f aca="false">IFERROR(VLOOKUP($A647,RA_result!$B$3:$N$62,11,0),"")</f>
        <v/>
      </c>
      <c r="I647" s="55" t="str">
        <f aca="false">IFERROR(VLOOKUP($A647,RA_result!$B$3:$N$62,12,0),"")</f>
        <v/>
      </c>
      <c r="J647" s="55" t="str">
        <f aca="false">IFERROR(VLOOKUP($A647,RA_result!$B$3:$N$62,13,0),"")</f>
        <v/>
      </c>
      <c r="K647" s="56"/>
      <c r="L647" s="56"/>
      <c r="M647" s="57" t="n">
        <f aca="false">G647</f>
        <v>0</v>
      </c>
      <c r="N647" s="54" t="n">
        <f aca="false">G647-M647</f>
        <v>0</v>
      </c>
      <c r="O647" s="55" t="str">
        <f aca="false">IFERROR(VLOOKUP($A647,RA_result!$B$3:$N$62,7,0),"")</f>
        <v/>
      </c>
      <c r="P647" s="52" t="str">
        <f aca="false">IFERROR(VLOOKUP($A647,RA_result!$B$3:$N$62,9,0),"")</f>
        <v/>
      </c>
      <c r="Q647" s="52" t="str">
        <f aca="false">IFERROR(VLOOKUP($A647,RA_result!$B$3:$N$62,10,0),"")</f>
        <v/>
      </c>
      <c r="R647" s="58" t="s">
        <v>55</v>
      </c>
      <c r="S647" s="59" t="str">
        <f aca="false">IFERROR(VLOOKUP($A647,RA_result!$B$3:$N$62,4,0),"")</f>
        <v/>
      </c>
      <c r="T647" s="60" t="s">
        <v>56</v>
      </c>
      <c r="U647" s="59" t="str">
        <f aca="false">IFERROR(IF(VLOOKUP($A647,RA_result!$B$3:$N$62,6,0)="",S647*T647,VLOOKUP($A647,RA_result!$B$3:$N$62,6,0)),"")</f>
        <v/>
      </c>
      <c r="V647" s="61" t="s">
        <v>56</v>
      </c>
      <c r="W647" s="62" t="n">
        <f aca="false">IFERROR((S647*30%)/V647,0)</f>
        <v>0</v>
      </c>
      <c r="X647" s="63" t="n">
        <f aca="false">IFERROR(N647/W647,0)</f>
        <v>0</v>
      </c>
      <c r="Y647" s="68"/>
      <c r="Z647" s="57"/>
      <c r="AA647" s="69" t="str">
        <f aca="false">IF(OR(U647="",Y647="",Z647=""),"",IF(AND(U647&gt;Y647,-U647&lt;Z647),"Ok","Not Ok"))</f>
        <v/>
      </c>
      <c r="AB647" s="70"/>
    </row>
    <row r="648" customFormat="false" ht="12.8" hidden="false" customHeight="false" outlineLevel="0" collapsed="false">
      <c r="A648" s="48" t="n">
        <f aca="false">TB_audited!A631</f>
        <v>0</v>
      </c>
      <c r="B648" s="49"/>
      <c r="C648" s="50"/>
      <c r="D648" s="51" t="n">
        <f aca="false">TB_audited!B631</f>
        <v>0</v>
      </c>
      <c r="E648" s="52" t="n">
        <f aca="false">TB_audited!C631</f>
        <v>0</v>
      </c>
      <c r="F648" s="53" t="n">
        <f aca="false">TB_audited!D631</f>
        <v>0</v>
      </c>
      <c r="G648" s="54" t="n">
        <f aca="false">IF($D$8="Interim",TB_audited!G631,TB_audited!E631)</f>
        <v>0</v>
      </c>
      <c r="H648" s="55" t="str">
        <f aca="false">IFERROR(VLOOKUP($A648,RA_result!$B$3:$N$62,11,0),"")</f>
        <v/>
      </c>
      <c r="I648" s="55" t="str">
        <f aca="false">IFERROR(VLOOKUP($A648,RA_result!$B$3:$N$62,12,0),"")</f>
        <v/>
      </c>
      <c r="J648" s="55" t="str">
        <f aca="false">IFERROR(VLOOKUP($A648,RA_result!$B$3:$N$62,13,0),"")</f>
        <v/>
      </c>
      <c r="K648" s="56"/>
      <c r="L648" s="56"/>
      <c r="M648" s="57" t="n">
        <f aca="false">G648</f>
        <v>0</v>
      </c>
      <c r="N648" s="54" t="n">
        <f aca="false">G648-M648</f>
        <v>0</v>
      </c>
      <c r="O648" s="55" t="str">
        <f aca="false">IFERROR(VLOOKUP($A648,RA_result!$B$3:$N$62,7,0),"")</f>
        <v/>
      </c>
      <c r="P648" s="52" t="str">
        <f aca="false">IFERROR(VLOOKUP($A648,RA_result!$B$3:$N$62,9,0),"")</f>
        <v/>
      </c>
      <c r="Q648" s="52" t="str">
        <f aca="false">IFERROR(VLOOKUP($A648,RA_result!$B$3:$N$62,10,0),"")</f>
        <v/>
      </c>
      <c r="R648" s="58" t="s">
        <v>55</v>
      </c>
      <c r="S648" s="59" t="str">
        <f aca="false">IFERROR(VLOOKUP($A648,RA_result!$B$3:$N$62,4,0),"")</f>
        <v/>
      </c>
      <c r="T648" s="60" t="s">
        <v>56</v>
      </c>
      <c r="U648" s="59" t="str">
        <f aca="false">IFERROR(IF(VLOOKUP($A648,RA_result!$B$3:$N$62,6,0)="",S648*T648,VLOOKUP($A648,RA_result!$B$3:$N$62,6,0)),"")</f>
        <v/>
      </c>
      <c r="V648" s="61" t="s">
        <v>56</v>
      </c>
      <c r="W648" s="62" t="n">
        <f aca="false">IFERROR((S648*30%)/V648,0)</f>
        <v>0</v>
      </c>
      <c r="X648" s="63" t="n">
        <f aca="false">IFERROR(N648/W648,0)</f>
        <v>0</v>
      </c>
      <c r="Y648" s="68"/>
      <c r="Z648" s="57"/>
      <c r="AA648" s="69" t="str">
        <f aca="false">IF(OR(U648="",Y648="",Z648=""),"",IF(AND(U648&gt;Y648,-U648&lt;Z648),"Ok","Not Ok"))</f>
        <v/>
      </c>
      <c r="AB648" s="70"/>
    </row>
    <row r="649" customFormat="false" ht="12.8" hidden="false" customHeight="false" outlineLevel="0" collapsed="false">
      <c r="A649" s="48" t="n">
        <f aca="false">TB_audited!A632</f>
        <v>0</v>
      </c>
      <c r="B649" s="49"/>
      <c r="C649" s="50"/>
      <c r="D649" s="51" t="n">
        <f aca="false">TB_audited!B632</f>
        <v>0</v>
      </c>
      <c r="E649" s="52" t="n">
        <f aca="false">TB_audited!C632</f>
        <v>0</v>
      </c>
      <c r="F649" s="53" t="n">
        <f aca="false">TB_audited!D632</f>
        <v>0</v>
      </c>
      <c r="G649" s="54" t="n">
        <f aca="false">IF($D$8="Interim",TB_audited!G632,TB_audited!E632)</f>
        <v>0</v>
      </c>
      <c r="H649" s="55" t="str">
        <f aca="false">IFERROR(VLOOKUP($A649,RA_result!$B$3:$N$62,11,0),"")</f>
        <v/>
      </c>
      <c r="I649" s="55" t="str">
        <f aca="false">IFERROR(VLOOKUP($A649,RA_result!$B$3:$N$62,12,0),"")</f>
        <v/>
      </c>
      <c r="J649" s="55" t="str">
        <f aca="false">IFERROR(VLOOKUP($A649,RA_result!$B$3:$N$62,13,0),"")</f>
        <v/>
      </c>
      <c r="K649" s="56"/>
      <c r="L649" s="56"/>
      <c r="M649" s="57" t="n">
        <f aca="false">G649</f>
        <v>0</v>
      </c>
      <c r="N649" s="54" t="n">
        <f aca="false">G649-M649</f>
        <v>0</v>
      </c>
      <c r="O649" s="55" t="str">
        <f aca="false">IFERROR(VLOOKUP($A649,RA_result!$B$3:$N$62,7,0),"")</f>
        <v/>
      </c>
      <c r="P649" s="52" t="str">
        <f aca="false">IFERROR(VLOOKUP($A649,RA_result!$B$3:$N$62,9,0),"")</f>
        <v/>
      </c>
      <c r="Q649" s="52" t="str">
        <f aca="false">IFERROR(VLOOKUP($A649,RA_result!$B$3:$N$62,10,0),"")</f>
        <v/>
      </c>
      <c r="R649" s="58" t="s">
        <v>55</v>
      </c>
      <c r="S649" s="59" t="str">
        <f aca="false">IFERROR(VLOOKUP($A649,RA_result!$B$3:$N$62,4,0),"")</f>
        <v/>
      </c>
      <c r="T649" s="60" t="s">
        <v>56</v>
      </c>
      <c r="U649" s="59" t="str">
        <f aca="false">IFERROR(IF(VLOOKUP($A649,RA_result!$B$3:$N$62,6,0)="",S649*T649,VLOOKUP($A649,RA_result!$B$3:$N$62,6,0)),"")</f>
        <v/>
      </c>
      <c r="V649" s="61" t="s">
        <v>56</v>
      </c>
      <c r="W649" s="62" t="n">
        <f aca="false">IFERROR((S649*30%)/V649,0)</f>
        <v>0</v>
      </c>
      <c r="X649" s="63" t="n">
        <f aca="false">IFERROR(N649/W649,0)</f>
        <v>0</v>
      </c>
      <c r="Y649" s="68"/>
      <c r="Z649" s="57"/>
      <c r="AA649" s="69" t="str">
        <f aca="false">IF(OR(U649="",Y649="",Z649=""),"",IF(AND(U649&gt;Y649,-U649&lt;Z649),"Ok","Not Ok"))</f>
        <v/>
      </c>
      <c r="AB649" s="70"/>
    </row>
    <row r="650" customFormat="false" ht="12.8" hidden="false" customHeight="false" outlineLevel="0" collapsed="false">
      <c r="A650" s="48" t="n">
        <f aca="false">TB_audited!A633</f>
        <v>0</v>
      </c>
      <c r="B650" s="49"/>
      <c r="C650" s="50"/>
      <c r="D650" s="51" t="n">
        <f aca="false">TB_audited!B633</f>
        <v>0</v>
      </c>
      <c r="E650" s="52" t="n">
        <f aca="false">TB_audited!C633</f>
        <v>0</v>
      </c>
      <c r="F650" s="53" t="n">
        <f aca="false">TB_audited!D633</f>
        <v>0</v>
      </c>
      <c r="G650" s="54" t="n">
        <f aca="false">IF($D$8="Interim",TB_audited!G633,TB_audited!E633)</f>
        <v>0</v>
      </c>
      <c r="H650" s="55" t="str">
        <f aca="false">IFERROR(VLOOKUP($A650,RA_result!$B$3:$N$62,11,0),"")</f>
        <v/>
      </c>
      <c r="I650" s="55" t="str">
        <f aca="false">IFERROR(VLOOKUP($A650,RA_result!$B$3:$N$62,12,0),"")</f>
        <v/>
      </c>
      <c r="J650" s="55" t="str">
        <f aca="false">IFERROR(VLOOKUP($A650,RA_result!$B$3:$N$62,13,0),"")</f>
        <v/>
      </c>
      <c r="K650" s="56"/>
      <c r="L650" s="56"/>
      <c r="M650" s="57" t="n">
        <f aca="false">G650</f>
        <v>0</v>
      </c>
      <c r="N650" s="54" t="n">
        <f aca="false">G650-M650</f>
        <v>0</v>
      </c>
      <c r="O650" s="55" t="str">
        <f aca="false">IFERROR(VLOOKUP($A650,RA_result!$B$3:$N$62,7,0),"")</f>
        <v/>
      </c>
      <c r="P650" s="52" t="str">
        <f aca="false">IFERROR(VLOOKUP($A650,RA_result!$B$3:$N$62,9,0),"")</f>
        <v/>
      </c>
      <c r="Q650" s="52" t="str">
        <f aca="false">IFERROR(VLOOKUP($A650,RA_result!$B$3:$N$62,10,0),"")</f>
        <v/>
      </c>
      <c r="R650" s="58" t="s">
        <v>55</v>
      </c>
      <c r="S650" s="59" t="str">
        <f aca="false">IFERROR(VLOOKUP($A650,RA_result!$B$3:$N$62,4,0),"")</f>
        <v/>
      </c>
      <c r="T650" s="60" t="s">
        <v>56</v>
      </c>
      <c r="U650" s="59" t="str">
        <f aca="false">IFERROR(IF(VLOOKUP($A650,RA_result!$B$3:$N$62,6,0)="",S650*T650,VLOOKUP($A650,RA_result!$B$3:$N$62,6,0)),"")</f>
        <v/>
      </c>
      <c r="V650" s="61" t="s">
        <v>56</v>
      </c>
      <c r="W650" s="62" t="n">
        <f aca="false">IFERROR((S650*30%)/V650,0)</f>
        <v>0</v>
      </c>
      <c r="X650" s="63" t="n">
        <f aca="false">IFERROR(N650/W650,0)</f>
        <v>0</v>
      </c>
      <c r="Y650" s="68"/>
      <c r="Z650" s="57"/>
      <c r="AA650" s="69" t="str">
        <f aca="false">IF(OR(U650="",Y650="",Z650=""),"",IF(AND(U650&gt;Y650,-U650&lt;Z650),"Ok","Not Ok"))</f>
        <v/>
      </c>
      <c r="AB650" s="70"/>
    </row>
    <row r="651" customFormat="false" ht="12.8" hidden="false" customHeight="false" outlineLevel="0" collapsed="false">
      <c r="A651" s="48" t="n">
        <f aca="false">TB_audited!A634</f>
        <v>0</v>
      </c>
      <c r="B651" s="49"/>
      <c r="C651" s="50"/>
      <c r="D651" s="51" t="n">
        <f aca="false">TB_audited!B634</f>
        <v>0</v>
      </c>
      <c r="E651" s="52" t="n">
        <f aca="false">TB_audited!C634</f>
        <v>0</v>
      </c>
      <c r="F651" s="53" t="n">
        <f aca="false">TB_audited!D634</f>
        <v>0</v>
      </c>
      <c r="G651" s="54" t="n">
        <f aca="false">IF($D$8="Interim",TB_audited!G634,TB_audited!E634)</f>
        <v>0</v>
      </c>
      <c r="H651" s="55" t="str">
        <f aca="false">IFERROR(VLOOKUP($A651,RA_result!$B$3:$N$62,11,0),"")</f>
        <v/>
      </c>
      <c r="I651" s="55" t="str">
        <f aca="false">IFERROR(VLOOKUP($A651,RA_result!$B$3:$N$62,12,0),"")</f>
        <v/>
      </c>
      <c r="J651" s="55" t="str">
        <f aca="false">IFERROR(VLOOKUP($A651,RA_result!$B$3:$N$62,13,0),"")</f>
        <v/>
      </c>
      <c r="K651" s="56"/>
      <c r="L651" s="56"/>
      <c r="M651" s="57" t="n">
        <f aca="false">G651</f>
        <v>0</v>
      </c>
      <c r="N651" s="54" t="n">
        <f aca="false">G651-M651</f>
        <v>0</v>
      </c>
      <c r="O651" s="55" t="str">
        <f aca="false">IFERROR(VLOOKUP($A651,RA_result!$B$3:$N$62,7,0),"")</f>
        <v/>
      </c>
      <c r="P651" s="52" t="str">
        <f aca="false">IFERROR(VLOOKUP($A651,RA_result!$B$3:$N$62,9,0),"")</f>
        <v/>
      </c>
      <c r="Q651" s="52" t="str">
        <f aca="false">IFERROR(VLOOKUP($A651,RA_result!$B$3:$N$62,10,0),"")</f>
        <v/>
      </c>
      <c r="R651" s="58" t="s">
        <v>55</v>
      </c>
      <c r="S651" s="59" t="str">
        <f aca="false">IFERROR(VLOOKUP($A651,RA_result!$B$3:$N$62,4,0),"")</f>
        <v/>
      </c>
      <c r="T651" s="60" t="s">
        <v>56</v>
      </c>
      <c r="U651" s="59" t="str">
        <f aca="false">IFERROR(IF(VLOOKUP($A651,RA_result!$B$3:$N$62,6,0)="",S651*T651,VLOOKUP($A651,RA_result!$B$3:$N$62,6,0)),"")</f>
        <v/>
      </c>
      <c r="V651" s="61" t="s">
        <v>56</v>
      </c>
      <c r="W651" s="62" t="n">
        <f aca="false">IFERROR((S651*30%)/V651,0)</f>
        <v>0</v>
      </c>
      <c r="X651" s="63" t="n">
        <f aca="false">IFERROR(N651/W651,0)</f>
        <v>0</v>
      </c>
      <c r="Y651" s="68"/>
      <c r="Z651" s="57"/>
      <c r="AA651" s="69" t="str">
        <f aca="false">IF(OR(U651="",Y651="",Z651=""),"",IF(AND(U651&gt;Y651,-U651&lt;Z651),"Ok","Not Ok"))</f>
        <v/>
      </c>
      <c r="AB651" s="70"/>
    </row>
    <row r="652" customFormat="false" ht="12.8" hidden="false" customHeight="false" outlineLevel="0" collapsed="false">
      <c r="A652" s="48" t="n">
        <f aca="false">TB_audited!A635</f>
        <v>0</v>
      </c>
      <c r="B652" s="49"/>
      <c r="C652" s="50"/>
      <c r="D652" s="51" t="n">
        <f aca="false">TB_audited!B635</f>
        <v>0</v>
      </c>
      <c r="E652" s="52" t="n">
        <f aca="false">TB_audited!C635</f>
        <v>0</v>
      </c>
      <c r="F652" s="53" t="n">
        <f aca="false">TB_audited!D635</f>
        <v>0</v>
      </c>
      <c r="G652" s="54" t="n">
        <f aca="false">IF($D$8="Interim",TB_audited!G635,TB_audited!E635)</f>
        <v>0</v>
      </c>
      <c r="H652" s="55" t="str">
        <f aca="false">IFERROR(VLOOKUP($A652,RA_result!$B$3:$N$62,11,0),"")</f>
        <v/>
      </c>
      <c r="I652" s="55" t="str">
        <f aca="false">IFERROR(VLOOKUP($A652,RA_result!$B$3:$N$62,12,0),"")</f>
        <v/>
      </c>
      <c r="J652" s="55" t="str">
        <f aca="false">IFERROR(VLOOKUP($A652,RA_result!$B$3:$N$62,13,0),"")</f>
        <v/>
      </c>
      <c r="K652" s="56"/>
      <c r="L652" s="56"/>
      <c r="M652" s="57" t="n">
        <f aca="false">G652</f>
        <v>0</v>
      </c>
      <c r="N652" s="54" t="n">
        <f aca="false">G652-M652</f>
        <v>0</v>
      </c>
      <c r="O652" s="55" t="str">
        <f aca="false">IFERROR(VLOOKUP($A652,RA_result!$B$3:$N$62,7,0),"")</f>
        <v/>
      </c>
      <c r="P652" s="52" t="str">
        <f aca="false">IFERROR(VLOOKUP($A652,RA_result!$B$3:$N$62,9,0),"")</f>
        <v/>
      </c>
      <c r="Q652" s="52" t="str">
        <f aca="false">IFERROR(VLOOKUP($A652,RA_result!$B$3:$N$62,10,0),"")</f>
        <v/>
      </c>
      <c r="R652" s="58" t="s">
        <v>55</v>
      </c>
      <c r="S652" s="59" t="str">
        <f aca="false">IFERROR(VLOOKUP($A652,RA_result!$B$3:$N$62,4,0),"")</f>
        <v/>
      </c>
      <c r="T652" s="60" t="s">
        <v>56</v>
      </c>
      <c r="U652" s="59" t="str">
        <f aca="false">IFERROR(IF(VLOOKUP($A652,RA_result!$B$3:$N$62,6,0)="",S652*T652,VLOOKUP($A652,RA_result!$B$3:$N$62,6,0)),"")</f>
        <v/>
      </c>
      <c r="V652" s="61" t="s">
        <v>56</v>
      </c>
      <c r="W652" s="62" t="n">
        <f aca="false">IFERROR((S652*30%)/V652,0)</f>
        <v>0</v>
      </c>
      <c r="X652" s="63" t="n">
        <f aca="false">IFERROR(N652/W652,0)</f>
        <v>0</v>
      </c>
      <c r="Y652" s="68"/>
      <c r="Z652" s="57"/>
      <c r="AA652" s="69" t="str">
        <f aca="false">IF(OR(U652="",Y652="",Z652=""),"",IF(AND(U652&gt;Y652,-U652&lt;Z652),"Ok","Not Ok"))</f>
        <v/>
      </c>
      <c r="AB652" s="70"/>
    </row>
    <row r="653" customFormat="false" ht="12.8" hidden="false" customHeight="false" outlineLevel="0" collapsed="false">
      <c r="A653" s="48" t="n">
        <f aca="false">TB_audited!A636</f>
        <v>0</v>
      </c>
      <c r="B653" s="49"/>
      <c r="C653" s="50"/>
      <c r="D653" s="51" t="n">
        <f aca="false">TB_audited!B636</f>
        <v>0</v>
      </c>
      <c r="E653" s="52" t="n">
        <f aca="false">TB_audited!C636</f>
        <v>0</v>
      </c>
      <c r="F653" s="53" t="n">
        <f aca="false">TB_audited!D636</f>
        <v>0</v>
      </c>
      <c r="G653" s="54" t="n">
        <f aca="false">IF($D$8="Interim",TB_audited!G636,TB_audited!E636)</f>
        <v>0</v>
      </c>
      <c r="H653" s="55" t="str">
        <f aca="false">IFERROR(VLOOKUP($A653,RA_result!$B$3:$N$62,11,0),"")</f>
        <v/>
      </c>
      <c r="I653" s="55" t="str">
        <f aca="false">IFERROR(VLOOKUP($A653,RA_result!$B$3:$N$62,12,0),"")</f>
        <v/>
      </c>
      <c r="J653" s="55" t="str">
        <f aca="false">IFERROR(VLOOKUP($A653,RA_result!$B$3:$N$62,13,0),"")</f>
        <v/>
      </c>
      <c r="K653" s="56"/>
      <c r="L653" s="56"/>
      <c r="M653" s="57" t="n">
        <f aca="false">G653</f>
        <v>0</v>
      </c>
      <c r="N653" s="54" t="n">
        <f aca="false">G653-M653</f>
        <v>0</v>
      </c>
      <c r="O653" s="55" t="str">
        <f aca="false">IFERROR(VLOOKUP($A653,RA_result!$B$3:$N$62,7,0),"")</f>
        <v/>
      </c>
      <c r="P653" s="52" t="str">
        <f aca="false">IFERROR(VLOOKUP($A653,RA_result!$B$3:$N$62,9,0),"")</f>
        <v/>
      </c>
      <c r="Q653" s="52" t="str">
        <f aca="false">IFERROR(VLOOKUP($A653,RA_result!$B$3:$N$62,10,0),"")</f>
        <v/>
      </c>
      <c r="R653" s="58" t="s">
        <v>55</v>
      </c>
      <c r="S653" s="59" t="str">
        <f aca="false">IFERROR(VLOOKUP($A653,RA_result!$B$3:$N$62,4,0),"")</f>
        <v/>
      </c>
      <c r="T653" s="60" t="s">
        <v>56</v>
      </c>
      <c r="U653" s="59" t="str">
        <f aca="false">IFERROR(IF(VLOOKUP($A653,RA_result!$B$3:$N$62,6,0)="",S653*T653,VLOOKUP($A653,RA_result!$B$3:$N$62,6,0)),"")</f>
        <v/>
      </c>
      <c r="V653" s="61" t="s">
        <v>56</v>
      </c>
      <c r="W653" s="62" t="n">
        <f aca="false">IFERROR((S653*30%)/V653,0)</f>
        <v>0</v>
      </c>
      <c r="X653" s="63" t="n">
        <f aca="false">IFERROR(N653/W653,0)</f>
        <v>0</v>
      </c>
      <c r="Y653" s="68"/>
      <c r="Z653" s="57"/>
      <c r="AA653" s="69" t="str">
        <f aca="false">IF(OR(U653="",Y653="",Z653=""),"",IF(AND(U653&gt;Y653,-U653&lt;Z653),"Ok","Not Ok"))</f>
        <v/>
      </c>
      <c r="AB653" s="70"/>
    </row>
    <row r="654" customFormat="false" ht="12.8" hidden="false" customHeight="false" outlineLevel="0" collapsed="false">
      <c r="A654" s="48" t="n">
        <f aca="false">TB_audited!A637</f>
        <v>0</v>
      </c>
      <c r="B654" s="49"/>
      <c r="C654" s="50"/>
      <c r="D654" s="51" t="n">
        <f aca="false">TB_audited!B637</f>
        <v>0</v>
      </c>
      <c r="E654" s="52" t="n">
        <f aca="false">TB_audited!C637</f>
        <v>0</v>
      </c>
      <c r="F654" s="53" t="n">
        <f aca="false">TB_audited!D637</f>
        <v>0</v>
      </c>
      <c r="G654" s="54" t="n">
        <f aca="false">IF($D$8="Interim",TB_audited!G637,TB_audited!E637)</f>
        <v>0</v>
      </c>
      <c r="H654" s="55" t="str">
        <f aca="false">IFERROR(VLOOKUP($A654,RA_result!$B$3:$N$62,11,0),"")</f>
        <v/>
      </c>
      <c r="I654" s="55" t="str">
        <f aca="false">IFERROR(VLOOKUP($A654,RA_result!$B$3:$N$62,12,0),"")</f>
        <v/>
      </c>
      <c r="J654" s="55" t="str">
        <f aca="false">IFERROR(VLOOKUP($A654,RA_result!$B$3:$N$62,13,0),"")</f>
        <v/>
      </c>
      <c r="K654" s="56"/>
      <c r="L654" s="56"/>
      <c r="M654" s="57" t="n">
        <f aca="false">G654</f>
        <v>0</v>
      </c>
      <c r="N654" s="54" t="n">
        <f aca="false">G654-M654</f>
        <v>0</v>
      </c>
      <c r="O654" s="55" t="str">
        <f aca="false">IFERROR(VLOOKUP($A654,RA_result!$B$3:$N$62,7,0),"")</f>
        <v/>
      </c>
      <c r="P654" s="52" t="str">
        <f aca="false">IFERROR(VLOOKUP($A654,RA_result!$B$3:$N$62,9,0),"")</f>
        <v/>
      </c>
      <c r="Q654" s="52" t="str">
        <f aca="false">IFERROR(VLOOKUP($A654,RA_result!$B$3:$N$62,10,0),"")</f>
        <v/>
      </c>
      <c r="R654" s="58" t="s">
        <v>55</v>
      </c>
      <c r="S654" s="59" t="str">
        <f aca="false">IFERROR(VLOOKUP($A654,RA_result!$B$3:$N$62,4,0),"")</f>
        <v/>
      </c>
      <c r="T654" s="60" t="s">
        <v>56</v>
      </c>
      <c r="U654" s="59" t="str">
        <f aca="false">IFERROR(IF(VLOOKUP($A654,RA_result!$B$3:$N$62,6,0)="",S654*T654,VLOOKUP($A654,RA_result!$B$3:$N$62,6,0)),"")</f>
        <v/>
      </c>
      <c r="V654" s="61" t="s">
        <v>56</v>
      </c>
      <c r="W654" s="62" t="n">
        <f aca="false">IFERROR((S654*30%)/V654,0)</f>
        <v>0</v>
      </c>
      <c r="X654" s="63" t="n">
        <f aca="false">IFERROR(N654/W654,0)</f>
        <v>0</v>
      </c>
      <c r="Y654" s="68"/>
      <c r="Z654" s="57"/>
      <c r="AA654" s="69" t="str">
        <f aca="false">IF(OR(U654="",Y654="",Z654=""),"",IF(AND(U654&gt;Y654,-U654&lt;Z654),"Ok","Not Ok"))</f>
        <v/>
      </c>
      <c r="AB654" s="70"/>
    </row>
    <row r="655" customFormat="false" ht="12.8" hidden="false" customHeight="false" outlineLevel="0" collapsed="false">
      <c r="A655" s="48" t="n">
        <f aca="false">TB_audited!A638</f>
        <v>0</v>
      </c>
      <c r="B655" s="49"/>
      <c r="C655" s="50"/>
      <c r="D655" s="51" t="n">
        <f aca="false">TB_audited!B638</f>
        <v>0</v>
      </c>
      <c r="E655" s="52" t="n">
        <f aca="false">TB_audited!C638</f>
        <v>0</v>
      </c>
      <c r="F655" s="53" t="n">
        <f aca="false">TB_audited!D638</f>
        <v>0</v>
      </c>
      <c r="G655" s="54" t="n">
        <f aca="false">IF($D$8="Interim",TB_audited!G638,TB_audited!E638)</f>
        <v>0</v>
      </c>
      <c r="H655" s="55" t="str">
        <f aca="false">IFERROR(VLOOKUP($A655,RA_result!$B$3:$N$62,11,0),"")</f>
        <v/>
      </c>
      <c r="I655" s="55" t="str">
        <f aca="false">IFERROR(VLOOKUP($A655,RA_result!$B$3:$N$62,12,0),"")</f>
        <v/>
      </c>
      <c r="J655" s="55" t="str">
        <f aca="false">IFERROR(VLOOKUP($A655,RA_result!$B$3:$N$62,13,0),"")</f>
        <v/>
      </c>
      <c r="K655" s="56"/>
      <c r="L655" s="56"/>
      <c r="M655" s="57" t="n">
        <f aca="false">G655</f>
        <v>0</v>
      </c>
      <c r="N655" s="54" t="n">
        <f aca="false">G655-M655</f>
        <v>0</v>
      </c>
      <c r="O655" s="55" t="str">
        <f aca="false">IFERROR(VLOOKUP($A655,RA_result!$B$3:$N$62,7,0),"")</f>
        <v/>
      </c>
      <c r="P655" s="52" t="str">
        <f aca="false">IFERROR(VLOOKUP($A655,RA_result!$B$3:$N$62,9,0),"")</f>
        <v/>
      </c>
      <c r="Q655" s="52" t="str">
        <f aca="false">IFERROR(VLOOKUP($A655,RA_result!$B$3:$N$62,10,0),"")</f>
        <v/>
      </c>
      <c r="R655" s="58" t="s">
        <v>55</v>
      </c>
      <c r="S655" s="59" t="str">
        <f aca="false">IFERROR(VLOOKUP($A655,RA_result!$B$3:$N$62,4,0),"")</f>
        <v/>
      </c>
      <c r="T655" s="60" t="s">
        <v>56</v>
      </c>
      <c r="U655" s="59" t="str">
        <f aca="false">IFERROR(IF(VLOOKUP($A655,RA_result!$B$3:$N$62,6,0)="",S655*T655,VLOOKUP($A655,RA_result!$B$3:$N$62,6,0)),"")</f>
        <v/>
      </c>
      <c r="V655" s="61" t="s">
        <v>56</v>
      </c>
      <c r="W655" s="62" t="n">
        <f aca="false">IFERROR((S655*30%)/V655,0)</f>
        <v>0</v>
      </c>
      <c r="X655" s="63" t="n">
        <f aca="false">IFERROR(N655/W655,0)</f>
        <v>0</v>
      </c>
      <c r="Y655" s="68"/>
      <c r="Z655" s="57"/>
      <c r="AA655" s="69" t="str">
        <f aca="false">IF(OR(U655="",Y655="",Z655=""),"",IF(AND(U655&gt;Y655,-U655&lt;Z655),"Ok","Not Ok"))</f>
        <v/>
      </c>
      <c r="AB655" s="70"/>
    </row>
    <row r="656" customFormat="false" ht="12.8" hidden="false" customHeight="false" outlineLevel="0" collapsed="false">
      <c r="A656" s="48" t="n">
        <f aca="false">TB_audited!A639</f>
        <v>0</v>
      </c>
      <c r="B656" s="49"/>
      <c r="C656" s="50"/>
      <c r="D656" s="51" t="n">
        <f aca="false">TB_audited!B639</f>
        <v>0</v>
      </c>
      <c r="E656" s="52" t="n">
        <f aca="false">TB_audited!C639</f>
        <v>0</v>
      </c>
      <c r="F656" s="53" t="n">
        <f aca="false">TB_audited!D639</f>
        <v>0</v>
      </c>
      <c r="G656" s="54" t="n">
        <f aca="false">IF($D$8="Interim",TB_audited!G639,TB_audited!E639)</f>
        <v>0</v>
      </c>
      <c r="H656" s="55" t="str">
        <f aca="false">IFERROR(VLOOKUP($A656,RA_result!$B$3:$N$62,11,0),"")</f>
        <v/>
      </c>
      <c r="I656" s="55" t="str">
        <f aca="false">IFERROR(VLOOKUP($A656,RA_result!$B$3:$N$62,12,0),"")</f>
        <v/>
      </c>
      <c r="J656" s="55" t="str">
        <f aca="false">IFERROR(VLOOKUP($A656,RA_result!$B$3:$N$62,13,0),"")</f>
        <v/>
      </c>
      <c r="K656" s="56"/>
      <c r="L656" s="56"/>
      <c r="M656" s="57" t="n">
        <f aca="false">G656</f>
        <v>0</v>
      </c>
      <c r="N656" s="54" t="n">
        <f aca="false">G656-M656</f>
        <v>0</v>
      </c>
      <c r="O656" s="55" t="str">
        <f aca="false">IFERROR(VLOOKUP($A656,RA_result!$B$3:$N$62,7,0),"")</f>
        <v/>
      </c>
      <c r="P656" s="52" t="str">
        <f aca="false">IFERROR(VLOOKUP($A656,RA_result!$B$3:$N$62,9,0),"")</f>
        <v/>
      </c>
      <c r="Q656" s="52" t="str">
        <f aca="false">IFERROR(VLOOKUP($A656,RA_result!$B$3:$N$62,10,0),"")</f>
        <v/>
      </c>
      <c r="R656" s="58" t="s">
        <v>55</v>
      </c>
      <c r="S656" s="59" t="str">
        <f aca="false">IFERROR(VLOOKUP($A656,RA_result!$B$3:$N$62,4,0),"")</f>
        <v/>
      </c>
      <c r="T656" s="60" t="s">
        <v>56</v>
      </c>
      <c r="U656" s="59" t="str">
        <f aca="false">IFERROR(IF(VLOOKUP($A656,RA_result!$B$3:$N$62,6,0)="",S656*T656,VLOOKUP($A656,RA_result!$B$3:$N$62,6,0)),"")</f>
        <v/>
      </c>
      <c r="V656" s="61" t="s">
        <v>56</v>
      </c>
      <c r="W656" s="62" t="n">
        <f aca="false">IFERROR((S656*30%)/V656,0)</f>
        <v>0</v>
      </c>
      <c r="X656" s="63" t="n">
        <f aca="false">IFERROR(N656/W656,0)</f>
        <v>0</v>
      </c>
      <c r="Y656" s="68"/>
      <c r="Z656" s="57"/>
      <c r="AA656" s="69" t="str">
        <f aca="false">IF(OR(U656="",Y656="",Z656=""),"",IF(AND(U656&gt;Y656,-U656&lt;Z656),"Ok","Not Ok"))</f>
        <v/>
      </c>
      <c r="AB656" s="70"/>
    </row>
    <row r="657" customFormat="false" ht="12.8" hidden="false" customHeight="false" outlineLevel="0" collapsed="false">
      <c r="A657" s="48" t="n">
        <f aca="false">TB_audited!A640</f>
        <v>0</v>
      </c>
      <c r="B657" s="49"/>
      <c r="C657" s="50"/>
      <c r="D657" s="51" t="n">
        <f aca="false">TB_audited!B640</f>
        <v>0</v>
      </c>
      <c r="E657" s="52" t="n">
        <f aca="false">TB_audited!C640</f>
        <v>0</v>
      </c>
      <c r="F657" s="53" t="n">
        <f aca="false">TB_audited!D640</f>
        <v>0</v>
      </c>
      <c r="G657" s="54" t="n">
        <f aca="false">IF($D$8="Interim",TB_audited!G640,TB_audited!E640)</f>
        <v>0</v>
      </c>
      <c r="H657" s="55" t="str">
        <f aca="false">IFERROR(VLOOKUP($A657,RA_result!$B$3:$N$62,11,0),"")</f>
        <v/>
      </c>
      <c r="I657" s="55" t="str">
        <f aca="false">IFERROR(VLOOKUP($A657,RA_result!$B$3:$N$62,12,0),"")</f>
        <v/>
      </c>
      <c r="J657" s="55" t="str">
        <f aca="false">IFERROR(VLOOKUP($A657,RA_result!$B$3:$N$62,13,0),"")</f>
        <v/>
      </c>
      <c r="K657" s="56"/>
      <c r="L657" s="56"/>
      <c r="M657" s="57" t="n">
        <f aca="false">G657</f>
        <v>0</v>
      </c>
      <c r="N657" s="54" t="n">
        <f aca="false">G657-M657</f>
        <v>0</v>
      </c>
      <c r="O657" s="55" t="str">
        <f aca="false">IFERROR(VLOOKUP($A657,RA_result!$B$3:$N$62,7,0),"")</f>
        <v/>
      </c>
      <c r="P657" s="52" t="str">
        <f aca="false">IFERROR(VLOOKUP($A657,RA_result!$B$3:$N$62,9,0),"")</f>
        <v/>
      </c>
      <c r="Q657" s="52" t="str">
        <f aca="false">IFERROR(VLOOKUP($A657,RA_result!$B$3:$N$62,10,0),"")</f>
        <v/>
      </c>
      <c r="R657" s="58" t="s">
        <v>55</v>
      </c>
      <c r="S657" s="59" t="str">
        <f aca="false">IFERROR(VLOOKUP($A657,RA_result!$B$3:$N$62,4,0),"")</f>
        <v/>
      </c>
      <c r="T657" s="60" t="s">
        <v>56</v>
      </c>
      <c r="U657" s="59" t="str">
        <f aca="false">IFERROR(IF(VLOOKUP($A657,RA_result!$B$3:$N$62,6,0)="",S657*T657,VLOOKUP($A657,RA_result!$B$3:$N$62,6,0)),"")</f>
        <v/>
      </c>
      <c r="V657" s="61" t="s">
        <v>56</v>
      </c>
      <c r="W657" s="62" t="n">
        <f aca="false">IFERROR((S657*30%)/V657,0)</f>
        <v>0</v>
      </c>
      <c r="X657" s="63" t="n">
        <f aca="false">IFERROR(N657/W657,0)</f>
        <v>0</v>
      </c>
      <c r="Y657" s="68"/>
      <c r="Z657" s="57"/>
      <c r="AA657" s="69" t="str">
        <f aca="false">IF(OR(U657="",Y657="",Z657=""),"",IF(AND(U657&gt;Y657,-U657&lt;Z657),"Ok","Not Ok"))</f>
        <v/>
      </c>
      <c r="AB657" s="70"/>
    </row>
    <row r="658" customFormat="false" ht="12.8" hidden="false" customHeight="false" outlineLevel="0" collapsed="false">
      <c r="A658" s="48" t="n">
        <f aca="false">TB_audited!A641</f>
        <v>0</v>
      </c>
      <c r="B658" s="49"/>
      <c r="C658" s="50"/>
      <c r="D658" s="51" t="n">
        <f aca="false">TB_audited!B641</f>
        <v>0</v>
      </c>
      <c r="E658" s="52" t="n">
        <f aca="false">TB_audited!C641</f>
        <v>0</v>
      </c>
      <c r="F658" s="53" t="n">
        <f aca="false">TB_audited!D641</f>
        <v>0</v>
      </c>
      <c r="G658" s="54" t="n">
        <f aca="false">IF($D$8="Interim",TB_audited!G641,TB_audited!E641)</f>
        <v>0</v>
      </c>
      <c r="H658" s="55" t="str">
        <f aca="false">IFERROR(VLOOKUP($A658,RA_result!$B$3:$N$62,11,0),"")</f>
        <v/>
      </c>
      <c r="I658" s="55" t="str">
        <f aca="false">IFERROR(VLOOKUP($A658,RA_result!$B$3:$N$62,12,0),"")</f>
        <v/>
      </c>
      <c r="J658" s="55" t="str">
        <f aca="false">IFERROR(VLOOKUP($A658,RA_result!$B$3:$N$62,13,0),"")</f>
        <v/>
      </c>
      <c r="K658" s="56"/>
      <c r="L658" s="56"/>
      <c r="M658" s="57" t="n">
        <f aca="false">G658</f>
        <v>0</v>
      </c>
      <c r="N658" s="54" t="n">
        <f aca="false">G658-M658</f>
        <v>0</v>
      </c>
      <c r="O658" s="55" t="str">
        <f aca="false">IFERROR(VLOOKUP($A658,RA_result!$B$3:$N$62,7,0),"")</f>
        <v/>
      </c>
      <c r="P658" s="52" t="str">
        <f aca="false">IFERROR(VLOOKUP($A658,RA_result!$B$3:$N$62,9,0),"")</f>
        <v/>
      </c>
      <c r="Q658" s="52" t="str">
        <f aca="false">IFERROR(VLOOKUP($A658,RA_result!$B$3:$N$62,10,0),"")</f>
        <v/>
      </c>
      <c r="R658" s="58" t="s">
        <v>55</v>
      </c>
      <c r="S658" s="59" t="str">
        <f aca="false">IFERROR(VLOOKUP($A658,RA_result!$B$3:$N$62,4,0),"")</f>
        <v/>
      </c>
      <c r="T658" s="60" t="s">
        <v>56</v>
      </c>
      <c r="U658" s="59" t="str">
        <f aca="false">IFERROR(IF(VLOOKUP($A658,RA_result!$B$3:$N$62,6,0)="",S658*T658,VLOOKUP($A658,RA_result!$B$3:$N$62,6,0)),"")</f>
        <v/>
      </c>
      <c r="V658" s="61" t="s">
        <v>56</v>
      </c>
      <c r="W658" s="62" t="n">
        <f aca="false">IFERROR((S658*30%)/V658,0)</f>
        <v>0</v>
      </c>
      <c r="X658" s="63" t="n">
        <f aca="false">IFERROR(N658/W658,0)</f>
        <v>0</v>
      </c>
      <c r="Y658" s="68"/>
      <c r="Z658" s="57"/>
      <c r="AA658" s="69" t="str">
        <f aca="false">IF(OR(U658="",Y658="",Z658=""),"",IF(AND(U658&gt;Y658,-U658&lt;Z658),"Ok","Not Ok"))</f>
        <v/>
      </c>
      <c r="AB658" s="70"/>
    </row>
    <row r="659" customFormat="false" ht="12.8" hidden="false" customHeight="false" outlineLevel="0" collapsed="false">
      <c r="A659" s="48" t="n">
        <f aca="false">TB_audited!A642</f>
        <v>0</v>
      </c>
      <c r="B659" s="49"/>
      <c r="C659" s="50"/>
      <c r="D659" s="51" t="n">
        <f aca="false">TB_audited!B642</f>
        <v>0</v>
      </c>
      <c r="E659" s="52" t="n">
        <f aca="false">TB_audited!C642</f>
        <v>0</v>
      </c>
      <c r="F659" s="53" t="n">
        <f aca="false">TB_audited!D642</f>
        <v>0</v>
      </c>
      <c r="G659" s="54" t="n">
        <f aca="false">IF($D$8="Interim",TB_audited!G642,TB_audited!E642)</f>
        <v>0</v>
      </c>
      <c r="H659" s="55" t="str">
        <f aca="false">IFERROR(VLOOKUP($A659,RA_result!$B$3:$N$62,11,0),"")</f>
        <v/>
      </c>
      <c r="I659" s="55" t="str">
        <f aca="false">IFERROR(VLOOKUP($A659,RA_result!$B$3:$N$62,12,0),"")</f>
        <v/>
      </c>
      <c r="J659" s="55" t="str">
        <f aca="false">IFERROR(VLOOKUP($A659,RA_result!$B$3:$N$62,13,0),"")</f>
        <v/>
      </c>
      <c r="K659" s="56"/>
      <c r="L659" s="56"/>
      <c r="M659" s="57" t="n">
        <f aca="false">G659</f>
        <v>0</v>
      </c>
      <c r="N659" s="54" t="n">
        <f aca="false">G659-M659</f>
        <v>0</v>
      </c>
      <c r="O659" s="55" t="str">
        <f aca="false">IFERROR(VLOOKUP($A659,RA_result!$B$3:$N$62,7,0),"")</f>
        <v/>
      </c>
      <c r="P659" s="52" t="str">
        <f aca="false">IFERROR(VLOOKUP($A659,RA_result!$B$3:$N$62,9,0),"")</f>
        <v/>
      </c>
      <c r="Q659" s="52" t="str">
        <f aca="false">IFERROR(VLOOKUP($A659,RA_result!$B$3:$N$62,10,0),"")</f>
        <v/>
      </c>
      <c r="R659" s="58" t="s">
        <v>55</v>
      </c>
      <c r="S659" s="59" t="str">
        <f aca="false">IFERROR(VLOOKUP($A659,RA_result!$B$3:$N$62,4,0),"")</f>
        <v/>
      </c>
      <c r="T659" s="60" t="s">
        <v>56</v>
      </c>
      <c r="U659" s="59" t="str">
        <f aca="false">IFERROR(IF(VLOOKUP($A659,RA_result!$B$3:$N$62,6,0)="",S659*T659,VLOOKUP($A659,RA_result!$B$3:$N$62,6,0)),"")</f>
        <v/>
      </c>
      <c r="V659" s="61" t="s">
        <v>56</v>
      </c>
      <c r="W659" s="62" t="n">
        <f aca="false">IFERROR((S659*30%)/V659,0)</f>
        <v>0</v>
      </c>
      <c r="X659" s="63" t="n">
        <f aca="false">IFERROR(N659/W659,0)</f>
        <v>0</v>
      </c>
      <c r="Y659" s="68"/>
      <c r="Z659" s="57"/>
      <c r="AA659" s="69" t="str">
        <f aca="false">IF(OR(U659="",Y659="",Z659=""),"",IF(AND(U659&gt;Y659,-U659&lt;Z659),"Ok","Not Ok"))</f>
        <v/>
      </c>
      <c r="AB659" s="70"/>
    </row>
    <row r="660" customFormat="false" ht="12.8" hidden="false" customHeight="false" outlineLevel="0" collapsed="false">
      <c r="A660" s="48" t="n">
        <f aca="false">TB_audited!A643</f>
        <v>0</v>
      </c>
      <c r="B660" s="49"/>
      <c r="C660" s="50"/>
      <c r="D660" s="51" t="n">
        <f aca="false">TB_audited!B643</f>
        <v>0</v>
      </c>
      <c r="E660" s="52" t="n">
        <f aca="false">TB_audited!C643</f>
        <v>0</v>
      </c>
      <c r="F660" s="53" t="n">
        <f aca="false">TB_audited!D643</f>
        <v>0</v>
      </c>
      <c r="G660" s="54" t="n">
        <f aca="false">IF($D$8="Interim",TB_audited!G643,TB_audited!E643)</f>
        <v>0</v>
      </c>
      <c r="H660" s="55" t="str">
        <f aca="false">IFERROR(VLOOKUP($A660,RA_result!$B$3:$N$62,11,0),"")</f>
        <v/>
      </c>
      <c r="I660" s="55" t="str">
        <f aca="false">IFERROR(VLOOKUP($A660,RA_result!$B$3:$N$62,12,0),"")</f>
        <v/>
      </c>
      <c r="J660" s="55" t="str">
        <f aca="false">IFERROR(VLOOKUP($A660,RA_result!$B$3:$N$62,13,0),"")</f>
        <v/>
      </c>
      <c r="K660" s="56"/>
      <c r="L660" s="56"/>
      <c r="M660" s="57" t="n">
        <f aca="false">G660</f>
        <v>0</v>
      </c>
      <c r="N660" s="54" t="n">
        <f aca="false">G660-M660</f>
        <v>0</v>
      </c>
      <c r="O660" s="55" t="str">
        <f aca="false">IFERROR(VLOOKUP($A660,RA_result!$B$3:$N$62,7,0),"")</f>
        <v/>
      </c>
      <c r="P660" s="52" t="str">
        <f aca="false">IFERROR(VLOOKUP($A660,RA_result!$B$3:$N$62,9,0),"")</f>
        <v/>
      </c>
      <c r="Q660" s="52" t="str">
        <f aca="false">IFERROR(VLOOKUP($A660,RA_result!$B$3:$N$62,10,0),"")</f>
        <v/>
      </c>
      <c r="R660" s="58" t="s">
        <v>55</v>
      </c>
      <c r="S660" s="59" t="str">
        <f aca="false">IFERROR(VLOOKUP($A660,RA_result!$B$3:$N$62,4,0),"")</f>
        <v/>
      </c>
      <c r="T660" s="60" t="s">
        <v>56</v>
      </c>
      <c r="U660" s="59" t="str">
        <f aca="false">IFERROR(IF(VLOOKUP($A660,RA_result!$B$3:$N$62,6,0)="",S660*T660,VLOOKUP($A660,RA_result!$B$3:$N$62,6,0)),"")</f>
        <v/>
      </c>
      <c r="V660" s="61" t="s">
        <v>56</v>
      </c>
      <c r="W660" s="62" t="n">
        <f aca="false">IFERROR((S660*30%)/V660,0)</f>
        <v>0</v>
      </c>
      <c r="X660" s="63" t="n">
        <f aca="false">IFERROR(N660/W660,0)</f>
        <v>0</v>
      </c>
      <c r="Y660" s="68"/>
      <c r="Z660" s="57"/>
      <c r="AA660" s="69" t="str">
        <f aca="false">IF(OR(U660="",Y660="",Z660=""),"",IF(AND(U660&gt;Y660,-U660&lt;Z660),"Ok","Not Ok"))</f>
        <v/>
      </c>
      <c r="AB660" s="70"/>
    </row>
    <row r="661" customFormat="false" ht="12.8" hidden="false" customHeight="false" outlineLevel="0" collapsed="false">
      <c r="A661" s="48" t="n">
        <f aca="false">TB_audited!A644</f>
        <v>0</v>
      </c>
      <c r="B661" s="49"/>
      <c r="C661" s="50"/>
      <c r="D661" s="51" t="n">
        <f aca="false">TB_audited!B644</f>
        <v>0</v>
      </c>
      <c r="E661" s="52" t="n">
        <f aca="false">TB_audited!C644</f>
        <v>0</v>
      </c>
      <c r="F661" s="53" t="n">
        <f aca="false">TB_audited!D644</f>
        <v>0</v>
      </c>
      <c r="G661" s="54" t="n">
        <f aca="false">IF($D$8="Interim",TB_audited!G644,TB_audited!E644)</f>
        <v>0</v>
      </c>
      <c r="H661" s="55" t="str">
        <f aca="false">IFERROR(VLOOKUP($A661,RA_result!$B$3:$N$62,11,0),"")</f>
        <v/>
      </c>
      <c r="I661" s="55" t="str">
        <f aca="false">IFERROR(VLOOKUP($A661,RA_result!$B$3:$N$62,12,0),"")</f>
        <v/>
      </c>
      <c r="J661" s="55" t="str">
        <f aca="false">IFERROR(VLOOKUP($A661,RA_result!$B$3:$N$62,13,0),"")</f>
        <v/>
      </c>
      <c r="K661" s="56"/>
      <c r="L661" s="56"/>
      <c r="M661" s="57" t="n">
        <f aca="false">G661</f>
        <v>0</v>
      </c>
      <c r="N661" s="54" t="n">
        <f aca="false">G661-M661</f>
        <v>0</v>
      </c>
      <c r="O661" s="55" t="str">
        <f aca="false">IFERROR(VLOOKUP($A661,RA_result!$B$3:$N$62,7,0),"")</f>
        <v/>
      </c>
      <c r="P661" s="52" t="str">
        <f aca="false">IFERROR(VLOOKUP($A661,RA_result!$B$3:$N$62,9,0),"")</f>
        <v/>
      </c>
      <c r="Q661" s="52" t="str">
        <f aca="false">IFERROR(VLOOKUP($A661,RA_result!$B$3:$N$62,10,0),"")</f>
        <v/>
      </c>
      <c r="R661" s="58" t="s">
        <v>55</v>
      </c>
      <c r="S661" s="59" t="str">
        <f aca="false">IFERROR(VLOOKUP($A661,RA_result!$B$3:$N$62,4,0),"")</f>
        <v/>
      </c>
      <c r="T661" s="60" t="s">
        <v>56</v>
      </c>
      <c r="U661" s="59" t="str">
        <f aca="false">IFERROR(IF(VLOOKUP($A661,RA_result!$B$3:$N$62,6,0)="",S661*T661,VLOOKUP($A661,RA_result!$B$3:$N$62,6,0)),"")</f>
        <v/>
      </c>
      <c r="V661" s="61" t="s">
        <v>56</v>
      </c>
      <c r="W661" s="62" t="n">
        <f aca="false">IFERROR((S661*30%)/V661,0)</f>
        <v>0</v>
      </c>
      <c r="X661" s="63" t="n">
        <f aca="false">IFERROR(N661/W661,0)</f>
        <v>0</v>
      </c>
      <c r="Y661" s="68"/>
      <c r="Z661" s="57"/>
      <c r="AA661" s="69" t="str">
        <f aca="false">IF(OR(U661="",Y661="",Z661=""),"",IF(AND(U661&gt;Y661,-U661&lt;Z661),"Ok","Not Ok"))</f>
        <v/>
      </c>
      <c r="AB661" s="70"/>
    </row>
    <row r="662" customFormat="false" ht="12.8" hidden="false" customHeight="false" outlineLevel="0" collapsed="false">
      <c r="A662" s="48" t="n">
        <f aca="false">TB_audited!A645</f>
        <v>0</v>
      </c>
      <c r="B662" s="49"/>
      <c r="C662" s="50"/>
      <c r="D662" s="51" t="n">
        <f aca="false">TB_audited!B645</f>
        <v>0</v>
      </c>
      <c r="E662" s="52" t="n">
        <f aca="false">TB_audited!C645</f>
        <v>0</v>
      </c>
      <c r="F662" s="53" t="n">
        <f aca="false">TB_audited!D645</f>
        <v>0</v>
      </c>
      <c r="G662" s="54" t="n">
        <f aca="false">IF($D$8="Interim",TB_audited!G645,TB_audited!E645)</f>
        <v>0</v>
      </c>
      <c r="H662" s="55" t="str">
        <f aca="false">IFERROR(VLOOKUP($A662,RA_result!$B$3:$N$62,11,0),"")</f>
        <v/>
      </c>
      <c r="I662" s="55" t="str">
        <f aca="false">IFERROR(VLOOKUP($A662,RA_result!$B$3:$N$62,12,0),"")</f>
        <v/>
      </c>
      <c r="J662" s="55" t="str">
        <f aca="false">IFERROR(VLOOKUP($A662,RA_result!$B$3:$N$62,13,0),"")</f>
        <v/>
      </c>
      <c r="K662" s="56"/>
      <c r="L662" s="56"/>
      <c r="M662" s="57" t="n">
        <f aca="false">G662</f>
        <v>0</v>
      </c>
      <c r="N662" s="54" t="n">
        <f aca="false">G662-M662</f>
        <v>0</v>
      </c>
      <c r="O662" s="55" t="str">
        <f aca="false">IFERROR(VLOOKUP($A662,RA_result!$B$3:$N$62,7,0),"")</f>
        <v/>
      </c>
      <c r="P662" s="52" t="str">
        <f aca="false">IFERROR(VLOOKUP($A662,RA_result!$B$3:$N$62,9,0),"")</f>
        <v/>
      </c>
      <c r="Q662" s="52" t="str">
        <f aca="false">IFERROR(VLOOKUP($A662,RA_result!$B$3:$N$62,10,0),"")</f>
        <v/>
      </c>
      <c r="R662" s="58" t="s">
        <v>55</v>
      </c>
      <c r="S662" s="59" t="str">
        <f aca="false">IFERROR(VLOOKUP($A662,RA_result!$B$3:$N$62,4,0),"")</f>
        <v/>
      </c>
      <c r="T662" s="60" t="s">
        <v>56</v>
      </c>
      <c r="U662" s="59" t="str">
        <f aca="false">IFERROR(IF(VLOOKUP($A662,RA_result!$B$3:$N$62,6,0)="",S662*T662,VLOOKUP($A662,RA_result!$B$3:$N$62,6,0)),"")</f>
        <v/>
      </c>
      <c r="V662" s="61" t="s">
        <v>56</v>
      </c>
      <c r="W662" s="62" t="n">
        <f aca="false">IFERROR((S662*30%)/V662,0)</f>
        <v>0</v>
      </c>
      <c r="X662" s="63" t="n">
        <f aca="false">IFERROR(N662/W662,0)</f>
        <v>0</v>
      </c>
      <c r="Y662" s="68"/>
      <c r="Z662" s="57"/>
      <c r="AA662" s="69" t="str">
        <f aca="false">IF(OR(U662="",Y662="",Z662=""),"",IF(AND(U662&gt;Y662,-U662&lt;Z662),"Ok","Not Ok"))</f>
        <v/>
      </c>
      <c r="AB662" s="70"/>
    </row>
    <row r="663" customFormat="false" ht="12.8" hidden="false" customHeight="false" outlineLevel="0" collapsed="false">
      <c r="A663" s="48" t="n">
        <f aca="false">TB_audited!A646</f>
        <v>0</v>
      </c>
      <c r="B663" s="49"/>
      <c r="C663" s="50"/>
      <c r="D663" s="51" t="n">
        <f aca="false">TB_audited!B646</f>
        <v>0</v>
      </c>
      <c r="E663" s="52" t="n">
        <f aca="false">TB_audited!C646</f>
        <v>0</v>
      </c>
      <c r="F663" s="53" t="n">
        <f aca="false">TB_audited!D646</f>
        <v>0</v>
      </c>
      <c r="G663" s="54" t="n">
        <f aca="false">IF($D$8="Interim",TB_audited!G646,TB_audited!E646)</f>
        <v>0</v>
      </c>
      <c r="H663" s="55" t="str">
        <f aca="false">IFERROR(VLOOKUP($A663,RA_result!$B$3:$N$62,11,0),"")</f>
        <v/>
      </c>
      <c r="I663" s="55" t="str">
        <f aca="false">IFERROR(VLOOKUP($A663,RA_result!$B$3:$N$62,12,0),"")</f>
        <v/>
      </c>
      <c r="J663" s="55" t="str">
        <f aca="false">IFERROR(VLOOKUP($A663,RA_result!$B$3:$N$62,13,0),"")</f>
        <v/>
      </c>
      <c r="K663" s="56"/>
      <c r="L663" s="56"/>
      <c r="M663" s="57" t="n">
        <f aca="false">G663</f>
        <v>0</v>
      </c>
      <c r="N663" s="54" t="n">
        <f aca="false">G663-M663</f>
        <v>0</v>
      </c>
      <c r="O663" s="55" t="str">
        <f aca="false">IFERROR(VLOOKUP($A663,RA_result!$B$3:$N$62,7,0),"")</f>
        <v/>
      </c>
      <c r="P663" s="52" t="str">
        <f aca="false">IFERROR(VLOOKUP($A663,RA_result!$B$3:$N$62,9,0),"")</f>
        <v/>
      </c>
      <c r="Q663" s="52" t="str">
        <f aca="false">IFERROR(VLOOKUP($A663,RA_result!$B$3:$N$62,10,0),"")</f>
        <v/>
      </c>
      <c r="R663" s="58" t="s">
        <v>55</v>
      </c>
      <c r="S663" s="59" t="str">
        <f aca="false">IFERROR(VLOOKUP($A663,RA_result!$B$3:$N$62,4,0),"")</f>
        <v/>
      </c>
      <c r="T663" s="60" t="s">
        <v>56</v>
      </c>
      <c r="U663" s="59" t="str">
        <f aca="false">IFERROR(IF(VLOOKUP($A663,RA_result!$B$3:$N$62,6,0)="",S663*T663,VLOOKUP($A663,RA_result!$B$3:$N$62,6,0)),"")</f>
        <v/>
      </c>
      <c r="V663" s="61" t="s">
        <v>56</v>
      </c>
      <c r="W663" s="62" t="n">
        <f aca="false">IFERROR((S663*30%)/V663,0)</f>
        <v>0</v>
      </c>
      <c r="X663" s="63" t="n">
        <f aca="false">IFERROR(N663/W663,0)</f>
        <v>0</v>
      </c>
      <c r="Y663" s="68"/>
      <c r="Z663" s="57"/>
      <c r="AA663" s="69" t="str">
        <f aca="false">IF(OR(U663="",Y663="",Z663=""),"",IF(AND(U663&gt;Y663,-U663&lt;Z663),"Ok","Not Ok"))</f>
        <v/>
      </c>
      <c r="AB663" s="70"/>
    </row>
    <row r="664" customFormat="false" ht="12.8" hidden="false" customHeight="false" outlineLevel="0" collapsed="false">
      <c r="A664" s="48" t="n">
        <f aca="false">TB_audited!A647</f>
        <v>0</v>
      </c>
      <c r="B664" s="49"/>
      <c r="C664" s="50"/>
      <c r="D664" s="51" t="n">
        <f aca="false">TB_audited!B647</f>
        <v>0</v>
      </c>
      <c r="E664" s="52" t="n">
        <f aca="false">TB_audited!C647</f>
        <v>0</v>
      </c>
      <c r="F664" s="53" t="n">
        <f aca="false">TB_audited!D647</f>
        <v>0</v>
      </c>
      <c r="G664" s="54" t="n">
        <f aca="false">IF($D$8="Interim",TB_audited!G647,TB_audited!E647)</f>
        <v>0</v>
      </c>
      <c r="H664" s="55" t="str">
        <f aca="false">IFERROR(VLOOKUP($A664,RA_result!$B$3:$N$62,11,0),"")</f>
        <v/>
      </c>
      <c r="I664" s="55" t="str">
        <f aca="false">IFERROR(VLOOKUP($A664,RA_result!$B$3:$N$62,12,0),"")</f>
        <v/>
      </c>
      <c r="J664" s="55" t="str">
        <f aca="false">IFERROR(VLOOKUP($A664,RA_result!$B$3:$N$62,13,0),"")</f>
        <v/>
      </c>
      <c r="K664" s="56"/>
      <c r="L664" s="56"/>
      <c r="M664" s="57" t="n">
        <f aca="false">G664</f>
        <v>0</v>
      </c>
      <c r="N664" s="54" t="n">
        <f aca="false">G664-M664</f>
        <v>0</v>
      </c>
      <c r="O664" s="55" t="str">
        <f aca="false">IFERROR(VLOOKUP($A664,RA_result!$B$3:$N$62,7,0),"")</f>
        <v/>
      </c>
      <c r="P664" s="52" t="str">
        <f aca="false">IFERROR(VLOOKUP($A664,RA_result!$B$3:$N$62,9,0),"")</f>
        <v/>
      </c>
      <c r="Q664" s="52" t="str">
        <f aca="false">IFERROR(VLOOKUP($A664,RA_result!$B$3:$N$62,10,0),"")</f>
        <v/>
      </c>
      <c r="R664" s="58" t="s">
        <v>55</v>
      </c>
      <c r="S664" s="59" t="str">
        <f aca="false">IFERROR(VLOOKUP($A664,RA_result!$B$3:$N$62,4,0),"")</f>
        <v/>
      </c>
      <c r="T664" s="60" t="s">
        <v>56</v>
      </c>
      <c r="U664" s="59" t="str">
        <f aca="false">IFERROR(IF(VLOOKUP($A664,RA_result!$B$3:$N$62,6,0)="",S664*T664,VLOOKUP($A664,RA_result!$B$3:$N$62,6,0)),"")</f>
        <v/>
      </c>
      <c r="V664" s="61" t="s">
        <v>56</v>
      </c>
      <c r="W664" s="62" t="n">
        <f aca="false">IFERROR((S664*30%)/V664,0)</f>
        <v>0</v>
      </c>
      <c r="X664" s="63" t="n">
        <f aca="false">IFERROR(N664/W664,0)</f>
        <v>0</v>
      </c>
      <c r="Y664" s="68"/>
      <c r="Z664" s="57"/>
      <c r="AA664" s="69" t="str">
        <f aca="false">IF(OR(U664="",Y664="",Z664=""),"",IF(AND(U664&gt;Y664,-U664&lt;Z664),"Ok","Not Ok"))</f>
        <v/>
      </c>
      <c r="AB664" s="70"/>
    </row>
    <row r="665" customFormat="false" ht="12.8" hidden="false" customHeight="false" outlineLevel="0" collapsed="false">
      <c r="A665" s="48" t="n">
        <f aca="false">TB_audited!A648</f>
        <v>0</v>
      </c>
      <c r="B665" s="49"/>
      <c r="C665" s="50"/>
      <c r="D665" s="51" t="n">
        <f aca="false">TB_audited!B648</f>
        <v>0</v>
      </c>
      <c r="E665" s="52" t="n">
        <f aca="false">TB_audited!C648</f>
        <v>0</v>
      </c>
      <c r="F665" s="53" t="n">
        <f aca="false">TB_audited!D648</f>
        <v>0</v>
      </c>
      <c r="G665" s="54" t="n">
        <f aca="false">IF($D$8="Interim",TB_audited!G648,TB_audited!E648)</f>
        <v>0</v>
      </c>
      <c r="H665" s="55" t="str">
        <f aca="false">IFERROR(VLOOKUP($A665,RA_result!$B$3:$N$62,11,0),"")</f>
        <v/>
      </c>
      <c r="I665" s="55" t="str">
        <f aca="false">IFERROR(VLOOKUP($A665,RA_result!$B$3:$N$62,12,0),"")</f>
        <v/>
      </c>
      <c r="J665" s="55" t="str">
        <f aca="false">IFERROR(VLOOKUP($A665,RA_result!$B$3:$N$62,13,0),"")</f>
        <v/>
      </c>
      <c r="K665" s="56"/>
      <c r="L665" s="56"/>
      <c r="M665" s="57" t="n">
        <f aca="false">G665</f>
        <v>0</v>
      </c>
      <c r="N665" s="54" t="n">
        <f aca="false">G665-M665</f>
        <v>0</v>
      </c>
      <c r="O665" s="55" t="str">
        <f aca="false">IFERROR(VLOOKUP($A665,RA_result!$B$3:$N$62,7,0),"")</f>
        <v/>
      </c>
      <c r="P665" s="52" t="str">
        <f aca="false">IFERROR(VLOOKUP($A665,RA_result!$B$3:$N$62,9,0),"")</f>
        <v/>
      </c>
      <c r="Q665" s="52" t="str">
        <f aca="false">IFERROR(VLOOKUP($A665,RA_result!$B$3:$N$62,10,0),"")</f>
        <v/>
      </c>
      <c r="R665" s="58" t="s">
        <v>55</v>
      </c>
      <c r="S665" s="59" t="str">
        <f aca="false">IFERROR(VLOOKUP($A665,RA_result!$B$3:$N$62,4,0),"")</f>
        <v/>
      </c>
      <c r="T665" s="60" t="s">
        <v>56</v>
      </c>
      <c r="U665" s="59" t="str">
        <f aca="false">IFERROR(IF(VLOOKUP($A665,RA_result!$B$3:$N$62,6,0)="",S665*T665,VLOOKUP($A665,RA_result!$B$3:$N$62,6,0)),"")</f>
        <v/>
      </c>
      <c r="V665" s="61" t="s">
        <v>56</v>
      </c>
      <c r="W665" s="62" t="n">
        <f aca="false">IFERROR((S665*30%)/V665,0)</f>
        <v>0</v>
      </c>
      <c r="X665" s="63" t="n">
        <f aca="false">IFERROR(N665/W665,0)</f>
        <v>0</v>
      </c>
      <c r="Y665" s="68"/>
      <c r="Z665" s="57"/>
      <c r="AA665" s="69" t="str">
        <f aca="false">IF(OR(U665="",Y665="",Z665=""),"",IF(AND(U665&gt;Y665,-U665&lt;Z665),"Ok","Not Ok"))</f>
        <v/>
      </c>
      <c r="AB665" s="70"/>
    </row>
    <row r="666" customFormat="false" ht="12.8" hidden="false" customHeight="false" outlineLevel="0" collapsed="false">
      <c r="A666" s="48" t="n">
        <f aca="false">TB_audited!A649</f>
        <v>0</v>
      </c>
      <c r="B666" s="49"/>
      <c r="C666" s="50"/>
      <c r="D666" s="51" t="n">
        <f aca="false">TB_audited!B649</f>
        <v>0</v>
      </c>
      <c r="E666" s="52" t="n">
        <f aca="false">TB_audited!C649</f>
        <v>0</v>
      </c>
      <c r="F666" s="53" t="n">
        <f aca="false">TB_audited!D649</f>
        <v>0</v>
      </c>
      <c r="G666" s="54" t="n">
        <f aca="false">IF($D$8="Interim",TB_audited!G649,TB_audited!E649)</f>
        <v>0</v>
      </c>
      <c r="H666" s="55" t="str">
        <f aca="false">IFERROR(VLOOKUP($A666,RA_result!$B$3:$N$62,11,0),"")</f>
        <v/>
      </c>
      <c r="I666" s="55" t="str">
        <f aca="false">IFERROR(VLOOKUP($A666,RA_result!$B$3:$N$62,12,0),"")</f>
        <v/>
      </c>
      <c r="J666" s="55" t="str">
        <f aca="false">IFERROR(VLOOKUP($A666,RA_result!$B$3:$N$62,13,0),"")</f>
        <v/>
      </c>
      <c r="K666" s="56"/>
      <c r="L666" s="56"/>
      <c r="M666" s="57" t="n">
        <f aca="false">G666</f>
        <v>0</v>
      </c>
      <c r="N666" s="54" t="n">
        <f aca="false">G666-M666</f>
        <v>0</v>
      </c>
      <c r="O666" s="55" t="str">
        <f aca="false">IFERROR(VLOOKUP($A666,RA_result!$B$3:$N$62,7,0),"")</f>
        <v/>
      </c>
      <c r="P666" s="52" t="str">
        <f aca="false">IFERROR(VLOOKUP($A666,RA_result!$B$3:$N$62,9,0),"")</f>
        <v/>
      </c>
      <c r="Q666" s="52" t="str">
        <f aca="false">IFERROR(VLOOKUP($A666,RA_result!$B$3:$N$62,10,0),"")</f>
        <v/>
      </c>
      <c r="R666" s="58" t="s">
        <v>55</v>
      </c>
      <c r="S666" s="59" t="str">
        <f aca="false">IFERROR(VLOOKUP($A666,RA_result!$B$3:$N$62,4,0),"")</f>
        <v/>
      </c>
      <c r="T666" s="60" t="s">
        <v>56</v>
      </c>
      <c r="U666" s="59" t="str">
        <f aca="false">IFERROR(IF(VLOOKUP($A666,RA_result!$B$3:$N$62,6,0)="",S666*T666,VLOOKUP($A666,RA_result!$B$3:$N$62,6,0)),"")</f>
        <v/>
      </c>
      <c r="V666" s="61" t="s">
        <v>56</v>
      </c>
      <c r="W666" s="62" t="n">
        <f aca="false">IFERROR((S666*30%)/V666,0)</f>
        <v>0</v>
      </c>
      <c r="X666" s="63" t="n">
        <f aca="false">IFERROR(N666/W666,0)</f>
        <v>0</v>
      </c>
      <c r="Y666" s="68"/>
      <c r="Z666" s="57"/>
      <c r="AA666" s="69" t="str">
        <f aca="false">IF(OR(U666="",Y666="",Z666=""),"",IF(AND(U666&gt;Y666,-U666&lt;Z666),"Ok","Not Ok"))</f>
        <v/>
      </c>
      <c r="AB666" s="70"/>
    </row>
    <row r="667" customFormat="false" ht="12.8" hidden="false" customHeight="false" outlineLevel="0" collapsed="false">
      <c r="A667" s="48" t="n">
        <f aca="false">TB_audited!A650</f>
        <v>0</v>
      </c>
      <c r="B667" s="49"/>
      <c r="C667" s="50"/>
      <c r="D667" s="51" t="n">
        <f aca="false">TB_audited!B650</f>
        <v>0</v>
      </c>
      <c r="E667" s="52" t="n">
        <f aca="false">TB_audited!C650</f>
        <v>0</v>
      </c>
      <c r="F667" s="53" t="n">
        <f aca="false">TB_audited!D650</f>
        <v>0</v>
      </c>
      <c r="G667" s="54" t="n">
        <f aca="false">IF($D$8="Interim",TB_audited!G650,TB_audited!E650)</f>
        <v>0</v>
      </c>
      <c r="H667" s="55" t="str">
        <f aca="false">IFERROR(VLOOKUP($A667,RA_result!$B$3:$N$62,11,0),"")</f>
        <v/>
      </c>
      <c r="I667" s="55" t="str">
        <f aca="false">IFERROR(VLOOKUP($A667,RA_result!$B$3:$N$62,12,0),"")</f>
        <v/>
      </c>
      <c r="J667" s="55" t="str">
        <f aca="false">IFERROR(VLOOKUP($A667,RA_result!$B$3:$N$62,13,0),"")</f>
        <v/>
      </c>
      <c r="K667" s="56"/>
      <c r="L667" s="56"/>
      <c r="M667" s="57" t="n">
        <f aca="false">G667</f>
        <v>0</v>
      </c>
      <c r="N667" s="54" t="n">
        <f aca="false">G667-M667</f>
        <v>0</v>
      </c>
      <c r="O667" s="55" t="str">
        <f aca="false">IFERROR(VLOOKUP($A667,RA_result!$B$3:$N$62,7,0),"")</f>
        <v/>
      </c>
      <c r="P667" s="52" t="str">
        <f aca="false">IFERROR(VLOOKUP($A667,RA_result!$B$3:$N$62,9,0),"")</f>
        <v/>
      </c>
      <c r="Q667" s="52" t="str">
        <f aca="false">IFERROR(VLOOKUP($A667,RA_result!$B$3:$N$62,10,0),"")</f>
        <v/>
      </c>
      <c r="R667" s="58" t="s">
        <v>55</v>
      </c>
      <c r="S667" s="59" t="str">
        <f aca="false">IFERROR(VLOOKUP($A667,RA_result!$B$3:$N$62,4,0),"")</f>
        <v/>
      </c>
      <c r="T667" s="60" t="s">
        <v>56</v>
      </c>
      <c r="U667" s="59" t="str">
        <f aca="false">IFERROR(IF(VLOOKUP($A667,RA_result!$B$3:$N$62,6,0)="",S667*T667,VLOOKUP($A667,RA_result!$B$3:$N$62,6,0)),"")</f>
        <v/>
      </c>
      <c r="V667" s="61" t="s">
        <v>56</v>
      </c>
      <c r="W667" s="62" t="n">
        <f aca="false">IFERROR((S667*30%)/V667,0)</f>
        <v>0</v>
      </c>
      <c r="X667" s="63" t="n">
        <f aca="false">IFERROR(N667/W667,0)</f>
        <v>0</v>
      </c>
      <c r="Y667" s="68"/>
      <c r="Z667" s="57"/>
      <c r="AA667" s="69" t="str">
        <f aca="false">IF(OR(U667="",Y667="",Z667=""),"",IF(AND(U667&gt;Y667,-U667&lt;Z667),"Ok","Not Ok"))</f>
        <v/>
      </c>
      <c r="AB667" s="70"/>
    </row>
    <row r="668" customFormat="false" ht="12.8" hidden="false" customHeight="false" outlineLevel="0" collapsed="false">
      <c r="A668" s="48" t="n">
        <f aca="false">TB_audited!A651</f>
        <v>0</v>
      </c>
      <c r="B668" s="49"/>
      <c r="C668" s="50"/>
      <c r="D668" s="51" t="n">
        <f aca="false">TB_audited!B651</f>
        <v>0</v>
      </c>
      <c r="E668" s="52" t="n">
        <f aca="false">TB_audited!C651</f>
        <v>0</v>
      </c>
      <c r="F668" s="53" t="n">
        <f aca="false">TB_audited!D651</f>
        <v>0</v>
      </c>
      <c r="G668" s="54" t="n">
        <f aca="false">IF($D$8="Interim",TB_audited!G651,TB_audited!E651)</f>
        <v>0</v>
      </c>
      <c r="H668" s="55" t="str">
        <f aca="false">IFERROR(VLOOKUP($A668,RA_result!$B$3:$N$62,11,0),"")</f>
        <v/>
      </c>
      <c r="I668" s="55" t="str">
        <f aca="false">IFERROR(VLOOKUP($A668,RA_result!$B$3:$N$62,12,0),"")</f>
        <v/>
      </c>
      <c r="J668" s="55" t="str">
        <f aca="false">IFERROR(VLOOKUP($A668,RA_result!$B$3:$N$62,13,0),"")</f>
        <v/>
      </c>
      <c r="K668" s="56"/>
      <c r="L668" s="56"/>
      <c r="M668" s="57" t="n">
        <f aca="false">G668</f>
        <v>0</v>
      </c>
      <c r="N668" s="54" t="n">
        <f aca="false">G668-M668</f>
        <v>0</v>
      </c>
      <c r="O668" s="55" t="str">
        <f aca="false">IFERROR(VLOOKUP($A668,RA_result!$B$3:$N$62,7,0),"")</f>
        <v/>
      </c>
      <c r="P668" s="52" t="str">
        <f aca="false">IFERROR(VLOOKUP($A668,RA_result!$B$3:$N$62,9,0),"")</f>
        <v/>
      </c>
      <c r="Q668" s="52" t="str">
        <f aca="false">IFERROR(VLOOKUP($A668,RA_result!$B$3:$N$62,10,0),"")</f>
        <v/>
      </c>
      <c r="R668" s="58" t="s">
        <v>55</v>
      </c>
      <c r="S668" s="59" t="str">
        <f aca="false">IFERROR(VLOOKUP($A668,RA_result!$B$3:$N$62,4,0),"")</f>
        <v/>
      </c>
      <c r="T668" s="60" t="s">
        <v>56</v>
      </c>
      <c r="U668" s="59" t="str">
        <f aca="false">IFERROR(IF(VLOOKUP($A668,RA_result!$B$3:$N$62,6,0)="",S668*T668,VLOOKUP($A668,RA_result!$B$3:$N$62,6,0)),"")</f>
        <v/>
      </c>
      <c r="V668" s="61" t="s">
        <v>56</v>
      </c>
      <c r="W668" s="62" t="n">
        <f aca="false">IFERROR((S668*30%)/V668,0)</f>
        <v>0</v>
      </c>
      <c r="X668" s="63" t="n">
        <f aca="false">IFERROR(N668/W668,0)</f>
        <v>0</v>
      </c>
      <c r="Y668" s="68"/>
      <c r="Z668" s="57"/>
      <c r="AA668" s="69" t="str">
        <f aca="false">IF(OR(U668="",Y668="",Z668=""),"",IF(AND(U668&gt;Y668,-U668&lt;Z668),"Ok","Not Ok"))</f>
        <v/>
      </c>
      <c r="AB668" s="70"/>
    </row>
    <row r="669" customFormat="false" ht="12.8" hidden="false" customHeight="false" outlineLevel="0" collapsed="false">
      <c r="A669" s="48" t="n">
        <f aca="false">TB_audited!A652</f>
        <v>0</v>
      </c>
      <c r="B669" s="49"/>
      <c r="C669" s="50"/>
      <c r="D669" s="51" t="n">
        <f aca="false">TB_audited!B652</f>
        <v>0</v>
      </c>
      <c r="E669" s="52" t="n">
        <f aca="false">TB_audited!C652</f>
        <v>0</v>
      </c>
      <c r="F669" s="53" t="n">
        <f aca="false">TB_audited!D652</f>
        <v>0</v>
      </c>
      <c r="G669" s="54" t="n">
        <f aca="false">IF($D$8="Interim",TB_audited!G652,TB_audited!E652)</f>
        <v>0</v>
      </c>
      <c r="H669" s="55" t="str">
        <f aca="false">IFERROR(VLOOKUP($A669,RA_result!$B$3:$N$62,11,0),"")</f>
        <v/>
      </c>
      <c r="I669" s="55" t="str">
        <f aca="false">IFERROR(VLOOKUP($A669,RA_result!$B$3:$N$62,12,0),"")</f>
        <v/>
      </c>
      <c r="J669" s="55" t="str">
        <f aca="false">IFERROR(VLOOKUP($A669,RA_result!$B$3:$N$62,13,0),"")</f>
        <v/>
      </c>
      <c r="K669" s="56"/>
      <c r="L669" s="56"/>
      <c r="M669" s="57" t="n">
        <f aca="false">G669</f>
        <v>0</v>
      </c>
      <c r="N669" s="54" t="n">
        <f aca="false">G669-M669</f>
        <v>0</v>
      </c>
      <c r="O669" s="55" t="str">
        <f aca="false">IFERROR(VLOOKUP($A669,RA_result!$B$3:$N$62,7,0),"")</f>
        <v/>
      </c>
      <c r="P669" s="52" t="str">
        <f aca="false">IFERROR(VLOOKUP($A669,RA_result!$B$3:$N$62,9,0),"")</f>
        <v/>
      </c>
      <c r="Q669" s="52" t="str">
        <f aca="false">IFERROR(VLOOKUP($A669,RA_result!$B$3:$N$62,10,0),"")</f>
        <v/>
      </c>
      <c r="R669" s="58" t="s">
        <v>55</v>
      </c>
      <c r="S669" s="59" t="str">
        <f aca="false">IFERROR(VLOOKUP($A669,RA_result!$B$3:$N$62,4,0),"")</f>
        <v/>
      </c>
      <c r="T669" s="60" t="s">
        <v>56</v>
      </c>
      <c r="U669" s="59" t="str">
        <f aca="false">IFERROR(IF(VLOOKUP($A669,RA_result!$B$3:$N$62,6,0)="",S669*T669,VLOOKUP($A669,RA_result!$B$3:$N$62,6,0)),"")</f>
        <v/>
      </c>
      <c r="V669" s="61" t="s">
        <v>56</v>
      </c>
      <c r="W669" s="62" t="n">
        <f aca="false">IFERROR((S669*30%)/V669,0)</f>
        <v>0</v>
      </c>
      <c r="X669" s="63" t="n">
        <f aca="false">IFERROR(N669/W669,0)</f>
        <v>0</v>
      </c>
      <c r="Y669" s="68"/>
      <c r="Z669" s="57"/>
      <c r="AA669" s="69" t="str">
        <f aca="false">IF(OR(U669="",Y669="",Z669=""),"",IF(AND(U669&gt;Y669,-U669&lt;Z669),"Ok","Not Ok"))</f>
        <v/>
      </c>
      <c r="AB669" s="70"/>
    </row>
    <row r="670" customFormat="false" ht="12.8" hidden="false" customHeight="false" outlineLevel="0" collapsed="false">
      <c r="A670" s="48" t="n">
        <f aca="false">TB_audited!A653</f>
        <v>0</v>
      </c>
      <c r="B670" s="49"/>
      <c r="C670" s="50"/>
      <c r="D670" s="51" t="n">
        <f aca="false">TB_audited!B653</f>
        <v>0</v>
      </c>
      <c r="E670" s="52" t="n">
        <f aca="false">TB_audited!C653</f>
        <v>0</v>
      </c>
      <c r="F670" s="53" t="n">
        <f aca="false">TB_audited!D653</f>
        <v>0</v>
      </c>
      <c r="G670" s="54" t="n">
        <f aca="false">IF($D$8="Interim",TB_audited!G653,TB_audited!E653)</f>
        <v>0</v>
      </c>
      <c r="H670" s="55" t="str">
        <f aca="false">IFERROR(VLOOKUP($A670,RA_result!$B$3:$N$62,11,0),"")</f>
        <v/>
      </c>
      <c r="I670" s="55" t="str">
        <f aca="false">IFERROR(VLOOKUP($A670,RA_result!$B$3:$N$62,12,0),"")</f>
        <v/>
      </c>
      <c r="J670" s="55" t="str">
        <f aca="false">IFERROR(VLOOKUP($A670,RA_result!$B$3:$N$62,13,0),"")</f>
        <v/>
      </c>
      <c r="K670" s="56"/>
      <c r="L670" s="56"/>
      <c r="M670" s="57" t="n">
        <f aca="false">G670</f>
        <v>0</v>
      </c>
      <c r="N670" s="54" t="n">
        <f aca="false">G670-M670</f>
        <v>0</v>
      </c>
      <c r="O670" s="55" t="str">
        <f aca="false">IFERROR(VLOOKUP($A670,RA_result!$B$3:$N$62,7,0),"")</f>
        <v/>
      </c>
      <c r="P670" s="52" t="str">
        <f aca="false">IFERROR(VLOOKUP($A670,RA_result!$B$3:$N$62,9,0),"")</f>
        <v/>
      </c>
      <c r="Q670" s="52" t="str">
        <f aca="false">IFERROR(VLOOKUP($A670,RA_result!$B$3:$N$62,10,0),"")</f>
        <v/>
      </c>
      <c r="R670" s="58" t="s">
        <v>55</v>
      </c>
      <c r="S670" s="59" t="str">
        <f aca="false">IFERROR(VLOOKUP($A670,RA_result!$B$3:$N$62,4,0),"")</f>
        <v/>
      </c>
      <c r="T670" s="60" t="s">
        <v>56</v>
      </c>
      <c r="U670" s="59" t="str">
        <f aca="false">IFERROR(IF(VLOOKUP($A670,RA_result!$B$3:$N$62,6,0)="",S670*T670,VLOOKUP($A670,RA_result!$B$3:$N$62,6,0)),"")</f>
        <v/>
      </c>
      <c r="V670" s="61" t="s">
        <v>56</v>
      </c>
      <c r="W670" s="62" t="n">
        <f aca="false">IFERROR((S670*30%)/V670,0)</f>
        <v>0</v>
      </c>
      <c r="X670" s="63" t="n">
        <f aca="false">IFERROR(N670/W670,0)</f>
        <v>0</v>
      </c>
      <c r="Y670" s="68"/>
      <c r="Z670" s="57"/>
      <c r="AA670" s="69" t="str">
        <f aca="false">IF(OR(U670="",Y670="",Z670=""),"",IF(AND(U670&gt;Y670,-U670&lt;Z670),"Ok","Not Ok"))</f>
        <v/>
      </c>
      <c r="AB670" s="70"/>
    </row>
    <row r="671" customFormat="false" ht="12.8" hidden="false" customHeight="false" outlineLevel="0" collapsed="false">
      <c r="A671" s="48" t="n">
        <f aca="false">TB_audited!A654</f>
        <v>0</v>
      </c>
      <c r="B671" s="49"/>
      <c r="C671" s="50"/>
      <c r="D671" s="51" t="n">
        <f aca="false">TB_audited!B654</f>
        <v>0</v>
      </c>
      <c r="E671" s="52" t="n">
        <f aca="false">TB_audited!C654</f>
        <v>0</v>
      </c>
      <c r="F671" s="53" t="n">
        <f aca="false">TB_audited!D654</f>
        <v>0</v>
      </c>
      <c r="G671" s="54" t="n">
        <f aca="false">IF($D$8="Interim",TB_audited!G654,TB_audited!E654)</f>
        <v>0</v>
      </c>
      <c r="H671" s="55" t="str">
        <f aca="false">IFERROR(VLOOKUP($A671,RA_result!$B$3:$N$62,11,0),"")</f>
        <v/>
      </c>
      <c r="I671" s="55" t="str">
        <f aca="false">IFERROR(VLOOKUP($A671,RA_result!$B$3:$N$62,12,0),"")</f>
        <v/>
      </c>
      <c r="J671" s="55" t="str">
        <f aca="false">IFERROR(VLOOKUP($A671,RA_result!$B$3:$N$62,13,0),"")</f>
        <v/>
      </c>
      <c r="K671" s="56"/>
      <c r="L671" s="56"/>
      <c r="M671" s="57" t="n">
        <f aca="false">G671</f>
        <v>0</v>
      </c>
      <c r="N671" s="54" t="n">
        <f aca="false">G671-M671</f>
        <v>0</v>
      </c>
      <c r="O671" s="55" t="str">
        <f aca="false">IFERROR(VLOOKUP($A671,RA_result!$B$3:$N$62,7,0),"")</f>
        <v/>
      </c>
      <c r="P671" s="52" t="str">
        <f aca="false">IFERROR(VLOOKUP($A671,RA_result!$B$3:$N$62,9,0),"")</f>
        <v/>
      </c>
      <c r="Q671" s="52" t="str">
        <f aca="false">IFERROR(VLOOKUP($A671,RA_result!$B$3:$N$62,10,0),"")</f>
        <v/>
      </c>
      <c r="R671" s="58" t="s">
        <v>55</v>
      </c>
      <c r="S671" s="59" t="str">
        <f aca="false">IFERROR(VLOOKUP($A671,RA_result!$B$3:$N$62,4,0),"")</f>
        <v/>
      </c>
      <c r="T671" s="60" t="s">
        <v>56</v>
      </c>
      <c r="U671" s="59" t="str">
        <f aca="false">IFERROR(IF(VLOOKUP($A671,RA_result!$B$3:$N$62,6,0)="",S671*T671,VLOOKUP($A671,RA_result!$B$3:$N$62,6,0)),"")</f>
        <v/>
      </c>
      <c r="V671" s="61" t="s">
        <v>56</v>
      </c>
      <c r="W671" s="62" t="n">
        <f aca="false">IFERROR((S671*30%)/V671,0)</f>
        <v>0</v>
      </c>
      <c r="X671" s="63" t="n">
        <f aca="false">IFERROR(N671/W671,0)</f>
        <v>0</v>
      </c>
      <c r="Y671" s="68"/>
      <c r="Z671" s="57"/>
      <c r="AA671" s="69" t="str">
        <f aca="false">IF(OR(U671="",Y671="",Z671=""),"",IF(AND(U671&gt;Y671,-U671&lt;Z671),"Ok","Not Ok"))</f>
        <v/>
      </c>
      <c r="AB671" s="70"/>
    </row>
    <row r="672" customFormat="false" ht="12.8" hidden="false" customHeight="false" outlineLevel="0" collapsed="false">
      <c r="A672" s="48" t="n">
        <f aca="false">TB_audited!A655</f>
        <v>0</v>
      </c>
      <c r="B672" s="49"/>
      <c r="C672" s="50"/>
      <c r="D672" s="51" t="n">
        <f aca="false">TB_audited!B655</f>
        <v>0</v>
      </c>
      <c r="E672" s="52" t="n">
        <f aca="false">TB_audited!C655</f>
        <v>0</v>
      </c>
      <c r="F672" s="53" t="n">
        <f aca="false">TB_audited!D655</f>
        <v>0</v>
      </c>
      <c r="G672" s="54" t="n">
        <f aca="false">IF($D$8="Interim",TB_audited!G655,TB_audited!E655)</f>
        <v>0</v>
      </c>
      <c r="H672" s="55" t="str">
        <f aca="false">IFERROR(VLOOKUP($A672,RA_result!$B$3:$N$62,11,0),"")</f>
        <v/>
      </c>
      <c r="I672" s="55" t="str">
        <f aca="false">IFERROR(VLOOKUP($A672,RA_result!$B$3:$N$62,12,0),"")</f>
        <v/>
      </c>
      <c r="J672" s="55" t="str">
        <f aca="false">IFERROR(VLOOKUP($A672,RA_result!$B$3:$N$62,13,0),"")</f>
        <v/>
      </c>
      <c r="K672" s="56"/>
      <c r="L672" s="56"/>
      <c r="M672" s="57" t="n">
        <f aca="false">G672</f>
        <v>0</v>
      </c>
      <c r="N672" s="54" t="n">
        <f aca="false">G672-M672</f>
        <v>0</v>
      </c>
      <c r="O672" s="55" t="str">
        <f aca="false">IFERROR(VLOOKUP($A672,RA_result!$B$3:$N$62,7,0),"")</f>
        <v/>
      </c>
      <c r="P672" s="52" t="str">
        <f aca="false">IFERROR(VLOOKUP($A672,RA_result!$B$3:$N$62,9,0),"")</f>
        <v/>
      </c>
      <c r="Q672" s="52" t="str">
        <f aca="false">IFERROR(VLOOKUP($A672,RA_result!$B$3:$N$62,10,0),"")</f>
        <v/>
      </c>
      <c r="R672" s="58" t="s">
        <v>55</v>
      </c>
      <c r="S672" s="59" t="str">
        <f aca="false">IFERROR(VLOOKUP($A672,RA_result!$B$3:$N$62,4,0),"")</f>
        <v/>
      </c>
      <c r="T672" s="60" t="s">
        <v>56</v>
      </c>
      <c r="U672" s="59" t="str">
        <f aca="false">IFERROR(IF(VLOOKUP($A672,RA_result!$B$3:$N$62,6,0)="",S672*T672,VLOOKUP($A672,RA_result!$B$3:$N$62,6,0)),"")</f>
        <v/>
      </c>
      <c r="V672" s="61" t="s">
        <v>56</v>
      </c>
      <c r="W672" s="62" t="n">
        <f aca="false">IFERROR((S672*30%)/V672,0)</f>
        <v>0</v>
      </c>
      <c r="X672" s="63" t="n">
        <f aca="false">IFERROR(N672/W672,0)</f>
        <v>0</v>
      </c>
      <c r="Y672" s="68"/>
      <c r="Z672" s="57"/>
      <c r="AA672" s="69" t="str">
        <f aca="false">IF(OR(U672="",Y672="",Z672=""),"",IF(AND(U672&gt;Y672,-U672&lt;Z672),"Ok","Not Ok"))</f>
        <v/>
      </c>
      <c r="AB672" s="70"/>
    </row>
    <row r="673" customFormat="false" ht="12.8" hidden="false" customHeight="false" outlineLevel="0" collapsed="false">
      <c r="A673" s="48" t="n">
        <f aca="false">TB_audited!A656</f>
        <v>0</v>
      </c>
      <c r="B673" s="49"/>
      <c r="C673" s="50"/>
      <c r="D673" s="51" t="n">
        <f aca="false">TB_audited!B656</f>
        <v>0</v>
      </c>
      <c r="E673" s="52" t="n">
        <f aca="false">TB_audited!C656</f>
        <v>0</v>
      </c>
      <c r="F673" s="53" t="n">
        <f aca="false">TB_audited!D656</f>
        <v>0</v>
      </c>
      <c r="G673" s="54" t="n">
        <f aca="false">IF($D$8="Interim",TB_audited!G656,TB_audited!E656)</f>
        <v>0</v>
      </c>
      <c r="H673" s="55" t="str">
        <f aca="false">IFERROR(VLOOKUP($A673,RA_result!$B$3:$N$62,11,0),"")</f>
        <v/>
      </c>
      <c r="I673" s="55" t="str">
        <f aca="false">IFERROR(VLOOKUP($A673,RA_result!$B$3:$N$62,12,0),"")</f>
        <v/>
      </c>
      <c r="J673" s="55" t="str">
        <f aca="false">IFERROR(VLOOKUP($A673,RA_result!$B$3:$N$62,13,0),"")</f>
        <v/>
      </c>
      <c r="K673" s="56"/>
      <c r="L673" s="56"/>
      <c r="M673" s="57" t="n">
        <f aca="false">G673</f>
        <v>0</v>
      </c>
      <c r="N673" s="54" t="n">
        <f aca="false">G673-M673</f>
        <v>0</v>
      </c>
      <c r="O673" s="55" t="str">
        <f aca="false">IFERROR(VLOOKUP($A673,RA_result!$B$3:$N$62,7,0),"")</f>
        <v/>
      </c>
      <c r="P673" s="52" t="str">
        <f aca="false">IFERROR(VLOOKUP($A673,RA_result!$B$3:$N$62,9,0),"")</f>
        <v/>
      </c>
      <c r="Q673" s="52" t="str">
        <f aca="false">IFERROR(VLOOKUP($A673,RA_result!$B$3:$N$62,10,0),"")</f>
        <v/>
      </c>
      <c r="R673" s="58" t="s">
        <v>55</v>
      </c>
      <c r="S673" s="59" t="str">
        <f aca="false">IFERROR(VLOOKUP($A673,RA_result!$B$3:$N$62,4,0),"")</f>
        <v/>
      </c>
      <c r="T673" s="60" t="s">
        <v>56</v>
      </c>
      <c r="U673" s="59" t="str">
        <f aca="false">IFERROR(IF(VLOOKUP($A673,RA_result!$B$3:$N$62,6,0)="",S673*T673,VLOOKUP($A673,RA_result!$B$3:$N$62,6,0)),"")</f>
        <v/>
      </c>
      <c r="V673" s="61" t="s">
        <v>56</v>
      </c>
      <c r="W673" s="62" t="n">
        <f aca="false">IFERROR((S673*30%)/V673,0)</f>
        <v>0</v>
      </c>
      <c r="X673" s="63" t="n">
        <f aca="false">IFERROR(N673/W673,0)</f>
        <v>0</v>
      </c>
      <c r="Y673" s="68"/>
      <c r="Z673" s="57"/>
      <c r="AA673" s="69" t="str">
        <f aca="false">IF(OR(U673="",Y673="",Z673=""),"",IF(AND(U673&gt;Y673,-U673&lt;Z673),"Ok","Not Ok"))</f>
        <v/>
      </c>
      <c r="AB673" s="70"/>
    </row>
    <row r="674" customFormat="false" ht="12.8" hidden="false" customHeight="false" outlineLevel="0" collapsed="false">
      <c r="A674" s="48" t="n">
        <f aca="false">TB_audited!A657</f>
        <v>0</v>
      </c>
      <c r="B674" s="49"/>
      <c r="C674" s="50"/>
      <c r="D674" s="51" t="n">
        <f aca="false">TB_audited!B657</f>
        <v>0</v>
      </c>
      <c r="E674" s="52" t="n">
        <f aca="false">TB_audited!C657</f>
        <v>0</v>
      </c>
      <c r="F674" s="53" t="n">
        <f aca="false">TB_audited!D657</f>
        <v>0</v>
      </c>
      <c r="G674" s="54" t="n">
        <f aca="false">IF($D$8="Interim",TB_audited!G657,TB_audited!E657)</f>
        <v>0</v>
      </c>
      <c r="H674" s="55" t="str">
        <f aca="false">IFERROR(VLOOKUP($A674,RA_result!$B$3:$N$62,11,0),"")</f>
        <v/>
      </c>
      <c r="I674" s="55" t="str">
        <f aca="false">IFERROR(VLOOKUP($A674,RA_result!$B$3:$N$62,12,0),"")</f>
        <v/>
      </c>
      <c r="J674" s="55" t="str">
        <f aca="false">IFERROR(VLOOKUP($A674,RA_result!$B$3:$N$62,13,0),"")</f>
        <v/>
      </c>
      <c r="K674" s="56"/>
      <c r="L674" s="56"/>
      <c r="M674" s="57" t="n">
        <f aca="false">G674</f>
        <v>0</v>
      </c>
      <c r="N674" s="54" t="n">
        <f aca="false">G674-M674</f>
        <v>0</v>
      </c>
      <c r="O674" s="55" t="str">
        <f aca="false">IFERROR(VLOOKUP($A674,RA_result!$B$3:$N$62,7,0),"")</f>
        <v/>
      </c>
      <c r="P674" s="52" t="str">
        <f aca="false">IFERROR(VLOOKUP($A674,RA_result!$B$3:$N$62,9,0),"")</f>
        <v/>
      </c>
      <c r="Q674" s="52" t="str">
        <f aca="false">IFERROR(VLOOKUP($A674,RA_result!$B$3:$N$62,10,0),"")</f>
        <v/>
      </c>
      <c r="R674" s="58" t="s">
        <v>55</v>
      </c>
      <c r="S674" s="59" t="str">
        <f aca="false">IFERROR(VLOOKUP($A674,RA_result!$B$3:$N$62,4,0),"")</f>
        <v/>
      </c>
      <c r="T674" s="60" t="s">
        <v>56</v>
      </c>
      <c r="U674" s="59" t="str">
        <f aca="false">IFERROR(IF(VLOOKUP($A674,RA_result!$B$3:$N$62,6,0)="",S674*T674,VLOOKUP($A674,RA_result!$B$3:$N$62,6,0)),"")</f>
        <v/>
      </c>
      <c r="V674" s="61" t="s">
        <v>56</v>
      </c>
      <c r="W674" s="62" t="n">
        <f aca="false">IFERROR((S674*30%)/V674,0)</f>
        <v>0</v>
      </c>
      <c r="X674" s="63" t="n">
        <f aca="false">IFERROR(N674/W674,0)</f>
        <v>0</v>
      </c>
      <c r="Y674" s="68"/>
      <c r="Z674" s="57"/>
      <c r="AA674" s="69" t="str">
        <f aca="false">IF(OR(U674="",Y674="",Z674=""),"",IF(AND(U674&gt;Y674,-U674&lt;Z674),"Ok","Not Ok"))</f>
        <v/>
      </c>
      <c r="AB674" s="70"/>
    </row>
    <row r="675" customFormat="false" ht="12.8" hidden="false" customHeight="false" outlineLevel="0" collapsed="false">
      <c r="A675" s="48" t="n">
        <f aca="false">TB_audited!A658</f>
        <v>0</v>
      </c>
      <c r="B675" s="49"/>
      <c r="C675" s="50"/>
      <c r="D675" s="51" t="n">
        <f aca="false">TB_audited!B658</f>
        <v>0</v>
      </c>
      <c r="E675" s="52" t="n">
        <f aca="false">TB_audited!C658</f>
        <v>0</v>
      </c>
      <c r="F675" s="53" t="n">
        <f aca="false">TB_audited!D658</f>
        <v>0</v>
      </c>
      <c r="G675" s="54" t="n">
        <f aca="false">IF($D$8="Interim",TB_audited!G658,TB_audited!E658)</f>
        <v>0</v>
      </c>
      <c r="H675" s="55" t="str">
        <f aca="false">IFERROR(VLOOKUP($A675,RA_result!$B$3:$N$62,11,0),"")</f>
        <v/>
      </c>
      <c r="I675" s="55" t="str">
        <f aca="false">IFERROR(VLOOKUP($A675,RA_result!$B$3:$N$62,12,0),"")</f>
        <v/>
      </c>
      <c r="J675" s="55" t="str">
        <f aca="false">IFERROR(VLOOKUP($A675,RA_result!$B$3:$N$62,13,0),"")</f>
        <v/>
      </c>
      <c r="K675" s="56"/>
      <c r="L675" s="56"/>
      <c r="M675" s="57" t="n">
        <f aca="false">G675</f>
        <v>0</v>
      </c>
      <c r="N675" s="54" t="n">
        <f aca="false">G675-M675</f>
        <v>0</v>
      </c>
      <c r="O675" s="55" t="str">
        <f aca="false">IFERROR(VLOOKUP($A675,RA_result!$B$3:$N$62,7,0),"")</f>
        <v/>
      </c>
      <c r="P675" s="52" t="str">
        <f aca="false">IFERROR(VLOOKUP($A675,RA_result!$B$3:$N$62,9,0),"")</f>
        <v/>
      </c>
      <c r="Q675" s="52" t="str">
        <f aca="false">IFERROR(VLOOKUP($A675,RA_result!$B$3:$N$62,10,0),"")</f>
        <v/>
      </c>
      <c r="R675" s="58" t="s">
        <v>55</v>
      </c>
      <c r="S675" s="59" t="str">
        <f aca="false">IFERROR(VLOOKUP($A675,RA_result!$B$3:$N$62,4,0),"")</f>
        <v/>
      </c>
      <c r="T675" s="60" t="s">
        <v>56</v>
      </c>
      <c r="U675" s="59" t="str">
        <f aca="false">IFERROR(IF(VLOOKUP($A675,RA_result!$B$3:$N$62,6,0)="",S675*T675,VLOOKUP($A675,RA_result!$B$3:$N$62,6,0)),"")</f>
        <v/>
      </c>
      <c r="V675" s="61" t="s">
        <v>56</v>
      </c>
      <c r="W675" s="62" t="n">
        <f aca="false">IFERROR((S675*30%)/V675,0)</f>
        <v>0</v>
      </c>
      <c r="X675" s="63" t="n">
        <f aca="false">IFERROR(N675/W675,0)</f>
        <v>0</v>
      </c>
      <c r="Y675" s="68"/>
      <c r="Z675" s="57"/>
      <c r="AA675" s="69" t="str">
        <f aca="false">IF(OR(U675="",Y675="",Z675=""),"",IF(AND(U675&gt;Y675,-U675&lt;Z675),"Ok","Not Ok"))</f>
        <v/>
      </c>
      <c r="AB675" s="70"/>
    </row>
    <row r="676" customFormat="false" ht="12.8" hidden="false" customHeight="false" outlineLevel="0" collapsed="false">
      <c r="A676" s="48" t="n">
        <f aca="false">TB_audited!A659</f>
        <v>0</v>
      </c>
      <c r="B676" s="49"/>
      <c r="C676" s="50"/>
      <c r="D676" s="51" t="n">
        <f aca="false">TB_audited!B659</f>
        <v>0</v>
      </c>
      <c r="E676" s="52" t="n">
        <f aca="false">TB_audited!C659</f>
        <v>0</v>
      </c>
      <c r="F676" s="53" t="n">
        <f aca="false">TB_audited!D659</f>
        <v>0</v>
      </c>
      <c r="G676" s="54" t="n">
        <f aca="false">IF($D$8="Interim",TB_audited!G659,TB_audited!E659)</f>
        <v>0</v>
      </c>
      <c r="H676" s="55" t="str">
        <f aca="false">IFERROR(VLOOKUP($A676,RA_result!$B$3:$N$62,11,0),"")</f>
        <v/>
      </c>
      <c r="I676" s="55" t="str">
        <f aca="false">IFERROR(VLOOKUP($A676,RA_result!$B$3:$N$62,12,0),"")</f>
        <v/>
      </c>
      <c r="J676" s="55" t="str">
        <f aca="false">IFERROR(VLOOKUP($A676,RA_result!$B$3:$N$62,13,0),"")</f>
        <v/>
      </c>
      <c r="K676" s="56"/>
      <c r="L676" s="56"/>
      <c r="M676" s="57" t="n">
        <f aca="false">G676</f>
        <v>0</v>
      </c>
      <c r="N676" s="54" t="n">
        <f aca="false">G676-M676</f>
        <v>0</v>
      </c>
      <c r="O676" s="55" t="str">
        <f aca="false">IFERROR(VLOOKUP($A676,RA_result!$B$3:$N$62,7,0),"")</f>
        <v/>
      </c>
      <c r="P676" s="52" t="str">
        <f aca="false">IFERROR(VLOOKUP($A676,RA_result!$B$3:$N$62,9,0),"")</f>
        <v/>
      </c>
      <c r="Q676" s="52" t="str">
        <f aca="false">IFERROR(VLOOKUP($A676,RA_result!$B$3:$N$62,10,0),"")</f>
        <v/>
      </c>
      <c r="R676" s="58" t="s">
        <v>55</v>
      </c>
      <c r="S676" s="59" t="str">
        <f aca="false">IFERROR(VLOOKUP($A676,RA_result!$B$3:$N$62,4,0),"")</f>
        <v/>
      </c>
      <c r="T676" s="60" t="s">
        <v>56</v>
      </c>
      <c r="U676" s="59" t="str">
        <f aca="false">IFERROR(IF(VLOOKUP($A676,RA_result!$B$3:$N$62,6,0)="",S676*T676,VLOOKUP($A676,RA_result!$B$3:$N$62,6,0)),"")</f>
        <v/>
      </c>
      <c r="V676" s="61" t="s">
        <v>56</v>
      </c>
      <c r="W676" s="62" t="n">
        <f aca="false">IFERROR((S676*30%)/V676,0)</f>
        <v>0</v>
      </c>
      <c r="X676" s="63" t="n">
        <f aca="false">IFERROR(N676/W676,0)</f>
        <v>0</v>
      </c>
      <c r="Y676" s="68"/>
      <c r="Z676" s="57"/>
      <c r="AA676" s="69" t="str">
        <f aca="false">IF(OR(U676="",Y676="",Z676=""),"",IF(AND(U676&gt;Y676,-U676&lt;Z676),"Ok","Not Ok"))</f>
        <v/>
      </c>
      <c r="AB676" s="70"/>
    </row>
    <row r="677" customFormat="false" ht="12.8" hidden="false" customHeight="false" outlineLevel="0" collapsed="false">
      <c r="A677" s="48" t="n">
        <f aca="false">TB_audited!A660</f>
        <v>0</v>
      </c>
      <c r="B677" s="49"/>
      <c r="C677" s="50"/>
      <c r="D677" s="51" t="n">
        <f aca="false">TB_audited!B660</f>
        <v>0</v>
      </c>
      <c r="E677" s="52" t="n">
        <f aca="false">TB_audited!C660</f>
        <v>0</v>
      </c>
      <c r="F677" s="53" t="n">
        <f aca="false">TB_audited!D660</f>
        <v>0</v>
      </c>
      <c r="G677" s="54" t="n">
        <f aca="false">IF($D$8="Interim",TB_audited!G660,TB_audited!E660)</f>
        <v>0</v>
      </c>
      <c r="H677" s="55" t="str">
        <f aca="false">IFERROR(VLOOKUP($A677,RA_result!$B$3:$N$62,11,0),"")</f>
        <v/>
      </c>
      <c r="I677" s="55" t="str">
        <f aca="false">IFERROR(VLOOKUP($A677,RA_result!$B$3:$N$62,12,0),"")</f>
        <v/>
      </c>
      <c r="J677" s="55" t="str">
        <f aca="false">IFERROR(VLOOKUP($A677,RA_result!$B$3:$N$62,13,0),"")</f>
        <v/>
      </c>
      <c r="K677" s="56"/>
      <c r="L677" s="56"/>
      <c r="M677" s="57" t="n">
        <f aca="false">G677</f>
        <v>0</v>
      </c>
      <c r="N677" s="54" t="n">
        <f aca="false">G677-M677</f>
        <v>0</v>
      </c>
      <c r="O677" s="55" t="str">
        <f aca="false">IFERROR(VLOOKUP($A677,RA_result!$B$3:$N$62,7,0),"")</f>
        <v/>
      </c>
      <c r="P677" s="52" t="str">
        <f aca="false">IFERROR(VLOOKUP($A677,RA_result!$B$3:$N$62,9,0),"")</f>
        <v/>
      </c>
      <c r="Q677" s="52" t="str">
        <f aca="false">IFERROR(VLOOKUP($A677,RA_result!$B$3:$N$62,10,0),"")</f>
        <v/>
      </c>
      <c r="R677" s="58" t="s">
        <v>55</v>
      </c>
      <c r="S677" s="59" t="str">
        <f aca="false">IFERROR(VLOOKUP($A677,RA_result!$B$3:$N$62,4,0),"")</f>
        <v/>
      </c>
      <c r="T677" s="60" t="s">
        <v>56</v>
      </c>
      <c r="U677" s="59" t="str">
        <f aca="false">IFERROR(IF(VLOOKUP($A677,RA_result!$B$3:$N$62,6,0)="",S677*T677,VLOOKUP($A677,RA_result!$B$3:$N$62,6,0)),"")</f>
        <v/>
      </c>
      <c r="V677" s="61" t="s">
        <v>56</v>
      </c>
      <c r="W677" s="62" t="n">
        <f aca="false">IFERROR((S677*30%)/V677,0)</f>
        <v>0</v>
      </c>
      <c r="X677" s="63" t="n">
        <f aca="false">IFERROR(N677/W677,0)</f>
        <v>0</v>
      </c>
      <c r="Y677" s="68"/>
      <c r="Z677" s="57"/>
      <c r="AA677" s="69" t="str">
        <f aca="false">IF(OR(U677="",Y677="",Z677=""),"",IF(AND(U677&gt;Y677,-U677&lt;Z677),"Ok","Not Ok"))</f>
        <v/>
      </c>
      <c r="AB677" s="70"/>
    </row>
    <row r="678" customFormat="false" ht="12.8" hidden="false" customHeight="false" outlineLevel="0" collapsed="false">
      <c r="A678" s="48" t="n">
        <f aca="false">TB_audited!A661</f>
        <v>0</v>
      </c>
      <c r="B678" s="49"/>
      <c r="C678" s="50"/>
      <c r="D678" s="51" t="n">
        <f aca="false">TB_audited!B661</f>
        <v>0</v>
      </c>
      <c r="E678" s="52" t="n">
        <f aca="false">TB_audited!C661</f>
        <v>0</v>
      </c>
      <c r="F678" s="53" t="n">
        <f aca="false">TB_audited!D661</f>
        <v>0</v>
      </c>
      <c r="G678" s="54" t="n">
        <f aca="false">IF($D$8="Interim",TB_audited!G661,TB_audited!E661)</f>
        <v>0</v>
      </c>
      <c r="H678" s="55" t="str">
        <f aca="false">IFERROR(VLOOKUP($A678,RA_result!$B$3:$N$62,11,0),"")</f>
        <v/>
      </c>
      <c r="I678" s="55" t="str">
        <f aca="false">IFERROR(VLOOKUP($A678,RA_result!$B$3:$N$62,12,0),"")</f>
        <v/>
      </c>
      <c r="J678" s="55" t="str">
        <f aca="false">IFERROR(VLOOKUP($A678,RA_result!$B$3:$N$62,13,0),"")</f>
        <v/>
      </c>
      <c r="K678" s="56"/>
      <c r="L678" s="56"/>
      <c r="M678" s="57" t="n">
        <f aca="false">G678</f>
        <v>0</v>
      </c>
      <c r="N678" s="54" t="n">
        <f aca="false">G678-M678</f>
        <v>0</v>
      </c>
      <c r="O678" s="55" t="str">
        <f aca="false">IFERROR(VLOOKUP($A678,RA_result!$B$3:$N$62,7,0),"")</f>
        <v/>
      </c>
      <c r="P678" s="52" t="str">
        <f aca="false">IFERROR(VLOOKUP($A678,RA_result!$B$3:$N$62,9,0),"")</f>
        <v/>
      </c>
      <c r="Q678" s="52" t="str">
        <f aca="false">IFERROR(VLOOKUP($A678,RA_result!$B$3:$N$62,10,0),"")</f>
        <v/>
      </c>
      <c r="R678" s="58" t="s">
        <v>55</v>
      </c>
      <c r="S678" s="59" t="str">
        <f aca="false">IFERROR(VLOOKUP($A678,RA_result!$B$3:$N$62,4,0),"")</f>
        <v/>
      </c>
      <c r="T678" s="60" t="s">
        <v>56</v>
      </c>
      <c r="U678" s="59" t="str">
        <f aca="false">IFERROR(IF(VLOOKUP($A678,RA_result!$B$3:$N$62,6,0)="",S678*T678,VLOOKUP($A678,RA_result!$B$3:$N$62,6,0)),"")</f>
        <v/>
      </c>
      <c r="V678" s="61" t="s">
        <v>56</v>
      </c>
      <c r="W678" s="62" t="n">
        <f aca="false">IFERROR((S678*30%)/V678,0)</f>
        <v>0</v>
      </c>
      <c r="X678" s="63" t="n">
        <f aca="false">IFERROR(N678/W678,0)</f>
        <v>0</v>
      </c>
      <c r="Y678" s="68"/>
      <c r="Z678" s="57"/>
      <c r="AA678" s="69" t="str">
        <f aca="false">IF(OR(U678="",Y678="",Z678=""),"",IF(AND(U678&gt;Y678,-U678&lt;Z678),"Ok","Not Ok"))</f>
        <v/>
      </c>
      <c r="AB678" s="70"/>
    </row>
    <row r="679" customFormat="false" ht="12.8" hidden="false" customHeight="false" outlineLevel="0" collapsed="false">
      <c r="A679" s="48" t="n">
        <f aca="false">TB_audited!A662</f>
        <v>0</v>
      </c>
      <c r="B679" s="49"/>
      <c r="C679" s="50"/>
      <c r="D679" s="51" t="n">
        <f aca="false">TB_audited!B662</f>
        <v>0</v>
      </c>
      <c r="E679" s="52" t="n">
        <f aca="false">TB_audited!C662</f>
        <v>0</v>
      </c>
      <c r="F679" s="53" t="n">
        <f aca="false">TB_audited!D662</f>
        <v>0</v>
      </c>
      <c r="G679" s="54" t="n">
        <f aca="false">IF($D$8="Interim",TB_audited!G662,TB_audited!E662)</f>
        <v>0</v>
      </c>
      <c r="H679" s="55" t="str">
        <f aca="false">IFERROR(VLOOKUP($A679,RA_result!$B$3:$N$62,11,0),"")</f>
        <v/>
      </c>
      <c r="I679" s="55" t="str">
        <f aca="false">IFERROR(VLOOKUP($A679,RA_result!$B$3:$N$62,12,0),"")</f>
        <v/>
      </c>
      <c r="J679" s="55" t="str">
        <f aca="false">IFERROR(VLOOKUP($A679,RA_result!$B$3:$N$62,13,0),"")</f>
        <v/>
      </c>
      <c r="K679" s="56"/>
      <c r="L679" s="56"/>
      <c r="M679" s="57" t="n">
        <f aca="false">G679</f>
        <v>0</v>
      </c>
      <c r="N679" s="54" t="n">
        <f aca="false">G679-M679</f>
        <v>0</v>
      </c>
      <c r="O679" s="55" t="str">
        <f aca="false">IFERROR(VLOOKUP($A679,RA_result!$B$3:$N$62,7,0),"")</f>
        <v/>
      </c>
      <c r="P679" s="52" t="str">
        <f aca="false">IFERROR(VLOOKUP($A679,RA_result!$B$3:$N$62,9,0),"")</f>
        <v/>
      </c>
      <c r="Q679" s="52" t="str">
        <f aca="false">IFERROR(VLOOKUP($A679,RA_result!$B$3:$N$62,10,0),"")</f>
        <v/>
      </c>
      <c r="R679" s="58" t="s">
        <v>55</v>
      </c>
      <c r="S679" s="59" t="str">
        <f aca="false">IFERROR(VLOOKUP($A679,RA_result!$B$3:$N$62,4,0),"")</f>
        <v/>
      </c>
      <c r="T679" s="60" t="s">
        <v>56</v>
      </c>
      <c r="U679" s="59" t="str">
        <f aca="false">IFERROR(IF(VLOOKUP($A679,RA_result!$B$3:$N$62,6,0)="",S679*T679,VLOOKUP($A679,RA_result!$B$3:$N$62,6,0)),"")</f>
        <v/>
      </c>
      <c r="V679" s="61" t="s">
        <v>56</v>
      </c>
      <c r="W679" s="62" t="n">
        <f aca="false">IFERROR((S679*30%)/V679,0)</f>
        <v>0</v>
      </c>
      <c r="X679" s="63" t="n">
        <f aca="false">IFERROR(N679/W679,0)</f>
        <v>0</v>
      </c>
      <c r="Y679" s="68"/>
      <c r="Z679" s="57"/>
      <c r="AA679" s="69" t="str">
        <f aca="false">IF(OR(U679="",Y679="",Z679=""),"",IF(AND(U679&gt;Y679,-U679&lt;Z679),"Ok","Not Ok"))</f>
        <v/>
      </c>
      <c r="AB679" s="70"/>
    </row>
    <row r="680" customFormat="false" ht="12.8" hidden="false" customHeight="false" outlineLevel="0" collapsed="false">
      <c r="A680" s="48" t="n">
        <f aca="false">TB_audited!A663</f>
        <v>0</v>
      </c>
      <c r="B680" s="49"/>
      <c r="C680" s="50"/>
      <c r="D680" s="51" t="n">
        <f aca="false">TB_audited!B663</f>
        <v>0</v>
      </c>
      <c r="E680" s="52" t="n">
        <f aca="false">TB_audited!C663</f>
        <v>0</v>
      </c>
      <c r="F680" s="53" t="n">
        <f aca="false">TB_audited!D663</f>
        <v>0</v>
      </c>
      <c r="G680" s="54" t="n">
        <f aca="false">IF($D$8="Interim",TB_audited!G663,TB_audited!E663)</f>
        <v>0</v>
      </c>
      <c r="H680" s="55" t="str">
        <f aca="false">IFERROR(VLOOKUP($A680,RA_result!$B$3:$N$62,11,0),"")</f>
        <v/>
      </c>
      <c r="I680" s="55" t="str">
        <f aca="false">IFERROR(VLOOKUP($A680,RA_result!$B$3:$N$62,12,0),"")</f>
        <v/>
      </c>
      <c r="J680" s="55" t="str">
        <f aca="false">IFERROR(VLOOKUP($A680,RA_result!$B$3:$N$62,13,0),"")</f>
        <v/>
      </c>
      <c r="K680" s="56"/>
      <c r="L680" s="56"/>
      <c r="M680" s="57" t="n">
        <f aca="false">G680</f>
        <v>0</v>
      </c>
      <c r="N680" s="54" t="n">
        <f aca="false">G680-M680</f>
        <v>0</v>
      </c>
      <c r="O680" s="55" t="str">
        <f aca="false">IFERROR(VLOOKUP($A680,RA_result!$B$3:$N$62,7,0),"")</f>
        <v/>
      </c>
      <c r="P680" s="52" t="str">
        <f aca="false">IFERROR(VLOOKUP($A680,RA_result!$B$3:$N$62,9,0),"")</f>
        <v/>
      </c>
      <c r="Q680" s="52" t="str">
        <f aca="false">IFERROR(VLOOKUP($A680,RA_result!$B$3:$N$62,10,0),"")</f>
        <v/>
      </c>
      <c r="R680" s="58" t="s">
        <v>55</v>
      </c>
      <c r="S680" s="59" t="str">
        <f aca="false">IFERROR(VLOOKUP($A680,RA_result!$B$3:$N$62,4,0),"")</f>
        <v/>
      </c>
      <c r="T680" s="60" t="s">
        <v>56</v>
      </c>
      <c r="U680" s="59" t="str">
        <f aca="false">IFERROR(IF(VLOOKUP($A680,RA_result!$B$3:$N$62,6,0)="",S680*T680,VLOOKUP($A680,RA_result!$B$3:$N$62,6,0)),"")</f>
        <v/>
      </c>
      <c r="V680" s="61" t="s">
        <v>56</v>
      </c>
      <c r="W680" s="62" t="n">
        <f aca="false">IFERROR((S680*30%)/V680,0)</f>
        <v>0</v>
      </c>
      <c r="X680" s="63" t="n">
        <f aca="false">IFERROR(N680/W680,0)</f>
        <v>0</v>
      </c>
      <c r="Y680" s="68"/>
      <c r="Z680" s="57"/>
      <c r="AA680" s="69" t="str">
        <f aca="false">IF(OR(U680="",Y680="",Z680=""),"",IF(AND(U680&gt;Y680,-U680&lt;Z680),"Ok","Not Ok"))</f>
        <v/>
      </c>
      <c r="AB680" s="70"/>
    </row>
    <row r="681" customFormat="false" ht="12.8" hidden="false" customHeight="false" outlineLevel="0" collapsed="false">
      <c r="A681" s="48" t="n">
        <f aca="false">TB_audited!A664</f>
        <v>0</v>
      </c>
      <c r="B681" s="49"/>
      <c r="C681" s="50"/>
      <c r="D681" s="51" t="n">
        <f aca="false">TB_audited!B664</f>
        <v>0</v>
      </c>
      <c r="E681" s="52" t="n">
        <f aca="false">TB_audited!C664</f>
        <v>0</v>
      </c>
      <c r="F681" s="53" t="n">
        <f aca="false">TB_audited!D664</f>
        <v>0</v>
      </c>
      <c r="G681" s="54" t="n">
        <f aca="false">IF($D$8="Interim",TB_audited!G664,TB_audited!E664)</f>
        <v>0</v>
      </c>
      <c r="H681" s="55" t="str">
        <f aca="false">IFERROR(VLOOKUP($A681,RA_result!$B$3:$N$62,11,0),"")</f>
        <v/>
      </c>
      <c r="I681" s="55" t="str">
        <f aca="false">IFERROR(VLOOKUP($A681,RA_result!$B$3:$N$62,12,0),"")</f>
        <v/>
      </c>
      <c r="J681" s="55" t="str">
        <f aca="false">IFERROR(VLOOKUP($A681,RA_result!$B$3:$N$62,13,0),"")</f>
        <v/>
      </c>
      <c r="K681" s="56"/>
      <c r="L681" s="56"/>
      <c r="M681" s="57" t="n">
        <f aca="false">G681</f>
        <v>0</v>
      </c>
      <c r="N681" s="54" t="n">
        <f aca="false">G681-M681</f>
        <v>0</v>
      </c>
      <c r="O681" s="55" t="str">
        <f aca="false">IFERROR(VLOOKUP($A681,RA_result!$B$3:$N$62,7,0),"")</f>
        <v/>
      </c>
      <c r="P681" s="52" t="str">
        <f aca="false">IFERROR(VLOOKUP($A681,RA_result!$B$3:$N$62,9,0),"")</f>
        <v/>
      </c>
      <c r="Q681" s="52" t="str">
        <f aca="false">IFERROR(VLOOKUP($A681,RA_result!$B$3:$N$62,10,0),"")</f>
        <v/>
      </c>
      <c r="R681" s="58" t="s">
        <v>55</v>
      </c>
      <c r="S681" s="59" t="str">
        <f aca="false">IFERROR(VLOOKUP($A681,RA_result!$B$3:$N$62,4,0),"")</f>
        <v/>
      </c>
      <c r="T681" s="60" t="s">
        <v>56</v>
      </c>
      <c r="U681" s="59" t="str">
        <f aca="false">IFERROR(IF(VLOOKUP($A681,RA_result!$B$3:$N$62,6,0)="",S681*T681,VLOOKUP($A681,RA_result!$B$3:$N$62,6,0)),"")</f>
        <v/>
      </c>
      <c r="V681" s="61" t="s">
        <v>56</v>
      </c>
      <c r="W681" s="62" t="n">
        <f aca="false">IFERROR((S681*30%)/V681,0)</f>
        <v>0</v>
      </c>
      <c r="X681" s="63" t="n">
        <f aca="false">IFERROR(N681/W681,0)</f>
        <v>0</v>
      </c>
      <c r="Y681" s="68"/>
      <c r="Z681" s="57"/>
      <c r="AA681" s="69" t="str">
        <f aca="false">IF(OR(U681="",Y681="",Z681=""),"",IF(AND(U681&gt;Y681,-U681&lt;Z681),"Ok","Not Ok"))</f>
        <v/>
      </c>
      <c r="AB681" s="70"/>
    </row>
    <row r="682" customFormat="false" ht="12.8" hidden="false" customHeight="false" outlineLevel="0" collapsed="false">
      <c r="A682" s="48" t="n">
        <f aca="false">TB_audited!A665</f>
        <v>0</v>
      </c>
      <c r="B682" s="49"/>
      <c r="C682" s="50"/>
      <c r="D682" s="51" t="n">
        <f aca="false">TB_audited!B665</f>
        <v>0</v>
      </c>
      <c r="E682" s="52" t="n">
        <f aca="false">TB_audited!C665</f>
        <v>0</v>
      </c>
      <c r="F682" s="53" t="n">
        <f aca="false">TB_audited!D665</f>
        <v>0</v>
      </c>
      <c r="G682" s="54" t="n">
        <f aca="false">IF($D$8="Interim",TB_audited!G665,TB_audited!E665)</f>
        <v>0</v>
      </c>
      <c r="H682" s="55" t="str">
        <f aca="false">IFERROR(VLOOKUP($A682,RA_result!$B$3:$N$62,11,0),"")</f>
        <v/>
      </c>
      <c r="I682" s="55" t="str">
        <f aca="false">IFERROR(VLOOKUP($A682,RA_result!$B$3:$N$62,12,0),"")</f>
        <v/>
      </c>
      <c r="J682" s="55" t="str">
        <f aca="false">IFERROR(VLOOKUP($A682,RA_result!$B$3:$N$62,13,0),"")</f>
        <v/>
      </c>
      <c r="K682" s="56"/>
      <c r="L682" s="56"/>
      <c r="M682" s="57" t="n">
        <f aca="false">G682</f>
        <v>0</v>
      </c>
      <c r="N682" s="54" t="n">
        <f aca="false">G682-M682</f>
        <v>0</v>
      </c>
      <c r="O682" s="55" t="str">
        <f aca="false">IFERROR(VLOOKUP($A682,RA_result!$B$3:$N$62,7,0),"")</f>
        <v/>
      </c>
      <c r="P682" s="52" t="str">
        <f aca="false">IFERROR(VLOOKUP($A682,RA_result!$B$3:$N$62,9,0),"")</f>
        <v/>
      </c>
      <c r="Q682" s="52" t="str">
        <f aca="false">IFERROR(VLOOKUP($A682,RA_result!$B$3:$N$62,10,0),"")</f>
        <v/>
      </c>
      <c r="R682" s="58" t="s">
        <v>55</v>
      </c>
      <c r="S682" s="59" t="str">
        <f aca="false">IFERROR(VLOOKUP($A682,RA_result!$B$3:$N$62,4,0),"")</f>
        <v/>
      </c>
      <c r="T682" s="60" t="s">
        <v>56</v>
      </c>
      <c r="U682" s="59" t="str">
        <f aca="false">IFERROR(IF(VLOOKUP($A682,RA_result!$B$3:$N$62,6,0)="",S682*T682,VLOOKUP($A682,RA_result!$B$3:$N$62,6,0)),"")</f>
        <v/>
      </c>
      <c r="V682" s="61" t="s">
        <v>56</v>
      </c>
      <c r="W682" s="62" t="n">
        <f aca="false">IFERROR((S682*30%)/V682,0)</f>
        <v>0</v>
      </c>
      <c r="X682" s="63" t="n">
        <f aca="false">IFERROR(N682/W682,0)</f>
        <v>0</v>
      </c>
      <c r="Y682" s="68"/>
      <c r="Z682" s="57"/>
      <c r="AA682" s="69" t="str">
        <f aca="false">IF(OR(U682="",Y682="",Z682=""),"",IF(AND(U682&gt;Y682,-U682&lt;Z682),"Ok","Not Ok"))</f>
        <v/>
      </c>
      <c r="AB682" s="70"/>
    </row>
    <row r="683" customFormat="false" ht="12.8" hidden="false" customHeight="false" outlineLevel="0" collapsed="false">
      <c r="A683" s="48" t="n">
        <f aca="false">TB_audited!A666</f>
        <v>0</v>
      </c>
      <c r="B683" s="49"/>
      <c r="C683" s="50"/>
      <c r="D683" s="51" t="n">
        <f aca="false">TB_audited!B666</f>
        <v>0</v>
      </c>
      <c r="E683" s="52" t="n">
        <f aca="false">TB_audited!C666</f>
        <v>0</v>
      </c>
      <c r="F683" s="53" t="n">
        <f aca="false">TB_audited!D666</f>
        <v>0</v>
      </c>
      <c r="G683" s="54" t="n">
        <f aca="false">IF($D$8="Interim",TB_audited!G666,TB_audited!E666)</f>
        <v>0</v>
      </c>
      <c r="H683" s="55" t="str">
        <f aca="false">IFERROR(VLOOKUP($A683,RA_result!$B$3:$N$62,11,0),"")</f>
        <v/>
      </c>
      <c r="I683" s="55" t="str">
        <f aca="false">IFERROR(VLOOKUP($A683,RA_result!$B$3:$N$62,12,0),"")</f>
        <v/>
      </c>
      <c r="J683" s="55" t="str">
        <f aca="false">IFERROR(VLOOKUP($A683,RA_result!$B$3:$N$62,13,0),"")</f>
        <v/>
      </c>
      <c r="K683" s="56"/>
      <c r="L683" s="56"/>
      <c r="M683" s="57" t="n">
        <f aca="false">G683</f>
        <v>0</v>
      </c>
      <c r="N683" s="54" t="n">
        <f aca="false">G683-M683</f>
        <v>0</v>
      </c>
      <c r="O683" s="55" t="str">
        <f aca="false">IFERROR(VLOOKUP($A683,RA_result!$B$3:$N$62,7,0),"")</f>
        <v/>
      </c>
      <c r="P683" s="52" t="str">
        <f aca="false">IFERROR(VLOOKUP($A683,RA_result!$B$3:$N$62,9,0),"")</f>
        <v/>
      </c>
      <c r="Q683" s="52" t="str">
        <f aca="false">IFERROR(VLOOKUP($A683,RA_result!$B$3:$N$62,10,0),"")</f>
        <v/>
      </c>
      <c r="R683" s="58" t="s">
        <v>55</v>
      </c>
      <c r="S683" s="59" t="str">
        <f aca="false">IFERROR(VLOOKUP($A683,RA_result!$B$3:$N$62,4,0),"")</f>
        <v/>
      </c>
      <c r="T683" s="60" t="s">
        <v>56</v>
      </c>
      <c r="U683" s="59" t="str">
        <f aca="false">IFERROR(IF(VLOOKUP($A683,RA_result!$B$3:$N$62,6,0)="",S683*T683,VLOOKUP($A683,RA_result!$B$3:$N$62,6,0)),"")</f>
        <v/>
      </c>
      <c r="V683" s="61" t="s">
        <v>56</v>
      </c>
      <c r="W683" s="62" t="n">
        <f aca="false">IFERROR((S683*30%)/V683,0)</f>
        <v>0</v>
      </c>
      <c r="X683" s="63" t="n">
        <f aca="false">IFERROR(N683/W683,0)</f>
        <v>0</v>
      </c>
      <c r="Y683" s="68"/>
      <c r="Z683" s="57"/>
      <c r="AA683" s="69" t="str">
        <f aca="false">IF(OR(U683="",Y683="",Z683=""),"",IF(AND(U683&gt;Y683,-U683&lt;Z683),"Ok","Not Ok"))</f>
        <v/>
      </c>
      <c r="AB683" s="70"/>
    </row>
    <row r="684" customFormat="false" ht="12.8" hidden="false" customHeight="false" outlineLevel="0" collapsed="false">
      <c r="A684" s="48" t="n">
        <f aca="false">TB_audited!A667</f>
        <v>0</v>
      </c>
      <c r="B684" s="49"/>
      <c r="C684" s="50"/>
      <c r="D684" s="51" t="n">
        <f aca="false">TB_audited!B667</f>
        <v>0</v>
      </c>
      <c r="E684" s="52" t="n">
        <f aca="false">TB_audited!C667</f>
        <v>0</v>
      </c>
      <c r="F684" s="53" t="n">
        <f aca="false">TB_audited!D667</f>
        <v>0</v>
      </c>
      <c r="G684" s="54" t="n">
        <f aca="false">IF($D$8="Interim",TB_audited!G667,TB_audited!E667)</f>
        <v>0</v>
      </c>
      <c r="H684" s="55" t="str">
        <f aca="false">IFERROR(VLOOKUP($A684,RA_result!$B$3:$N$62,11,0),"")</f>
        <v/>
      </c>
      <c r="I684" s="55" t="str">
        <f aca="false">IFERROR(VLOOKUP($A684,RA_result!$B$3:$N$62,12,0),"")</f>
        <v/>
      </c>
      <c r="J684" s="55" t="str">
        <f aca="false">IFERROR(VLOOKUP($A684,RA_result!$B$3:$N$62,13,0),"")</f>
        <v/>
      </c>
      <c r="K684" s="56"/>
      <c r="L684" s="56"/>
      <c r="M684" s="57" t="n">
        <f aca="false">G684</f>
        <v>0</v>
      </c>
      <c r="N684" s="54" t="n">
        <f aca="false">G684-M684</f>
        <v>0</v>
      </c>
      <c r="O684" s="55" t="str">
        <f aca="false">IFERROR(VLOOKUP($A684,RA_result!$B$3:$N$62,7,0),"")</f>
        <v/>
      </c>
      <c r="P684" s="52" t="str">
        <f aca="false">IFERROR(VLOOKUP($A684,RA_result!$B$3:$N$62,9,0),"")</f>
        <v/>
      </c>
      <c r="Q684" s="52" t="str">
        <f aca="false">IFERROR(VLOOKUP($A684,RA_result!$B$3:$N$62,10,0),"")</f>
        <v/>
      </c>
      <c r="R684" s="58" t="s">
        <v>55</v>
      </c>
      <c r="S684" s="59" t="str">
        <f aca="false">IFERROR(VLOOKUP($A684,RA_result!$B$3:$N$62,4,0),"")</f>
        <v/>
      </c>
      <c r="T684" s="60" t="s">
        <v>56</v>
      </c>
      <c r="U684" s="59" t="str">
        <f aca="false">IFERROR(IF(VLOOKUP($A684,RA_result!$B$3:$N$62,6,0)="",S684*T684,VLOOKUP($A684,RA_result!$B$3:$N$62,6,0)),"")</f>
        <v/>
      </c>
      <c r="V684" s="61" t="s">
        <v>56</v>
      </c>
      <c r="W684" s="62" t="n">
        <f aca="false">IFERROR((S684*30%)/V684,0)</f>
        <v>0</v>
      </c>
      <c r="X684" s="63" t="n">
        <f aca="false">IFERROR(N684/W684,0)</f>
        <v>0</v>
      </c>
      <c r="Y684" s="68"/>
      <c r="Z684" s="57"/>
      <c r="AA684" s="69" t="str">
        <f aca="false">IF(OR(U684="",Y684="",Z684=""),"",IF(AND(U684&gt;Y684,-U684&lt;Z684),"Ok","Not Ok"))</f>
        <v/>
      </c>
      <c r="AB684" s="70"/>
    </row>
    <row r="685" customFormat="false" ht="12.8" hidden="false" customHeight="false" outlineLevel="0" collapsed="false">
      <c r="A685" s="48" t="n">
        <f aca="false">TB_audited!A668</f>
        <v>0</v>
      </c>
      <c r="B685" s="49"/>
      <c r="C685" s="50"/>
      <c r="D685" s="51" t="n">
        <f aca="false">TB_audited!B668</f>
        <v>0</v>
      </c>
      <c r="E685" s="52" t="n">
        <f aca="false">TB_audited!C668</f>
        <v>0</v>
      </c>
      <c r="F685" s="53" t="n">
        <f aca="false">TB_audited!D668</f>
        <v>0</v>
      </c>
      <c r="G685" s="54" t="n">
        <f aca="false">IF($D$8="Interim",TB_audited!G668,TB_audited!E668)</f>
        <v>0</v>
      </c>
      <c r="H685" s="55" t="str">
        <f aca="false">IFERROR(VLOOKUP($A685,RA_result!$B$3:$N$62,11,0),"")</f>
        <v/>
      </c>
      <c r="I685" s="55" t="str">
        <f aca="false">IFERROR(VLOOKUP($A685,RA_result!$B$3:$N$62,12,0),"")</f>
        <v/>
      </c>
      <c r="J685" s="55" t="str">
        <f aca="false">IFERROR(VLOOKUP($A685,RA_result!$B$3:$N$62,13,0),"")</f>
        <v/>
      </c>
      <c r="K685" s="56"/>
      <c r="L685" s="56"/>
      <c r="M685" s="57" t="n">
        <f aca="false">G685</f>
        <v>0</v>
      </c>
      <c r="N685" s="54" t="n">
        <f aca="false">G685-M685</f>
        <v>0</v>
      </c>
      <c r="O685" s="55" t="str">
        <f aca="false">IFERROR(VLOOKUP($A685,RA_result!$B$3:$N$62,7,0),"")</f>
        <v/>
      </c>
      <c r="P685" s="52" t="str">
        <f aca="false">IFERROR(VLOOKUP($A685,RA_result!$B$3:$N$62,9,0),"")</f>
        <v/>
      </c>
      <c r="Q685" s="52" t="str">
        <f aca="false">IFERROR(VLOOKUP($A685,RA_result!$B$3:$N$62,10,0),"")</f>
        <v/>
      </c>
      <c r="R685" s="58" t="s">
        <v>55</v>
      </c>
      <c r="S685" s="59" t="str">
        <f aca="false">IFERROR(VLOOKUP($A685,RA_result!$B$3:$N$62,4,0),"")</f>
        <v/>
      </c>
      <c r="T685" s="60" t="s">
        <v>56</v>
      </c>
      <c r="U685" s="59" t="str">
        <f aca="false">IFERROR(IF(VLOOKUP($A685,RA_result!$B$3:$N$62,6,0)="",S685*T685,VLOOKUP($A685,RA_result!$B$3:$N$62,6,0)),"")</f>
        <v/>
      </c>
      <c r="V685" s="61" t="s">
        <v>56</v>
      </c>
      <c r="W685" s="62" t="n">
        <f aca="false">IFERROR((S685*30%)/V685,0)</f>
        <v>0</v>
      </c>
      <c r="X685" s="63" t="n">
        <f aca="false">IFERROR(N685/W685,0)</f>
        <v>0</v>
      </c>
      <c r="Y685" s="68"/>
      <c r="Z685" s="57"/>
      <c r="AA685" s="69" t="str">
        <f aca="false">IF(OR(U685="",Y685="",Z685=""),"",IF(AND(U685&gt;Y685,-U685&lt;Z685),"Ok","Not Ok"))</f>
        <v/>
      </c>
      <c r="AB685" s="70"/>
    </row>
    <row r="686" customFormat="false" ht="12.8" hidden="false" customHeight="false" outlineLevel="0" collapsed="false">
      <c r="A686" s="48" t="n">
        <f aca="false">TB_audited!A669</f>
        <v>0</v>
      </c>
      <c r="B686" s="49"/>
      <c r="C686" s="50"/>
      <c r="D686" s="51" t="n">
        <f aca="false">TB_audited!B669</f>
        <v>0</v>
      </c>
      <c r="E686" s="52" t="n">
        <f aca="false">TB_audited!C669</f>
        <v>0</v>
      </c>
      <c r="F686" s="53" t="n">
        <f aca="false">TB_audited!D669</f>
        <v>0</v>
      </c>
      <c r="G686" s="54" t="n">
        <f aca="false">IF($D$8="Interim",TB_audited!G669,TB_audited!E669)</f>
        <v>0</v>
      </c>
      <c r="H686" s="55" t="str">
        <f aca="false">IFERROR(VLOOKUP($A686,RA_result!$B$3:$N$62,11,0),"")</f>
        <v/>
      </c>
      <c r="I686" s="55" t="str">
        <f aca="false">IFERROR(VLOOKUP($A686,RA_result!$B$3:$N$62,12,0),"")</f>
        <v/>
      </c>
      <c r="J686" s="55" t="str">
        <f aca="false">IFERROR(VLOOKUP($A686,RA_result!$B$3:$N$62,13,0),"")</f>
        <v/>
      </c>
      <c r="K686" s="56"/>
      <c r="L686" s="56"/>
      <c r="M686" s="57" t="n">
        <f aca="false">G686</f>
        <v>0</v>
      </c>
      <c r="N686" s="54" t="n">
        <f aca="false">G686-M686</f>
        <v>0</v>
      </c>
      <c r="O686" s="55" t="str">
        <f aca="false">IFERROR(VLOOKUP($A686,RA_result!$B$3:$N$62,7,0),"")</f>
        <v/>
      </c>
      <c r="P686" s="52" t="str">
        <f aca="false">IFERROR(VLOOKUP($A686,RA_result!$B$3:$N$62,9,0),"")</f>
        <v/>
      </c>
      <c r="Q686" s="52" t="str">
        <f aca="false">IFERROR(VLOOKUP($A686,RA_result!$B$3:$N$62,10,0),"")</f>
        <v/>
      </c>
      <c r="R686" s="58" t="s">
        <v>55</v>
      </c>
      <c r="S686" s="59" t="str">
        <f aca="false">IFERROR(VLOOKUP($A686,RA_result!$B$3:$N$62,4,0),"")</f>
        <v/>
      </c>
      <c r="T686" s="60" t="s">
        <v>56</v>
      </c>
      <c r="U686" s="59" t="str">
        <f aca="false">IFERROR(IF(VLOOKUP($A686,RA_result!$B$3:$N$62,6,0)="",S686*T686,VLOOKUP($A686,RA_result!$B$3:$N$62,6,0)),"")</f>
        <v/>
      </c>
      <c r="V686" s="61" t="s">
        <v>56</v>
      </c>
      <c r="W686" s="62" t="n">
        <f aca="false">IFERROR((S686*30%)/V686,0)</f>
        <v>0</v>
      </c>
      <c r="X686" s="63" t="n">
        <f aca="false">IFERROR(N686/W686,0)</f>
        <v>0</v>
      </c>
      <c r="Y686" s="68"/>
      <c r="Z686" s="57"/>
      <c r="AA686" s="69" t="str">
        <f aca="false">IF(OR(U686="",Y686="",Z686=""),"",IF(AND(U686&gt;Y686,-U686&lt;Z686),"Ok","Not Ok"))</f>
        <v/>
      </c>
      <c r="AB686" s="70"/>
    </row>
    <row r="687" customFormat="false" ht="12.8" hidden="false" customHeight="false" outlineLevel="0" collapsed="false">
      <c r="A687" s="48" t="n">
        <f aca="false">TB_audited!A670</f>
        <v>0</v>
      </c>
      <c r="B687" s="49"/>
      <c r="C687" s="50"/>
      <c r="D687" s="51" t="n">
        <f aca="false">TB_audited!B670</f>
        <v>0</v>
      </c>
      <c r="E687" s="52" t="n">
        <f aca="false">TB_audited!C670</f>
        <v>0</v>
      </c>
      <c r="F687" s="53" t="n">
        <f aca="false">TB_audited!D670</f>
        <v>0</v>
      </c>
      <c r="G687" s="54" t="n">
        <f aca="false">IF($D$8="Interim",TB_audited!G670,TB_audited!E670)</f>
        <v>0</v>
      </c>
      <c r="H687" s="55" t="str">
        <f aca="false">IFERROR(VLOOKUP($A687,RA_result!$B$3:$N$62,11,0),"")</f>
        <v/>
      </c>
      <c r="I687" s="55" t="str">
        <f aca="false">IFERROR(VLOOKUP($A687,RA_result!$B$3:$N$62,12,0),"")</f>
        <v/>
      </c>
      <c r="J687" s="55" t="str">
        <f aca="false">IFERROR(VLOOKUP($A687,RA_result!$B$3:$N$62,13,0),"")</f>
        <v/>
      </c>
      <c r="K687" s="56"/>
      <c r="L687" s="56"/>
      <c r="M687" s="57" t="n">
        <f aca="false">G687</f>
        <v>0</v>
      </c>
      <c r="N687" s="54" t="n">
        <f aca="false">G687-M687</f>
        <v>0</v>
      </c>
      <c r="O687" s="55" t="str">
        <f aca="false">IFERROR(VLOOKUP($A687,RA_result!$B$3:$N$62,7,0),"")</f>
        <v/>
      </c>
      <c r="P687" s="52" t="str">
        <f aca="false">IFERROR(VLOOKUP($A687,RA_result!$B$3:$N$62,9,0),"")</f>
        <v/>
      </c>
      <c r="Q687" s="52" t="str">
        <f aca="false">IFERROR(VLOOKUP($A687,RA_result!$B$3:$N$62,10,0),"")</f>
        <v/>
      </c>
      <c r="R687" s="58" t="s">
        <v>55</v>
      </c>
      <c r="S687" s="59" t="str">
        <f aca="false">IFERROR(VLOOKUP($A687,RA_result!$B$3:$N$62,4,0),"")</f>
        <v/>
      </c>
      <c r="T687" s="60" t="s">
        <v>56</v>
      </c>
      <c r="U687" s="59" t="str">
        <f aca="false">IFERROR(IF(VLOOKUP($A687,RA_result!$B$3:$N$62,6,0)="",S687*T687,VLOOKUP($A687,RA_result!$B$3:$N$62,6,0)),"")</f>
        <v/>
      </c>
      <c r="V687" s="61" t="s">
        <v>56</v>
      </c>
      <c r="W687" s="62" t="n">
        <f aca="false">IFERROR((S687*30%)/V687,0)</f>
        <v>0</v>
      </c>
      <c r="X687" s="63" t="n">
        <f aca="false">IFERROR(N687/W687,0)</f>
        <v>0</v>
      </c>
      <c r="Y687" s="68"/>
      <c r="Z687" s="57"/>
      <c r="AA687" s="69" t="str">
        <f aca="false">IF(OR(U687="",Y687="",Z687=""),"",IF(AND(U687&gt;Y687,-U687&lt;Z687),"Ok","Not Ok"))</f>
        <v/>
      </c>
      <c r="AB687" s="70"/>
    </row>
    <row r="688" customFormat="false" ht="12.8" hidden="false" customHeight="false" outlineLevel="0" collapsed="false">
      <c r="A688" s="48" t="n">
        <f aca="false">TB_audited!A671</f>
        <v>0</v>
      </c>
      <c r="B688" s="49"/>
      <c r="C688" s="50"/>
      <c r="D688" s="51" t="n">
        <f aca="false">TB_audited!B671</f>
        <v>0</v>
      </c>
      <c r="E688" s="52" t="n">
        <f aca="false">TB_audited!C671</f>
        <v>0</v>
      </c>
      <c r="F688" s="53" t="n">
        <f aca="false">TB_audited!D671</f>
        <v>0</v>
      </c>
      <c r="G688" s="54" t="n">
        <f aca="false">IF($D$8="Interim",TB_audited!G671,TB_audited!E671)</f>
        <v>0</v>
      </c>
      <c r="H688" s="55" t="str">
        <f aca="false">IFERROR(VLOOKUP($A688,RA_result!$B$3:$N$62,11,0),"")</f>
        <v/>
      </c>
      <c r="I688" s="55" t="str">
        <f aca="false">IFERROR(VLOOKUP($A688,RA_result!$B$3:$N$62,12,0),"")</f>
        <v/>
      </c>
      <c r="J688" s="55" t="str">
        <f aca="false">IFERROR(VLOOKUP($A688,RA_result!$B$3:$N$62,13,0),"")</f>
        <v/>
      </c>
      <c r="K688" s="56"/>
      <c r="L688" s="56"/>
      <c r="M688" s="57" t="n">
        <f aca="false">G688</f>
        <v>0</v>
      </c>
      <c r="N688" s="54" t="n">
        <f aca="false">G688-M688</f>
        <v>0</v>
      </c>
      <c r="O688" s="55" t="str">
        <f aca="false">IFERROR(VLOOKUP($A688,RA_result!$B$3:$N$62,7,0),"")</f>
        <v/>
      </c>
      <c r="P688" s="52" t="str">
        <f aca="false">IFERROR(VLOOKUP($A688,RA_result!$B$3:$N$62,9,0),"")</f>
        <v/>
      </c>
      <c r="Q688" s="52" t="str">
        <f aca="false">IFERROR(VLOOKUP($A688,RA_result!$B$3:$N$62,10,0),"")</f>
        <v/>
      </c>
      <c r="R688" s="58" t="s">
        <v>55</v>
      </c>
      <c r="S688" s="59" t="str">
        <f aca="false">IFERROR(VLOOKUP($A688,RA_result!$B$3:$N$62,4,0),"")</f>
        <v/>
      </c>
      <c r="T688" s="60" t="s">
        <v>56</v>
      </c>
      <c r="U688" s="59" t="str">
        <f aca="false">IFERROR(IF(VLOOKUP($A688,RA_result!$B$3:$N$62,6,0)="",S688*T688,VLOOKUP($A688,RA_result!$B$3:$N$62,6,0)),"")</f>
        <v/>
      </c>
      <c r="V688" s="61" t="s">
        <v>56</v>
      </c>
      <c r="W688" s="62" t="n">
        <f aca="false">IFERROR((S688*30%)/V688,0)</f>
        <v>0</v>
      </c>
      <c r="X688" s="63" t="n">
        <f aca="false">IFERROR(N688/W688,0)</f>
        <v>0</v>
      </c>
      <c r="Y688" s="68"/>
      <c r="Z688" s="57"/>
      <c r="AA688" s="69" t="str">
        <f aca="false">IF(OR(U688="",Y688="",Z688=""),"",IF(AND(U688&gt;Y688,-U688&lt;Z688),"Ok","Not Ok"))</f>
        <v/>
      </c>
      <c r="AB688" s="70"/>
    </row>
    <row r="689" customFormat="false" ht="12.8" hidden="false" customHeight="false" outlineLevel="0" collapsed="false">
      <c r="A689" s="48" t="n">
        <f aca="false">TB_audited!A672</f>
        <v>0</v>
      </c>
      <c r="B689" s="49"/>
      <c r="C689" s="50"/>
      <c r="D689" s="51" t="n">
        <f aca="false">TB_audited!B672</f>
        <v>0</v>
      </c>
      <c r="E689" s="52" t="n">
        <f aca="false">TB_audited!C672</f>
        <v>0</v>
      </c>
      <c r="F689" s="53" t="n">
        <f aca="false">TB_audited!D672</f>
        <v>0</v>
      </c>
      <c r="G689" s="54" t="n">
        <f aca="false">IF($D$8="Interim",TB_audited!G672,TB_audited!E672)</f>
        <v>0</v>
      </c>
      <c r="H689" s="55" t="str">
        <f aca="false">IFERROR(VLOOKUP($A689,RA_result!$B$3:$N$62,11,0),"")</f>
        <v/>
      </c>
      <c r="I689" s="55" t="str">
        <f aca="false">IFERROR(VLOOKUP($A689,RA_result!$B$3:$N$62,12,0),"")</f>
        <v/>
      </c>
      <c r="J689" s="55" t="str">
        <f aca="false">IFERROR(VLOOKUP($A689,RA_result!$B$3:$N$62,13,0),"")</f>
        <v/>
      </c>
      <c r="K689" s="56"/>
      <c r="L689" s="56"/>
      <c r="M689" s="57" t="n">
        <f aca="false">G689</f>
        <v>0</v>
      </c>
      <c r="N689" s="54" t="n">
        <f aca="false">G689-M689</f>
        <v>0</v>
      </c>
      <c r="O689" s="55" t="str">
        <f aca="false">IFERROR(VLOOKUP($A689,RA_result!$B$3:$N$62,7,0),"")</f>
        <v/>
      </c>
      <c r="P689" s="52" t="str">
        <f aca="false">IFERROR(VLOOKUP($A689,RA_result!$B$3:$N$62,9,0),"")</f>
        <v/>
      </c>
      <c r="Q689" s="52" t="str">
        <f aca="false">IFERROR(VLOOKUP($A689,RA_result!$B$3:$N$62,10,0),"")</f>
        <v/>
      </c>
      <c r="R689" s="58" t="s">
        <v>55</v>
      </c>
      <c r="S689" s="59" t="str">
        <f aca="false">IFERROR(VLOOKUP($A689,RA_result!$B$3:$N$62,4,0),"")</f>
        <v/>
      </c>
      <c r="T689" s="60" t="s">
        <v>56</v>
      </c>
      <c r="U689" s="59" t="str">
        <f aca="false">IFERROR(IF(VLOOKUP($A689,RA_result!$B$3:$N$62,6,0)="",S689*T689,VLOOKUP($A689,RA_result!$B$3:$N$62,6,0)),"")</f>
        <v/>
      </c>
      <c r="V689" s="61" t="s">
        <v>56</v>
      </c>
      <c r="W689" s="62" t="n">
        <f aca="false">IFERROR((S689*30%)/V689,0)</f>
        <v>0</v>
      </c>
      <c r="X689" s="63" t="n">
        <f aca="false">IFERROR(N689/W689,0)</f>
        <v>0</v>
      </c>
      <c r="Y689" s="68"/>
      <c r="Z689" s="57"/>
      <c r="AA689" s="69" t="str">
        <f aca="false">IF(OR(U689="",Y689="",Z689=""),"",IF(AND(U689&gt;Y689,-U689&lt;Z689),"Ok","Not Ok"))</f>
        <v/>
      </c>
      <c r="AB689" s="70"/>
    </row>
    <row r="690" customFormat="false" ht="12.8" hidden="false" customHeight="false" outlineLevel="0" collapsed="false">
      <c r="A690" s="48" t="n">
        <f aca="false">TB_audited!A673</f>
        <v>0</v>
      </c>
      <c r="B690" s="49"/>
      <c r="C690" s="50"/>
      <c r="D690" s="51" t="n">
        <f aca="false">TB_audited!B673</f>
        <v>0</v>
      </c>
      <c r="E690" s="52" t="n">
        <f aca="false">TB_audited!C673</f>
        <v>0</v>
      </c>
      <c r="F690" s="53" t="n">
        <f aca="false">TB_audited!D673</f>
        <v>0</v>
      </c>
      <c r="G690" s="54" t="n">
        <f aca="false">IF($D$8="Interim",TB_audited!G673,TB_audited!E673)</f>
        <v>0</v>
      </c>
      <c r="H690" s="55" t="str">
        <f aca="false">IFERROR(VLOOKUP($A690,RA_result!$B$3:$N$62,11,0),"")</f>
        <v/>
      </c>
      <c r="I690" s="55" t="str">
        <f aca="false">IFERROR(VLOOKUP($A690,RA_result!$B$3:$N$62,12,0),"")</f>
        <v/>
      </c>
      <c r="J690" s="55" t="str">
        <f aca="false">IFERROR(VLOOKUP($A690,RA_result!$B$3:$N$62,13,0),"")</f>
        <v/>
      </c>
      <c r="K690" s="56"/>
      <c r="L690" s="56"/>
      <c r="M690" s="57" t="n">
        <f aca="false">G690</f>
        <v>0</v>
      </c>
      <c r="N690" s="54" t="n">
        <f aca="false">G690-M690</f>
        <v>0</v>
      </c>
      <c r="O690" s="55" t="str">
        <f aca="false">IFERROR(VLOOKUP($A690,RA_result!$B$3:$N$62,7,0),"")</f>
        <v/>
      </c>
      <c r="P690" s="52" t="str">
        <f aca="false">IFERROR(VLOOKUP($A690,RA_result!$B$3:$N$62,9,0),"")</f>
        <v/>
      </c>
      <c r="Q690" s="52" t="str">
        <f aca="false">IFERROR(VLOOKUP($A690,RA_result!$B$3:$N$62,10,0),"")</f>
        <v/>
      </c>
      <c r="R690" s="58" t="s">
        <v>55</v>
      </c>
      <c r="S690" s="59" t="str">
        <f aca="false">IFERROR(VLOOKUP($A690,RA_result!$B$3:$N$62,4,0),"")</f>
        <v/>
      </c>
      <c r="T690" s="60" t="s">
        <v>56</v>
      </c>
      <c r="U690" s="59" t="str">
        <f aca="false">IFERROR(IF(VLOOKUP($A690,RA_result!$B$3:$N$62,6,0)="",S690*T690,VLOOKUP($A690,RA_result!$B$3:$N$62,6,0)),"")</f>
        <v/>
      </c>
      <c r="V690" s="61" t="s">
        <v>56</v>
      </c>
      <c r="W690" s="62" t="n">
        <f aca="false">IFERROR((S690*30%)/V690,0)</f>
        <v>0</v>
      </c>
      <c r="X690" s="63" t="n">
        <f aca="false">IFERROR(N690/W690,0)</f>
        <v>0</v>
      </c>
      <c r="Y690" s="68"/>
      <c r="Z690" s="57"/>
      <c r="AA690" s="69" t="str">
        <f aca="false">IF(OR(U690="",Y690="",Z690=""),"",IF(AND(U690&gt;Y690,-U690&lt;Z690),"Ok","Not Ok"))</f>
        <v/>
      </c>
      <c r="AB690" s="70"/>
    </row>
    <row r="691" customFormat="false" ht="12.8" hidden="false" customHeight="false" outlineLevel="0" collapsed="false">
      <c r="A691" s="48" t="n">
        <f aca="false">TB_audited!A674</f>
        <v>0</v>
      </c>
      <c r="B691" s="49"/>
      <c r="C691" s="50"/>
      <c r="D691" s="51" t="n">
        <f aca="false">TB_audited!B674</f>
        <v>0</v>
      </c>
      <c r="E691" s="52" t="n">
        <f aca="false">TB_audited!C674</f>
        <v>0</v>
      </c>
      <c r="F691" s="53" t="n">
        <f aca="false">TB_audited!D674</f>
        <v>0</v>
      </c>
      <c r="G691" s="54" t="n">
        <f aca="false">IF($D$8="Interim",TB_audited!G674,TB_audited!E674)</f>
        <v>0</v>
      </c>
      <c r="H691" s="55" t="str">
        <f aca="false">IFERROR(VLOOKUP($A691,RA_result!$B$3:$N$62,11,0),"")</f>
        <v/>
      </c>
      <c r="I691" s="55" t="str">
        <f aca="false">IFERROR(VLOOKUP($A691,RA_result!$B$3:$N$62,12,0),"")</f>
        <v/>
      </c>
      <c r="J691" s="55" t="str">
        <f aca="false">IFERROR(VLOOKUP($A691,RA_result!$B$3:$N$62,13,0),"")</f>
        <v/>
      </c>
      <c r="K691" s="56"/>
      <c r="L691" s="56"/>
      <c r="M691" s="57" t="n">
        <f aca="false">G691</f>
        <v>0</v>
      </c>
      <c r="N691" s="54" t="n">
        <f aca="false">G691-M691</f>
        <v>0</v>
      </c>
      <c r="O691" s="55" t="str">
        <f aca="false">IFERROR(VLOOKUP($A691,RA_result!$B$3:$N$62,7,0),"")</f>
        <v/>
      </c>
      <c r="P691" s="52" t="str">
        <f aca="false">IFERROR(VLOOKUP($A691,RA_result!$B$3:$N$62,9,0),"")</f>
        <v/>
      </c>
      <c r="Q691" s="52" t="str">
        <f aca="false">IFERROR(VLOOKUP($A691,RA_result!$B$3:$N$62,10,0),"")</f>
        <v/>
      </c>
      <c r="R691" s="58" t="s">
        <v>55</v>
      </c>
      <c r="S691" s="59" t="str">
        <f aca="false">IFERROR(VLOOKUP($A691,RA_result!$B$3:$N$62,4,0),"")</f>
        <v/>
      </c>
      <c r="T691" s="60" t="s">
        <v>56</v>
      </c>
      <c r="U691" s="59" t="str">
        <f aca="false">IFERROR(IF(VLOOKUP($A691,RA_result!$B$3:$N$62,6,0)="",S691*T691,VLOOKUP($A691,RA_result!$B$3:$N$62,6,0)),"")</f>
        <v/>
      </c>
      <c r="V691" s="61" t="s">
        <v>56</v>
      </c>
      <c r="W691" s="62" t="n">
        <f aca="false">IFERROR((S691*30%)/V691,0)</f>
        <v>0</v>
      </c>
      <c r="X691" s="63" t="n">
        <f aca="false">IFERROR(N691/W691,0)</f>
        <v>0</v>
      </c>
      <c r="Y691" s="68"/>
      <c r="Z691" s="57"/>
      <c r="AA691" s="69" t="str">
        <f aca="false">IF(OR(U691="",Y691="",Z691=""),"",IF(AND(U691&gt;Y691,-U691&lt;Z691),"Ok","Not Ok"))</f>
        <v/>
      </c>
      <c r="AB691" s="70"/>
    </row>
    <row r="692" customFormat="false" ht="12.8" hidden="false" customHeight="false" outlineLevel="0" collapsed="false">
      <c r="A692" s="48" t="n">
        <f aca="false">TB_audited!A675</f>
        <v>0</v>
      </c>
      <c r="B692" s="49"/>
      <c r="C692" s="50"/>
      <c r="D692" s="51" t="n">
        <f aca="false">TB_audited!B675</f>
        <v>0</v>
      </c>
      <c r="E692" s="52" t="n">
        <f aca="false">TB_audited!C675</f>
        <v>0</v>
      </c>
      <c r="F692" s="53" t="n">
        <f aca="false">TB_audited!D675</f>
        <v>0</v>
      </c>
      <c r="G692" s="54" t="n">
        <f aca="false">IF($D$8="Interim",TB_audited!G675,TB_audited!E675)</f>
        <v>0</v>
      </c>
      <c r="H692" s="55" t="str">
        <f aca="false">IFERROR(VLOOKUP($A692,RA_result!$B$3:$N$62,11,0),"")</f>
        <v/>
      </c>
      <c r="I692" s="55" t="str">
        <f aca="false">IFERROR(VLOOKUP($A692,RA_result!$B$3:$N$62,12,0),"")</f>
        <v/>
      </c>
      <c r="J692" s="55" t="str">
        <f aca="false">IFERROR(VLOOKUP($A692,RA_result!$B$3:$N$62,13,0),"")</f>
        <v/>
      </c>
      <c r="K692" s="56"/>
      <c r="L692" s="56"/>
      <c r="M692" s="57" t="n">
        <f aca="false">G692</f>
        <v>0</v>
      </c>
      <c r="N692" s="54" t="n">
        <f aca="false">G692-M692</f>
        <v>0</v>
      </c>
      <c r="O692" s="55" t="str">
        <f aca="false">IFERROR(VLOOKUP($A692,RA_result!$B$3:$N$62,7,0),"")</f>
        <v/>
      </c>
      <c r="P692" s="52" t="str">
        <f aca="false">IFERROR(VLOOKUP($A692,RA_result!$B$3:$N$62,9,0),"")</f>
        <v/>
      </c>
      <c r="Q692" s="52" t="str">
        <f aca="false">IFERROR(VLOOKUP($A692,RA_result!$B$3:$N$62,10,0),"")</f>
        <v/>
      </c>
      <c r="R692" s="58" t="s">
        <v>55</v>
      </c>
      <c r="S692" s="59" t="str">
        <f aca="false">IFERROR(VLOOKUP($A692,RA_result!$B$3:$N$62,4,0),"")</f>
        <v/>
      </c>
      <c r="T692" s="60" t="s">
        <v>56</v>
      </c>
      <c r="U692" s="59" t="str">
        <f aca="false">IFERROR(IF(VLOOKUP($A692,RA_result!$B$3:$N$62,6,0)="",S692*T692,VLOOKUP($A692,RA_result!$B$3:$N$62,6,0)),"")</f>
        <v/>
      </c>
      <c r="V692" s="61" t="s">
        <v>56</v>
      </c>
      <c r="W692" s="62" t="n">
        <f aca="false">IFERROR((S692*30%)/V692,0)</f>
        <v>0</v>
      </c>
      <c r="X692" s="63" t="n">
        <f aca="false">IFERROR(N692/W692,0)</f>
        <v>0</v>
      </c>
      <c r="Y692" s="68"/>
      <c r="Z692" s="57"/>
      <c r="AA692" s="69" t="str">
        <f aca="false">IF(OR(U692="",Y692="",Z692=""),"",IF(AND(U692&gt;Y692,-U692&lt;Z692),"Ok","Not Ok"))</f>
        <v/>
      </c>
      <c r="AB692" s="70"/>
    </row>
    <row r="693" customFormat="false" ht="12.8" hidden="false" customHeight="false" outlineLevel="0" collapsed="false">
      <c r="A693" s="48" t="n">
        <f aca="false">TB_audited!A676</f>
        <v>0</v>
      </c>
      <c r="B693" s="49"/>
      <c r="C693" s="50"/>
      <c r="D693" s="51" t="n">
        <f aca="false">TB_audited!B676</f>
        <v>0</v>
      </c>
      <c r="E693" s="52" t="n">
        <f aca="false">TB_audited!C676</f>
        <v>0</v>
      </c>
      <c r="F693" s="53" t="n">
        <f aca="false">TB_audited!D676</f>
        <v>0</v>
      </c>
      <c r="G693" s="54" t="n">
        <f aca="false">IF($D$8="Interim",TB_audited!G676,TB_audited!E676)</f>
        <v>0</v>
      </c>
      <c r="H693" s="55" t="str">
        <f aca="false">IFERROR(VLOOKUP($A693,RA_result!$B$3:$N$62,11,0),"")</f>
        <v/>
      </c>
      <c r="I693" s="55" t="str">
        <f aca="false">IFERROR(VLOOKUP($A693,RA_result!$B$3:$N$62,12,0),"")</f>
        <v/>
      </c>
      <c r="J693" s="55" t="str">
        <f aca="false">IFERROR(VLOOKUP($A693,RA_result!$B$3:$N$62,13,0),"")</f>
        <v/>
      </c>
      <c r="K693" s="56"/>
      <c r="L693" s="56"/>
      <c r="M693" s="57" t="n">
        <f aca="false">G693</f>
        <v>0</v>
      </c>
      <c r="N693" s="54" t="n">
        <f aca="false">G693-M693</f>
        <v>0</v>
      </c>
      <c r="O693" s="55" t="str">
        <f aca="false">IFERROR(VLOOKUP($A693,RA_result!$B$3:$N$62,7,0),"")</f>
        <v/>
      </c>
      <c r="P693" s="52" t="str">
        <f aca="false">IFERROR(VLOOKUP($A693,RA_result!$B$3:$N$62,9,0),"")</f>
        <v/>
      </c>
      <c r="Q693" s="52" t="str">
        <f aca="false">IFERROR(VLOOKUP($A693,RA_result!$B$3:$N$62,10,0),"")</f>
        <v/>
      </c>
      <c r="R693" s="58" t="s">
        <v>55</v>
      </c>
      <c r="S693" s="59" t="str">
        <f aca="false">IFERROR(VLOOKUP($A693,RA_result!$B$3:$N$62,4,0),"")</f>
        <v/>
      </c>
      <c r="T693" s="60" t="s">
        <v>56</v>
      </c>
      <c r="U693" s="59" t="str">
        <f aca="false">IFERROR(IF(VLOOKUP($A693,RA_result!$B$3:$N$62,6,0)="",S693*T693,VLOOKUP($A693,RA_result!$B$3:$N$62,6,0)),"")</f>
        <v/>
      </c>
      <c r="V693" s="61" t="s">
        <v>56</v>
      </c>
      <c r="W693" s="62" t="n">
        <f aca="false">IFERROR((S693*30%)/V693,0)</f>
        <v>0</v>
      </c>
      <c r="X693" s="63" t="n">
        <f aca="false">IFERROR(N693/W693,0)</f>
        <v>0</v>
      </c>
      <c r="Y693" s="68"/>
      <c r="Z693" s="57"/>
      <c r="AA693" s="69" t="str">
        <f aca="false">IF(OR(U693="",Y693="",Z693=""),"",IF(AND(U693&gt;Y693,-U693&lt;Z693),"Ok","Not Ok"))</f>
        <v/>
      </c>
      <c r="AB693" s="70"/>
    </row>
    <row r="694" customFormat="false" ht="12.8" hidden="false" customHeight="false" outlineLevel="0" collapsed="false">
      <c r="A694" s="48" t="n">
        <f aca="false">TB_audited!A677</f>
        <v>0</v>
      </c>
      <c r="B694" s="49"/>
      <c r="C694" s="50"/>
      <c r="D694" s="51" t="n">
        <f aca="false">TB_audited!B677</f>
        <v>0</v>
      </c>
      <c r="E694" s="52" t="n">
        <f aca="false">TB_audited!C677</f>
        <v>0</v>
      </c>
      <c r="F694" s="53" t="n">
        <f aca="false">TB_audited!D677</f>
        <v>0</v>
      </c>
      <c r="G694" s="54" t="n">
        <f aca="false">IF($D$8="Interim",TB_audited!G677,TB_audited!E677)</f>
        <v>0</v>
      </c>
      <c r="H694" s="55" t="str">
        <f aca="false">IFERROR(VLOOKUP($A694,RA_result!$B$3:$N$62,11,0),"")</f>
        <v/>
      </c>
      <c r="I694" s="55" t="str">
        <f aca="false">IFERROR(VLOOKUP($A694,RA_result!$B$3:$N$62,12,0),"")</f>
        <v/>
      </c>
      <c r="J694" s="55" t="str">
        <f aca="false">IFERROR(VLOOKUP($A694,RA_result!$B$3:$N$62,13,0),"")</f>
        <v/>
      </c>
      <c r="K694" s="56"/>
      <c r="L694" s="56"/>
      <c r="M694" s="57" t="n">
        <f aca="false">G694</f>
        <v>0</v>
      </c>
      <c r="N694" s="54" t="n">
        <f aca="false">G694-M694</f>
        <v>0</v>
      </c>
      <c r="O694" s="55" t="str">
        <f aca="false">IFERROR(VLOOKUP($A694,RA_result!$B$3:$N$62,7,0),"")</f>
        <v/>
      </c>
      <c r="P694" s="52" t="str">
        <f aca="false">IFERROR(VLOOKUP($A694,RA_result!$B$3:$N$62,9,0),"")</f>
        <v/>
      </c>
      <c r="Q694" s="52" t="str">
        <f aca="false">IFERROR(VLOOKUP($A694,RA_result!$B$3:$N$62,10,0),"")</f>
        <v/>
      </c>
      <c r="R694" s="58" t="s">
        <v>55</v>
      </c>
      <c r="S694" s="59" t="str">
        <f aca="false">IFERROR(VLOOKUP($A694,RA_result!$B$3:$N$62,4,0),"")</f>
        <v/>
      </c>
      <c r="T694" s="60" t="s">
        <v>56</v>
      </c>
      <c r="U694" s="59" t="str">
        <f aca="false">IFERROR(IF(VLOOKUP($A694,RA_result!$B$3:$N$62,6,0)="",S694*T694,VLOOKUP($A694,RA_result!$B$3:$N$62,6,0)),"")</f>
        <v/>
      </c>
      <c r="V694" s="61" t="s">
        <v>56</v>
      </c>
      <c r="W694" s="62" t="n">
        <f aca="false">IFERROR((S694*30%)/V694,0)</f>
        <v>0</v>
      </c>
      <c r="X694" s="63" t="n">
        <f aca="false">IFERROR(N694/W694,0)</f>
        <v>0</v>
      </c>
      <c r="Y694" s="68"/>
      <c r="Z694" s="57"/>
      <c r="AA694" s="69" t="str">
        <f aca="false">IF(OR(U694="",Y694="",Z694=""),"",IF(AND(U694&gt;Y694,-U694&lt;Z694),"Ok","Not Ok"))</f>
        <v/>
      </c>
      <c r="AB694" s="70"/>
    </row>
    <row r="695" customFormat="false" ht="12.8" hidden="false" customHeight="false" outlineLevel="0" collapsed="false">
      <c r="A695" s="48" t="n">
        <f aca="false">TB_audited!A678</f>
        <v>0</v>
      </c>
      <c r="B695" s="49"/>
      <c r="C695" s="50"/>
      <c r="D695" s="51" t="n">
        <f aca="false">TB_audited!B678</f>
        <v>0</v>
      </c>
      <c r="E695" s="52" t="n">
        <f aca="false">TB_audited!C678</f>
        <v>0</v>
      </c>
      <c r="F695" s="53" t="n">
        <f aca="false">TB_audited!D678</f>
        <v>0</v>
      </c>
      <c r="G695" s="54" t="n">
        <f aca="false">IF($D$8="Interim",TB_audited!G678,TB_audited!E678)</f>
        <v>0</v>
      </c>
      <c r="H695" s="55" t="str">
        <f aca="false">IFERROR(VLOOKUP($A695,RA_result!$B$3:$N$62,11,0),"")</f>
        <v/>
      </c>
      <c r="I695" s="55" t="str">
        <f aca="false">IFERROR(VLOOKUP($A695,RA_result!$B$3:$N$62,12,0),"")</f>
        <v/>
      </c>
      <c r="J695" s="55" t="str">
        <f aca="false">IFERROR(VLOOKUP($A695,RA_result!$B$3:$N$62,13,0),"")</f>
        <v/>
      </c>
      <c r="K695" s="56"/>
      <c r="L695" s="56"/>
      <c r="M695" s="57" t="n">
        <f aca="false">G695</f>
        <v>0</v>
      </c>
      <c r="N695" s="54" t="n">
        <f aca="false">G695-M695</f>
        <v>0</v>
      </c>
      <c r="O695" s="55" t="str">
        <f aca="false">IFERROR(VLOOKUP($A695,RA_result!$B$3:$N$62,7,0),"")</f>
        <v/>
      </c>
      <c r="P695" s="52" t="str">
        <f aca="false">IFERROR(VLOOKUP($A695,RA_result!$B$3:$N$62,9,0),"")</f>
        <v/>
      </c>
      <c r="Q695" s="52" t="str">
        <f aca="false">IFERROR(VLOOKUP($A695,RA_result!$B$3:$N$62,10,0),"")</f>
        <v/>
      </c>
      <c r="R695" s="58" t="s">
        <v>55</v>
      </c>
      <c r="S695" s="59" t="str">
        <f aca="false">IFERROR(VLOOKUP($A695,RA_result!$B$3:$N$62,4,0),"")</f>
        <v/>
      </c>
      <c r="T695" s="60" t="s">
        <v>56</v>
      </c>
      <c r="U695" s="59" t="str">
        <f aca="false">IFERROR(IF(VLOOKUP($A695,RA_result!$B$3:$N$62,6,0)="",S695*T695,VLOOKUP($A695,RA_result!$B$3:$N$62,6,0)),"")</f>
        <v/>
      </c>
      <c r="V695" s="61" t="s">
        <v>56</v>
      </c>
      <c r="W695" s="62" t="n">
        <f aca="false">IFERROR((S695*30%)/V695,0)</f>
        <v>0</v>
      </c>
      <c r="X695" s="63" t="n">
        <f aca="false">IFERROR(N695/W695,0)</f>
        <v>0</v>
      </c>
      <c r="Y695" s="68"/>
      <c r="Z695" s="57"/>
      <c r="AA695" s="69" t="str">
        <f aca="false">IF(OR(U695="",Y695="",Z695=""),"",IF(AND(U695&gt;Y695,-U695&lt;Z695),"Ok","Not Ok"))</f>
        <v/>
      </c>
      <c r="AB695" s="70"/>
    </row>
    <row r="696" customFormat="false" ht="12.8" hidden="false" customHeight="false" outlineLevel="0" collapsed="false">
      <c r="A696" s="48" t="n">
        <f aca="false">TB_audited!A679</f>
        <v>0</v>
      </c>
      <c r="B696" s="49"/>
      <c r="C696" s="50"/>
      <c r="D696" s="51" t="n">
        <f aca="false">TB_audited!B679</f>
        <v>0</v>
      </c>
      <c r="E696" s="52" t="n">
        <f aca="false">TB_audited!C679</f>
        <v>0</v>
      </c>
      <c r="F696" s="53" t="n">
        <f aca="false">TB_audited!D679</f>
        <v>0</v>
      </c>
      <c r="G696" s="54" t="n">
        <f aca="false">IF($D$8="Interim",TB_audited!G679,TB_audited!E679)</f>
        <v>0</v>
      </c>
      <c r="H696" s="55" t="str">
        <f aca="false">IFERROR(VLOOKUP($A696,RA_result!$B$3:$N$62,11,0),"")</f>
        <v/>
      </c>
      <c r="I696" s="55" t="str">
        <f aca="false">IFERROR(VLOOKUP($A696,RA_result!$B$3:$N$62,12,0),"")</f>
        <v/>
      </c>
      <c r="J696" s="55" t="str">
        <f aca="false">IFERROR(VLOOKUP($A696,RA_result!$B$3:$N$62,13,0),"")</f>
        <v/>
      </c>
      <c r="K696" s="56"/>
      <c r="L696" s="56"/>
      <c r="M696" s="57" t="n">
        <f aca="false">G696</f>
        <v>0</v>
      </c>
      <c r="N696" s="54" t="n">
        <f aca="false">G696-M696</f>
        <v>0</v>
      </c>
      <c r="O696" s="55" t="str">
        <f aca="false">IFERROR(VLOOKUP($A696,RA_result!$B$3:$N$62,7,0),"")</f>
        <v/>
      </c>
      <c r="P696" s="52" t="str">
        <f aca="false">IFERROR(VLOOKUP($A696,RA_result!$B$3:$N$62,9,0),"")</f>
        <v/>
      </c>
      <c r="Q696" s="52" t="str">
        <f aca="false">IFERROR(VLOOKUP($A696,RA_result!$B$3:$N$62,10,0),"")</f>
        <v/>
      </c>
      <c r="R696" s="58" t="s">
        <v>55</v>
      </c>
      <c r="S696" s="59" t="str">
        <f aca="false">IFERROR(VLOOKUP($A696,RA_result!$B$3:$N$62,4,0),"")</f>
        <v/>
      </c>
      <c r="T696" s="60" t="s">
        <v>56</v>
      </c>
      <c r="U696" s="59" t="str">
        <f aca="false">IFERROR(IF(VLOOKUP($A696,RA_result!$B$3:$N$62,6,0)="",S696*T696,VLOOKUP($A696,RA_result!$B$3:$N$62,6,0)),"")</f>
        <v/>
      </c>
      <c r="V696" s="61" t="s">
        <v>56</v>
      </c>
      <c r="W696" s="62" t="n">
        <f aca="false">IFERROR((S696*30%)/V696,0)</f>
        <v>0</v>
      </c>
      <c r="X696" s="63" t="n">
        <f aca="false">IFERROR(N696/W696,0)</f>
        <v>0</v>
      </c>
      <c r="Y696" s="68"/>
      <c r="Z696" s="57"/>
      <c r="AA696" s="69" t="str">
        <f aca="false">IF(OR(U696="",Y696="",Z696=""),"",IF(AND(U696&gt;Y696,-U696&lt;Z696),"Ok","Not Ok"))</f>
        <v/>
      </c>
      <c r="AB696" s="70"/>
    </row>
    <row r="697" customFormat="false" ht="12.8" hidden="false" customHeight="false" outlineLevel="0" collapsed="false">
      <c r="A697" s="48" t="n">
        <f aca="false">TB_audited!A680</f>
        <v>0</v>
      </c>
      <c r="B697" s="49"/>
      <c r="C697" s="50"/>
      <c r="D697" s="51" t="n">
        <f aca="false">TB_audited!B680</f>
        <v>0</v>
      </c>
      <c r="E697" s="52" t="n">
        <f aca="false">TB_audited!C680</f>
        <v>0</v>
      </c>
      <c r="F697" s="53" t="n">
        <f aca="false">TB_audited!D680</f>
        <v>0</v>
      </c>
      <c r="G697" s="54" t="n">
        <f aca="false">IF($D$8="Interim",TB_audited!G680,TB_audited!E680)</f>
        <v>0</v>
      </c>
      <c r="H697" s="55" t="str">
        <f aca="false">IFERROR(VLOOKUP($A697,RA_result!$B$3:$N$62,11,0),"")</f>
        <v/>
      </c>
      <c r="I697" s="55" t="str">
        <f aca="false">IFERROR(VLOOKUP($A697,RA_result!$B$3:$N$62,12,0),"")</f>
        <v/>
      </c>
      <c r="J697" s="55" t="str">
        <f aca="false">IFERROR(VLOOKUP($A697,RA_result!$B$3:$N$62,13,0),"")</f>
        <v/>
      </c>
      <c r="K697" s="56"/>
      <c r="L697" s="56"/>
      <c r="M697" s="57" t="n">
        <f aca="false">G697</f>
        <v>0</v>
      </c>
      <c r="N697" s="54" t="n">
        <f aca="false">G697-M697</f>
        <v>0</v>
      </c>
      <c r="O697" s="55" t="str">
        <f aca="false">IFERROR(VLOOKUP($A697,RA_result!$B$3:$N$62,7,0),"")</f>
        <v/>
      </c>
      <c r="P697" s="52" t="str">
        <f aca="false">IFERROR(VLOOKUP($A697,RA_result!$B$3:$N$62,9,0),"")</f>
        <v/>
      </c>
      <c r="Q697" s="52" t="str">
        <f aca="false">IFERROR(VLOOKUP($A697,RA_result!$B$3:$N$62,10,0),"")</f>
        <v/>
      </c>
      <c r="R697" s="58" t="s">
        <v>55</v>
      </c>
      <c r="S697" s="59" t="str">
        <f aca="false">IFERROR(VLOOKUP($A697,RA_result!$B$3:$N$62,4,0),"")</f>
        <v/>
      </c>
      <c r="T697" s="60" t="s">
        <v>56</v>
      </c>
      <c r="U697" s="59" t="str">
        <f aca="false">IFERROR(IF(VLOOKUP($A697,RA_result!$B$3:$N$62,6,0)="",S697*T697,VLOOKUP($A697,RA_result!$B$3:$N$62,6,0)),"")</f>
        <v/>
      </c>
      <c r="V697" s="61" t="s">
        <v>56</v>
      </c>
      <c r="W697" s="62" t="n">
        <f aca="false">IFERROR((S697*30%)/V697,0)</f>
        <v>0</v>
      </c>
      <c r="X697" s="63" t="n">
        <f aca="false">IFERROR(N697/W697,0)</f>
        <v>0</v>
      </c>
      <c r="Y697" s="68"/>
      <c r="Z697" s="57"/>
      <c r="AA697" s="69" t="str">
        <f aca="false">IF(OR(U697="",Y697="",Z697=""),"",IF(AND(U697&gt;Y697,-U697&lt;Z697),"Ok","Not Ok"))</f>
        <v/>
      </c>
      <c r="AB697" s="70"/>
    </row>
    <row r="698" customFormat="false" ht="12.8" hidden="false" customHeight="false" outlineLevel="0" collapsed="false">
      <c r="A698" s="48" t="n">
        <f aca="false">TB_audited!A681</f>
        <v>0</v>
      </c>
      <c r="B698" s="49"/>
      <c r="C698" s="50"/>
      <c r="D698" s="51" t="n">
        <f aca="false">TB_audited!B681</f>
        <v>0</v>
      </c>
      <c r="E698" s="52" t="n">
        <f aca="false">TB_audited!C681</f>
        <v>0</v>
      </c>
      <c r="F698" s="53" t="n">
        <f aca="false">TB_audited!D681</f>
        <v>0</v>
      </c>
      <c r="G698" s="54" t="n">
        <f aca="false">IF($D$8="Interim",TB_audited!G681,TB_audited!E681)</f>
        <v>0</v>
      </c>
      <c r="H698" s="55" t="str">
        <f aca="false">IFERROR(VLOOKUP($A698,RA_result!$B$3:$N$62,11,0),"")</f>
        <v/>
      </c>
      <c r="I698" s="55" t="str">
        <f aca="false">IFERROR(VLOOKUP($A698,RA_result!$B$3:$N$62,12,0),"")</f>
        <v/>
      </c>
      <c r="J698" s="55" t="str">
        <f aca="false">IFERROR(VLOOKUP($A698,RA_result!$B$3:$N$62,13,0),"")</f>
        <v/>
      </c>
      <c r="K698" s="56"/>
      <c r="L698" s="56"/>
      <c r="M698" s="57" t="n">
        <f aca="false">G698</f>
        <v>0</v>
      </c>
      <c r="N698" s="54" t="n">
        <f aca="false">G698-M698</f>
        <v>0</v>
      </c>
      <c r="O698" s="55" t="str">
        <f aca="false">IFERROR(VLOOKUP($A698,RA_result!$B$3:$N$62,7,0),"")</f>
        <v/>
      </c>
      <c r="P698" s="52" t="str">
        <f aca="false">IFERROR(VLOOKUP($A698,RA_result!$B$3:$N$62,9,0),"")</f>
        <v/>
      </c>
      <c r="Q698" s="52" t="str">
        <f aca="false">IFERROR(VLOOKUP($A698,RA_result!$B$3:$N$62,10,0),"")</f>
        <v/>
      </c>
      <c r="R698" s="58" t="s">
        <v>55</v>
      </c>
      <c r="S698" s="59" t="str">
        <f aca="false">IFERROR(VLOOKUP($A698,RA_result!$B$3:$N$62,4,0),"")</f>
        <v/>
      </c>
      <c r="T698" s="60" t="s">
        <v>56</v>
      </c>
      <c r="U698" s="59" t="str">
        <f aca="false">IFERROR(IF(VLOOKUP($A698,RA_result!$B$3:$N$62,6,0)="",S698*T698,VLOOKUP($A698,RA_result!$B$3:$N$62,6,0)),"")</f>
        <v/>
      </c>
      <c r="V698" s="61" t="s">
        <v>56</v>
      </c>
      <c r="W698" s="62" t="n">
        <f aca="false">IFERROR((S698*30%)/V698,0)</f>
        <v>0</v>
      </c>
      <c r="X698" s="63" t="n">
        <f aca="false">IFERROR(N698/W698,0)</f>
        <v>0</v>
      </c>
      <c r="Y698" s="68"/>
      <c r="Z698" s="57"/>
      <c r="AA698" s="69" t="str">
        <f aca="false">IF(OR(U698="",Y698="",Z698=""),"",IF(AND(U698&gt;Y698,-U698&lt;Z698),"Ok","Not Ok"))</f>
        <v/>
      </c>
      <c r="AB698" s="70"/>
    </row>
    <row r="699" customFormat="false" ht="12.8" hidden="false" customHeight="false" outlineLevel="0" collapsed="false">
      <c r="A699" s="48" t="n">
        <f aca="false">TB_audited!A682</f>
        <v>0</v>
      </c>
      <c r="B699" s="49"/>
      <c r="C699" s="50"/>
      <c r="D699" s="51" t="n">
        <f aca="false">TB_audited!B682</f>
        <v>0</v>
      </c>
      <c r="E699" s="52" t="n">
        <f aca="false">TB_audited!C682</f>
        <v>0</v>
      </c>
      <c r="F699" s="53" t="n">
        <f aca="false">TB_audited!D682</f>
        <v>0</v>
      </c>
      <c r="G699" s="54" t="n">
        <f aca="false">IF($D$8="Interim",TB_audited!G682,TB_audited!E682)</f>
        <v>0</v>
      </c>
      <c r="H699" s="55" t="str">
        <f aca="false">IFERROR(VLOOKUP($A699,RA_result!$B$3:$N$62,11,0),"")</f>
        <v/>
      </c>
      <c r="I699" s="55" t="str">
        <f aca="false">IFERROR(VLOOKUP($A699,RA_result!$B$3:$N$62,12,0),"")</f>
        <v/>
      </c>
      <c r="J699" s="55" t="str">
        <f aca="false">IFERROR(VLOOKUP($A699,RA_result!$B$3:$N$62,13,0),"")</f>
        <v/>
      </c>
      <c r="K699" s="56"/>
      <c r="L699" s="56"/>
      <c r="M699" s="57" t="n">
        <f aca="false">G699</f>
        <v>0</v>
      </c>
      <c r="N699" s="54" t="n">
        <f aca="false">G699-M699</f>
        <v>0</v>
      </c>
      <c r="O699" s="55" t="str">
        <f aca="false">IFERROR(VLOOKUP($A699,RA_result!$B$3:$N$62,7,0),"")</f>
        <v/>
      </c>
      <c r="P699" s="52" t="str">
        <f aca="false">IFERROR(VLOOKUP($A699,RA_result!$B$3:$N$62,9,0),"")</f>
        <v/>
      </c>
      <c r="Q699" s="52" t="str">
        <f aca="false">IFERROR(VLOOKUP($A699,RA_result!$B$3:$N$62,10,0),"")</f>
        <v/>
      </c>
      <c r="R699" s="58" t="s">
        <v>55</v>
      </c>
      <c r="S699" s="59" t="str">
        <f aca="false">IFERROR(VLOOKUP($A699,RA_result!$B$3:$N$62,4,0),"")</f>
        <v/>
      </c>
      <c r="T699" s="60" t="s">
        <v>56</v>
      </c>
      <c r="U699" s="59" t="str">
        <f aca="false">IFERROR(IF(VLOOKUP($A699,RA_result!$B$3:$N$62,6,0)="",S699*T699,VLOOKUP($A699,RA_result!$B$3:$N$62,6,0)),"")</f>
        <v/>
      </c>
      <c r="V699" s="61" t="s">
        <v>56</v>
      </c>
      <c r="W699" s="62" t="n">
        <f aca="false">IFERROR((S699*30%)/V699,0)</f>
        <v>0</v>
      </c>
      <c r="X699" s="63" t="n">
        <f aca="false">IFERROR(N699/W699,0)</f>
        <v>0</v>
      </c>
      <c r="Y699" s="68"/>
      <c r="Z699" s="57"/>
      <c r="AA699" s="69" t="str">
        <f aca="false">IF(OR(U699="",Y699="",Z699=""),"",IF(AND(U699&gt;Y699,-U699&lt;Z699),"Ok","Not Ok"))</f>
        <v/>
      </c>
      <c r="AB699" s="70"/>
    </row>
    <row r="700" customFormat="false" ht="12.8" hidden="false" customHeight="false" outlineLevel="0" collapsed="false">
      <c r="A700" s="48" t="n">
        <f aca="false">TB_audited!A683</f>
        <v>0</v>
      </c>
      <c r="B700" s="49"/>
      <c r="C700" s="50"/>
      <c r="D700" s="51" t="n">
        <f aca="false">TB_audited!B683</f>
        <v>0</v>
      </c>
      <c r="E700" s="52" t="n">
        <f aca="false">TB_audited!C683</f>
        <v>0</v>
      </c>
      <c r="F700" s="53" t="n">
        <f aca="false">TB_audited!D683</f>
        <v>0</v>
      </c>
      <c r="G700" s="54" t="n">
        <f aca="false">IF($D$8="Interim",TB_audited!G683,TB_audited!E683)</f>
        <v>0</v>
      </c>
      <c r="H700" s="55" t="str">
        <f aca="false">IFERROR(VLOOKUP($A700,RA_result!$B$3:$N$62,11,0),"")</f>
        <v/>
      </c>
      <c r="I700" s="55" t="str">
        <f aca="false">IFERROR(VLOOKUP($A700,RA_result!$B$3:$N$62,12,0),"")</f>
        <v/>
      </c>
      <c r="J700" s="55" t="str">
        <f aca="false">IFERROR(VLOOKUP($A700,RA_result!$B$3:$N$62,13,0),"")</f>
        <v/>
      </c>
      <c r="K700" s="56"/>
      <c r="L700" s="56"/>
      <c r="M700" s="57" t="n">
        <f aca="false">G700</f>
        <v>0</v>
      </c>
      <c r="N700" s="54" t="n">
        <f aca="false">G700-M700</f>
        <v>0</v>
      </c>
      <c r="O700" s="55" t="str">
        <f aca="false">IFERROR(VLOOKUP($A700,RA_result!$B$3:$N$62,7,0),"")</f>
        <v/>
      </c>
      <c r="P700" s="52" t="str">
        <f aca="false">IFERROR(VLOOKUP($A700,RA_result!$B$3:$N$62,9,0),"")</f>
        <v/>
      </c>
      <c r="Q700" s="52" t="str">
        <f aca="false">IFERROR(VLOOKUP($A700,RA_result!$B$3:$N$62,10,0),"")</f>
        <v/>
      </c>
      <c r="R700" s="58" t="s">
        <v>55</v>
      </c>
      <c r="S700" s="59" t="str">
        <f aca="false">IFERROR(VLOOKUP($A700,RA_result!$B$3:$N$62,4,0),"")</f>
        <v/>
      </c>
      <c r="T700" s="60" t="s">
        <v>56</v>
      </c>
      <c r="U700" s="59" t="str">
        <f aca="false">IFERROR(IF(VLOOKUP($A700,RA_result!$B$3:$N$62,6,0)="",S700*T700,VLOOKUP($A700,RA_result!$B$3:$N$62,6,0)),"")</f>
        <v/>
      </c>
      <c r="V700" s="61" t="s">
        <v>56</v>
      </c>
      <c r="W700" s="62" t="n">
        <f aca="false">IFERROR((S700*30%)/V700,0)</f>
        <v>0</v>
      </c>
      <c r="X700" s="63" t="n">
        <f aca="false">IFERROR(N700/W700,0)</f>
        <v>0</v>
      </c>
      <c r="Y700" s="68"/>
      <c r="Z700" s="57"/>
      <c r="AA700" s="69" t="str">
        <f aca="false">IF(OR(U700="",Y700="",Z700=""),"",IF(AND(U700&gt;Y700,-U700&lt;Z700),"Ok","Not Ok"))</f>
        <v/>
      </c>
      <c r="AB700" s="70"/>
    </row>
    <row r="701" customFormat="false" ht="12.8" hidden="false" customHeight="false" outlineLevel="0" collapsed="false">
      <c r="A701" s="48" t="n">
        <f aca="false">TB_audited!A684</f>
        <v>0</v>
      </c>
      <c r="B701" s="49"/>
      <c r="C701" s="50"/>
      <c r="D701" s="51" t="n">
        <f aca="false">TB_audited!B684</f>
        <v>0</v>
      </c>
      <c r="E701" s="52" t="n">
        <f aca="false">TB_audited!C684</f>
        <v>0</v>
      </c>
      <c r="F701" s="53" t="n">
        <f aca="false">TB_audited!D684</f>
        <v>0</v>
      </c>
      <c r="G701" s="54" t="n">
        <f aca="false">IF($D$8="Interim",TB_audited!G684,TB_audited!E684)</f>
        <v>0</v>
      </c>
      <c r="H701" s="55" t="str">
        <f aca="false">IFERROR(VLOOKUP($A701,RA_result!$B$3:$N$62,11,0),"")</f>
        <v/>
      </c>
      <c r="I701" s="55" t="str">
        <f aca="false">IFERROR(VLOOKUP($A701,RA_result!$B$3:$N$62,12,0),"")</f>
        <v/>
      </c>
      <c r="J701" s="55" t="str">
        <f aca="false">IFERROR(VLOOKUP($A701,RA_result!$B$3:$N$62,13,0),"")</f>
        <v/>
      </c>
      <c r="K701" s="56"/>
      <c r="L701" s="56"/>
      <c r="M701" s="57" t="n">
        <f aca="false">G701</f>
        <v>0</v>
      </c>
      <c r="N701" s="54" t="n">
        <f aca="false">G701-M701</f>
        <v>0</v>
      </c>
      <c r="O701" s="55" t="str">
        <f aca="false">IFERROR(VLOOKUP($A701,RA_result!$B$3:$N$62,7,0),"")</f>
        <v/>
      </c>
      <c r="P701" s="52" t="str">
        <f aca="false">IFERROR(VLOOKUP($A701,RA_result!$B$3:$N$62,9,0),"")</f>
        <v/>
      </c>
      <c r="Q701" s="52" t="str">
        <f aca="false">IFERROR(VLOOKUP($A701,RA_result!$B$3:$N$62,10,0),"")</f>
        <v/>
      </c>
      <c r="R701" s="58" t="s">
        <v>55</v>
      </c>
      <c r="S701" s="59" t="str">
        <f aca="false">IFERROR(VLOOKUP($A701,RA_result!$B$3:$N$62,4,0),"")</f>
        <v/>
      </c>
      <c r="T701" s="60" t="s">
        <v>56</v>
      </c>
      <c r="U701" s="59" t="str">
        <f aca="false">IFERROR(IF(VLOOKUP($A701,RA_result!$B$3:$N$62,6,0)="",S701*T701,VLOOKUP($A701,RA_result!$B$3:$N$62,6,0)),"")</f>
        <v/>
      </c>
      <c r="V701" s="61" t="s">
        <v>56</v>
      </c>
      <c r="W701" s="62" t="n">
        <f aca="false">IFERROR((S701*30%)/V701,0)</f>
        <v>0</v>
      </c>
      <c r="X701" s="63" t="n">
        <f aca="false">IFERROR(N701/W701,0)</f>
        <v>0</v>
      </c>
      <c r="Y701" s="68"/>
      <c r="Z701" s="57"/>
      <c r="AA701" s="69" t="str">
        <f aca="false">IF(OR(U701="",Y701="",Z701=""),"",IF(AND(U701&gt;Y701,-U701&lt;Z701),"Ok","Not Ok"))</f>
        <v/>
      </c>
      <c r="AB701" s="70"/>
    </row>
    <row r="702" customFormat="false" ht="12.8" hidden="false" customHeight="false" outlineLevel="0" collapsed="false">
      <c r="A702" s="48" t="n">
        <f aca="false">TB_audited!A685</f>
        <v>0</v>
      </c>
      <c r="B702" s="49"/>
      <c r="C702" s="50"/>
      <c r="D702" s="51" t="n">
        <f aca="false">TB_audited!B685</f>
        <v>0</v>
      </c>
      <c r="E702" s="52" t="n">
        <f aca="false">TB_audited!C685</f>
        <v>0</v>
      </c>
      <c r="F702" s="53" t="n">
        <f aca="false">TB_audited!D685</f>
        <v>0</v>
      </c>
      <c r="G702" s="54" t="n">
        <f aca="false">IF($D$8="Interim",TB_audited!G685,TB_audited!E685)</f>
        <v>0</v>
      </c>
      <c r="H702" s="55" t="str">
        <f aca="false">IFERROR(VLOOKUP($A702,RA_result!$B$3:$N$62,11,0),"")</f>
        <v/>
      </c>
      <c r="I702" s="55" t="str">
        <f aca="false">IFERROR(VLOOKUP($A702,RA_result!$B$3:$N$62,12,0),"")</f>
        <v/>
      </c>
      <c r="J702" s="55" t="str">
        <f aca="false">IFERROR(VLOOKUP($A702,RA_result!$B$3:$N$62,13,0),"")</f>
        <v/>
      </c>
      <c r="K702" s="56"/>
      <c r="L702" s="56"/>
      <c r="M702" s="57" t="n">
        <f aca="false">G702</f>
        <v>0</v>
      </c>
      <c r="N702" s="54" t="n">
        <f aca="false">G702-M702</f>
        <v>0</v>
      </c>
      <c r="O702" s="55" t="str">
        <f aca="false">IFERROR(VLOOKUP($A702,RA_result!$B$3:$N$62,7,0),"")</f>
        <v/>
      </c>
      <c r="P702" s="52" t="str">
        <f aca="false">IFERROR(VLOOKUP($A702,RA_result!$B$3:$N$62,9,0),"")</f>
        <v/>
      </c>
      <c r="Q702" s="52" t="str">
        <f aca="false">IFERROR(VLOOKUP($A702,RA_result!$B$3:$N$62,10,0),"")</f>
        <v/>
      </c>
      <c r="R702" s="58" t="s">
        <v>55</v>
      </c>
      <c r="S702" s="59" t="str">
        <f aca="false">IFERROR(VLOOKUP($A702,RA_result!$B$3:$N$62,4,0),"")</f>
        <v/>
      </c>
      <c r="T702" s="60" t="s">
        <v>56</v>
      </c>
      <c r="U702" s="59" t="str">
        <f aca="false">IFERROR(IF(VLOOKUP($A702,RA_result!$B$3:$N$62,6,0)="",S702*T702,VLOOKUP($A702,RA_result!$B$3:$N$62,6,0)),"")</f>
        <v/>
      </c>
      <c r="V702" s="61" t="s">
        <v>56</v>
      </c>
      <c r="W702" s="62" t="n">
        <f aca="false">IFERROR((S702*30%)/V702,0)</f>
        <v>0</v>
      </c>
      <c r="X702" s="63" t="n">
        <f aca="false">IFERROR(N702/W702,0)</f>
        <v>0</v>
      </c>
      <c r="Y702" s="68"/>
      <c r="Z702" s="57"/>
      <c r="AA702" s="69" t="str">
        <f aca="false">IF(OR(U702="",Y702="",Z702=""),"",IF(AND(U702&gt;Y702,-U702&lt;Z702),"Ok","Not Ok"))</f>
        <v/>
      </c>
      <c r="AB702" s="70"/>
    </row>
    <row r="703" customFormat="false" ht="12.8" hidden="false" customHeight="false" outlineLevel="0" collapsed="false">
      <c r="A703" s="48" t="n">
        <f aca="false">TB_audited!A686</f>
        <v>0</v>
      </c>
      <c r="B703" s="49"/>
      <c r="C703" s="50"/>
      <c r="D703" s="51" t="n">
        <f aca="false">TB_audited!B686</f>
        <v>0</v>
      </c>
      <c r="E703" s="52" t="n">
        <f aca="false">TB_audited!C686</f>
        <v>0</v>
      </c>
      <c r="F703" s="53" t="n">
        <f aca="false">TB_audited!D686</f>
        <v>0</v>
      </c>
      <c r="G703" s="54" t="n">
        <f aca="false">IF($D$8="Interim",TB_audited!G686,TB_audited!E686)</f>
        <v>0</v>
      </c>
      <c r="H703" s="55" t="str">
        <f aca="false">IFERROR(VLOOKUP($A703,RA_result!$B$3:$N$62,11,0),"")</f>
        <v/>
      </c>
      <c r="I703" s="55" t="str">
        <f aca="false">IFERROR(VLOOKUP($A703,RA_result!$B$3:$N$62,12,0),"")</f>
        <v/>
      </c>
      <c r="J703" s="55" t="str">
        <f aca="false">IFERROR(VLOOKUP($A703,RA_result!$B$3:$N$62,13,0),"")</f>
        <v/>
      </c>
      <c r="K703" s="56"/>
      <c r="L703" s="56"/>
      <c r="M703" s="57" t="n">
        <f aca="false">G703</f>
        <v>0</v>
      </c>
      <c r="N703" s="54" t="n">
        <f aca="false">G703-M703</f>
        <v>0</v>
      </c>
      <c r="O703" s="55" t="str">
        <f aca="false">IFERROR(VLOOKUP($A703,RA_result!$B$3:$N$62,7,0),"")</f>
        <v/>
      </c>
      <c r="P703" s="52" t="str">
        <f aca="false">IFERROR(VLOOKUP($A703,RA_result!$B$3:$N$62,9,0),"")</f>
        <v/>
      </c>
      <c r="Q703" s="52" t="str">
        <f aca="false">IFERROR(VLOOKUP($A703,RA_result!$B$3:$N$62,10,0),"")</f>
        <v/>
      </c>
      <c r="R703" s="58" t="s">
        <v>55</v>
      </c>
      <c r="S703" s="59" t="str">
        <f aca="false">IFERROR(VLOOKUP($A703,RA_result!$B$3:$N$62,4,0),"")</f>
        <v/>
      </c>
      <c r="T703" s="60" t="s">
        <v>56</v>
      </c>
      <c r="U703" s="59" t="str">
        <f aca="false">IFERROR(IF(VLOOKUP($A703,RA_result!$B$3:$N$62,6,0)="",S703*T703,VLOOKUP($A703,RA_result!$B$3:$N$62,6,0)),"")</f>
        <v/>
      </c>
      <c r="V703" s="61" t="s">
        <v>56</v>
      </c>
      <c r="W703" s="62" t="n">
        <f aca="false">IFERROR((S703*30%)/V703,0)</f>
        <v>0</v>
      </c>
      <c r="X703" s="63" t="n">
        <f aca="false">IFERROR(N703/W703,0)</f>
        <v>0</v>
      </c>
      <c r="Y703" s="68"/>
      <c r="Z703" s="57"/>
      <c r="AA703" s="69" t="str">
        <f aca="false">IF(OR(U703="",Y703="",Z703=""),"",IF(AND(U703&gt;Y703,-U703&lt;Z703),"Ok","Not Ok"))</f>
        <v/>
      </c>
      <c r="AB703" s="70"/>
    </row>
    <row r="704" customFormat="false" ht="12.8" hidden="false" customHeight="false" outlineLevel="0" collapsed="false">
      <c r="A704" s="48" t="n">
        <f aca="false">TB_audited!A687</f>
        <v>0</v>
      </c>
      <c r="B704" s="49"/>
      <c r="C704" s="50"/>
      <c r="D704" s="51" t="n">
        <f aca="false">TB_audited!B687</f>
        <v>0</v>
      </c>
      <c r="E704" s="52" t="n">
        <f aca="false">TB_audited!C687</f>
        <v>0</v>
      </c>
      <c r="F704" s="53" t="n">
        <f aca="false">TB_audited!D687</f>
        <v>0</v>
      </c>
      <c r="G704" s="54" t="n">
        <f aca="false">IF($D$8="Interim",TB_audited!G687,TB_audited!E687)</f>
        <v>0</v>
      </c>
      <c r="H704" s="55" t="str">
        <f aca="false">IFERROR(VLOOKUP($A704,RA_result!$B$3:$N$62,11,0),"")</f>
        <v/>
      </c>
      <c r="I704" s="55" t="str">
        <f aca="false">IFERROR(VLOOKUP($A704,RA_result!$B$3:$N$62,12,0),"")</f>
        <v/>
      </c>
      <c r="J704" s="55" t="str">
        <f aca="false">IFERROR(VLOOKUP($A704,RA_result!$B$3:$N$62,13,0),"")</f>
        <v/>
      </c>
      <c r="K704" s="56"/>
      <c r="L704" s="56"/>
      <c r="M704" s="57" t="n">
        <f aca="false">G704</f>
        <v>0</v>
      </c>
      <c r="N704" s="54" t="n">
        <f aca="false">G704-M704</f>
        <v>0</v>
      </c>
      <c r="O704" s="55" t="str">
        <f aca="false">IFERROR(VLOOKUP($A704,RA_result!$B$3:$N$62,7,0),"")</f>
        <v/>
      </c>
      <c r="P704" s="52" t="str">
        <f aca="false">IFERROR(VLOOKUP($A704,RA_result!$B$3:$N$62,9,0),"")</f>
        <v/>
      </c>
      <c r="Q704" s="52" t="str">
        <f aca="false">IFERROR(VLOOKUP($A704,RA_result!$B$3:$N$62,10,0),"")</f>
        <v/>
      </c>
      <c r="R704" s="58" t="s">
        <v>55</v>
      </c>
      <c r="S704" s="59" t="str">
        <f aca="false">IFERROR(VLOOKUP($A704,RA_result!$B$3:$N$62,4,0),"")</f>
        <v/>
      </c>
      <c r="T704" s="60" t="s">
        <v>56</v>
      </c>
      <c r="U704" s="59" t="str">
        <f aca="false">IFERROR(IF(VLOOKUP($A704,RA_result!$B$3:$N$62,6,0)="",S704*T704,VLOOKUP($A704,RA_result!$B$3:$N$62,6,0)),"")</f>
        <v/>
      </c>
      <c r="V704" s="61" t="s">
        <v>56</v>
      </c>
      <c r="W704" s="62" t="n">
        <f aca="false">IFERROR((S704*30%)/V704,0)</f>
        <v>0</v>
      </c>
      <c r="X704" s="63" t="n">
        <f aca="false">IFERROR(N704/W704,0)</f>
        <v>0</v>
      </c>
      <c r="Y704" s="68"/>
      <c r="Z704" s="57"/>
      <c r="AA704" s="69" t="str">
        <f aca="false">IF(OR(U704="",Y704="",Z704=""),"",IF(AND(U704&gt;Y704,-U704&lt;Z704),"Ok","Not Ok"))</f>
        <v/>
      </c>
      <c r="AB704" s="70"/>
    </row>
    <row r="705" customFormat="false" ht="12.8" hidden="false" customHeight="false" outlineLevel="0" collapsed="false">
      <c r="A705" s="48" t="n">
        <f aca="false">TB_audited!A688</f>
        <v>0</v>
      </c>
      <c r="B705" s="49"/>
      <c r="C705" s="50"/>
      <c r="D705" s="51" t="n">
        <f aca="false">TB_audited!B688</f>
        <v>0</v>
      </c>
      <c r="E705" s="52" t="n">
        <f aca="false">TB_audited!C688</f>
        <v>0</v>
      </c>
      <c r="F705" s="53" t="n">
        <f aca="false">TB_audited!D688</f>
        <v>0</v>
      </c>
      <c r="G705" s="54" t="n">
        <f aca="false">IF($D$8="Interim",TB_audited!G688,TB_audited!E688)</f>
        <v>0</v>
      </c>
      <c r="H705" s="55" t="str">
        <f aca="false">IFERROR(VLOOKUP($A705,RA_result!$B$3:$N$62,11,0),"")</f>
        <v/>
      </c>
      <c r="I705" s="55" t="str">
        <f aca="false">IFERROR(VLOOKUP($A705,RA_result!$B$3:$N$62,12,0),"")</f>
        <v/>
      </c>
      <c r="J705" s="55" t="str">
        <f aca="false">IFERROR(VLOOKUP($A705,RA_result!$B$3:$N$62,13,0),"")</f>
        <v/>
      </c>
      <c r="K705" s="56"/>
      <c r="L705" s="56"/>
      <c r="M705" s="57" t="n">
        <f aca="false">G705</f>
        <v>0</v>
      </c>
      <c r="N705" s="54" t="n">
        <f aca="false">G705-M705</f>
        <v>0</v>
      </c>
      <c r="O705" s="55" t="str">
        <f aca="false">IFERROR(VLOOKUP($A705,RA_result!$B$3:$N$62,7,0),"")</f>
        <v/>
      </c>
      <c r="P705" s="52" t="str">
        <f aca="false">IFERROR(VLOOKUP($A705,RA_result!$B$3:$N$62,9,0),"")</f>
        <v/>
      </c>
      <c r="Q705" s="52" t="str">
        <f aca="false">IFERROR(VLOOKUP($A705,RA_result!$B$3:$N$62,10,0),"")</f>
        <v/>
      </c>
      <c r="R705" s="58" t="s">
        <v>55</v>
      </c>
      <c r="S705" s="59" t="str">
        <f aca="false">IFERROR(VLOOKUP($A705,RA_result!$B$3:$N$62,4,0),"")</f>
        <v/>
      </c>
      <c r="T705" s="60" t="s">
        <v>56</v>
      </c>
      <c r="U705" s="59" t="str">
        <f aca="false">IFERROR(IF(VLOOKUP($A705,RA_result!$B$3:$N$62,6,0)="",S705*T705,VLOOKUP($A705,RA_result!$B$3:$N$62,6,0)),"")</f>
        <v/>
      </c>
      <c r="V705" s="61" t="s">
        <v>56</v>
      </c>
      <c r="W705" s="62" t="n">
        <f aca="false">IFERROR((S705*30%)/V705,0)</f>
        <v>0</v>
      </c>
      <c r="X705" s="63" t="n">
        <f aca="false">IFERROR(N705/W705,0)</f>
        <v>0</v>
      </c>
      <c r="Y705" s="68"/>
      <c r="Z705" s="57"/>
      <c r="AA705" s="69" t="str">
        <f aca="false">IF(OR(U705="",Y705="",Z705=""),"",IF(AND(U705&gt;Y705,-U705&lt;Z705),"Ok","Not Ok"))</f>
        <v/>
      </c>
      <c r="AB705" s="70"/>
    </row>
    <row r="706" customFormat="false" ht="12.8" hidden="false" customHeight="false" outlineLevel="0" collapsed="false">
      <c r="A706" s="48" t="n">
        <f aca="false">TB_audited!A689</f>
        <v>0</v>
      </c>
      <c r="B706" s="49"/>
      <c r="C706" s="50"/>
      <c r="D706" s="51" t="n">
        <f aca="false">TB_audited!B689</f>
        <v>0</v>
      </c>
      <c r="E706" s="52" t="n">
        <f aca="false">TB_audited!C689</f>
        <v>0</v>
      </c>
      <c r="F706" s="53" t="n">
        <f aca="false">TB_audited!D689</f>
        <v>0</v>
      </c>
      <c r="G706" s="54" t="n">
        <f aca="false">IF($D$8="Interim",TB_audited!G689,TB_audited!E689)</f>
        <v>0</v>
      </c>
      <c r="H706" s="55" t="str">
        <f aca="false">IFERROR(VLOOKUP($A706,RA_result!$B$3:$N$62,11,0),"")</f>
        <v/>
      </c>
      <c r="I706" s="55" t="str">
        <f aca="false">IFERROR(VLOOKUP($A706,RA_result!$B$3:$N$62,12,0),"")</f>
        <v/>
      </c>
      <c r="J706" s="55" t="str">
        <f aca="false">IFERROR(VLOOKUP($A706,RA_result!$B$3:$N$62,13,0),"")</f>
        <v/>
      </c>
      <c r="K706" s="56"/>
      <c r="L706" s="56"/>
      <c r="M706" s="57" t="n">
        <f aca="false">G706</f>
        <v>0</v>
      </c>
      <c r="N706" s="54" t="n">
        <f aca="false">G706-M706</f>
        <v>0</v>
      </c>
      <c r="O706" s="55" t="str">
        <f aca="false">IFERROR(VLOOKUP($A706,RA_result!$B$3:$N$62,7,0),"")</f>
        <v/>
      </c>
      <c r="P706" s="52" t="str">
        <f aca="false">IFERROR(VLOOKUP($A706,RA_result!$B$3:$N$62,9,0),"")</f>
        <v/>
      </c>
      <c r="Q706" s="52" t="str">
        <f aca="false">IFERROR(VLOOKUP($A706,RA_result!$B$3:$N$62,10,0),"")</f>
        <v/>
      </c>
      <c r="R706" s="58" t="s">
        <v>55</v>
      </c>
      <c r="S706" s="59" t="str">
        <f aca="false">IFERROR(VLOOKUP($A706,RA_result!$B$3:$N$62,4,0),"")</f>
        <v/>
      </c>
      <c r="T706" s="60" t="s">
        <v>56</v>
      </c>
      <c r="U706" s="59" t="str">
        <f aca="false">IFERROR(IF(VLOOKUP($A706,RA_result!$B$3:$N$62,6,0)="",S706*T706,VLOOKUP($A706,RA_result!$B$3:$N$62,6,0)),"")</f>
        <v/>
      </c>
      <c r="V706" s="61" t="s">
        <v>56</v>
      </c>
      <c r="W706" s="62" t="n">
        <f aca="false">IFERROR((S706*30%)/V706,0)</f>
        <v>0</v>
      </c>
      <c r="X706" s="63" t="n">
        <f aca="false">IFERROR(N706/W706,0)</f>
        <v>0</v>
      </c>
      <c r="Y706" s="68"/>
      <c r="Z706" s="57"/>
      <c r="AA706" s="69" t="str">
        <f aca="false">IF(OR(U706="",Y706="",Z706=""),"",IF(AND(U706&gt;Y706,-U706&lt;Z706),"Ok","Not Ok"))</f>
        <v/>
      </c>
      <c r="AB706" s="70"/>
    </row>
    <row r="707" customFormat="false" ht="12.8" hidden="false" customHeight="false" outlineLevel="0" collapsed="false">
      <c r="A707" s="48" t="n">
        <f aca="false">TB_audited!A690</f>
        <v>0</v>
      </c>
      <c r="B707" s="49"/>
      <c r="C707" s="50"/>
      <c r="D707" s="51" t="n">
        <f aca="false">TB_audited!B690</f>
        <v>0</v>
      </c>
      <c r="E707" s="52" t="n">
        <f aca="false">TB_audited!C690</f>
        <v>0</v>
      </c>
      <c r="F707" s="53" t="n">
        <f aca="false">TB_audited!D690</f>
        <v>0</v>
      </c>
      <c r="G707" s="54" t="n">
        <f aca="false">IF($D$8="Interim",TB_audited!G690,TB_audited!E690)</f>
        <v>0</v>
      </c>
      <c r="H707" s="55" t="str">
        <f aca="false">IFERROR(VLOOKUP($A707,RA_result!$B$3:$N$62,11,0),"")</f>
        <v/>
      </c>
      <c r="I707" s="55" t="str">
        <f aca="false">IFERROR(VLOOKUP($A707,RA_result!$B$3:$N$62,12,0),"")</f>
        <v/>
      </c>
      <c r="J707" s="55" t="str">
        <f aca="false">IFERROR(VLOOKUP($A707,RA_result!$B$3:$N$62,13,0),"")</f>
        <v/>
      </c>
      <c r="K707" s="56"/>
      <c r="L707" s="56"/>
      <c r="M707" s="57" t="n">
        <f aca="false">G707</f>
        <v>0</v>
      </c>
      <c r="N707" s="54" t="n">
        <f aca="false">G707-M707</f>
        <v>0</v>
      </c>
      <c r="O707" s="55" t="str">
        <f aca="false">IFERROR(VLOOKUP($A707,RA_result!$B$3:$N$62,7,0),"")</f>
        <v/>
      </c>
      <c r="P707" s="52" t="str">
        <f aca="false">IFERROR(VLOOKUP($A707,RA_result!$B$3:$N$62,9,0),"")</f>
        <v/>
      </c>
      <c r="Q707" s="52" t="str">
        <f aca="false">IFERROR(VLOOKUP($A707,RA_result!$B$3:$N$62,10,0),"")</f>
        <v/>
      </c>
      <c r="R707" s="58" t="s">
        <v>55</v>
      </c>
      <c r="S707" s="59" t="str">
        <f aca="false">IFERROR(VLOOKUP($A707,RA_result!$B$3:$N$62,4,0),"")</f>
        <v/>
      </c>
      <c r="T707" s="60" t="s">
        <v>56</v>
      </c>
      <c r="U707" s="59" t="str">
        <f aca="false">IFERROR(IF(VLOOKUP($A707,RA_result!$B$3:$N$62,6,0)="",S707*T707,VLOOKUP($A707,RA_result!$B$3:$N$62,6,0)),"")</f>
        <v/>
      </c>
      <c r="V707" s="61" t="s">
        <v>56</v>
      </c>
      <c r="W707" s="62" t="n">
        <f aca="false">IFERROR((S707*30%)/V707,0)</f>
        <v>0</v>
      </c>
      <c r="X707" s="63" t="n">
        <f aca="false">IFERROR(N707/W707,0)</f>
        <v>0</v>
      </c>
      <c r="Y707" s="68"/>
      <c r="Z707" s="57"/>
      <c r="AA707" s="69" t="str">
        <f aca="false">IF(OR(U707="",Y707="",Z707=""),"",IF(AND(U707&gt;Y707,-U707&lt;Z707),"Ok","Not Ok"))</f>
        <v/>
      </c>
      <c r="AB707" s="70"/>
    </row>
    <row r="708" customFormat="false" ht="12.8" hidden="false" customHeight="false" outlineLevel="0" collapsed="false">
      <c r="A708" s="48" t="n">
        <f aca="false">TB_audited!A691</f>
        <v>0</v>
      </c>
      <c r="B708" s="49"/>
      <c r="C708" s="50"/>
      <c r="D708" s="51" t="n">
        <f aca="false">TB_audited!B691</f>
        <v>0</v>
      </c>
      <c r="E708" s="52" t="n">
        <f aca="false">TB_audited!C691</f>
        <v>0</v>
      </c>
      <c r="F708" s="53" t="n">
        <f aca="false">TB_audited!D691</f>
        <v>0</v>
      </c>
      <c r="G708" s="54" t="n">
        <f aca="false">IF($D$8="Interim",TB_audited!G691,TB_audited!E691)</f>
        <v>0</v>
      </c>
      <c r="H708" s="55" t="str">
        <f aca="false">IFERROR(VLOOKUP($A708,RA_result!$B$3:$N$62,11,0),"")</f>
        <v/>
      </c>
      <c r="I708" s="55" t="str">
        <f aca="false">IFERROR(VLOOKUP($A708,RA_result!$B$3:$N$62,12,0),"")</f>
        <v/>
      </c>
      <c r="J708" s="55" t="str">
        <f aca="false">IFERROR(VLOOKUP($A708,RA_result!$B$3:$N$62,13,0),"")</f>
        <v/>
      </c>
      <c r="K708" s="56"/>
      <c r="L708" s="56"/>
      <c r="M708" s="57" t="n">
        <f aca="false">G708</f>
        <v>0</v>
      </c>
      <c r="N708" s="54" t="n">
        <f aca="false">G708-M708</f>
        <v>0</v>
      </c>
      <c r="O708" s="55" t="str">
        <f aca="false">IFERROR(VLOOKUP($A708,RA_result!$B$3:$N$62,7,0),"")</f>
        <v/>
      </c>
      <c r="P708" s="52" t="str">
        <f aca="false">IFERROR(VLOOKUP($A708,RA_result!$B$3:$N$62,9,0),"")</f>
        <v/>
      </c>
      <c r="Q708" s="52" t="str">
        <f aca="false">IFERROR(VLOOKUP($A708,RA_result!$B$3:$N$62,10,0),"")</f>
        <v/>
      </c>
      <c r="R708" s="58" t="s">
        <v>55</v>
      </c>
      <c r="S708" s="59" t="str">
        <f aca="false">IFERROR(VLOOKUP($A708,RA_result!$B$3:$N$62,4,0),"")</f>
        <v/>
      </c>
      <c r="T708" s="60" t="s">
        <v>56</v>
      </c>
      <c r="U708" s="59" t="str">
        <f aca="false">IFERROR(IF(VLOOKUP($A708,RA_result!$B$3:$N$62,6,0)="",S708*T708,VLOOKUP($A708,RA_result!$B$3:$N$62,6,0)),"")</f>
        <v/>
      </c>
      <c r="V708" s="61" t="s">
        <v>56</v>
      </c>
      <c r="W708" s="62" t="n">
        <f aca="false">IFERROR((S708*30%)/V708,0)</f>
        <v>0</v>
      </c>
      <c r="X708" s="63" t="n">
        <f aca="false">IFERROR(N708/W708,0)</f>
        <v>0</v>
      </c>
      <c r="Y708" s="68"/>
      <c r="Z708" s="57"/>
      <c r="AA708" s="69" t="str">
        <f aca="false">IF(OR(U708="",Y708="",Z708=""),"",IF(AND(U708&gt;Y708,-U708&lt;Z708),"Ok","Not Ok"))</f>
        <v/>
      </c>
      <c r="AB708" s="70"/>
    </row>
    <row r="709" customFormat="false" ht="12.8" hidden="false" customHeight="false" outlineLevel="0" collapsed="false">
      <c r="A709" s="48" t="n">
        <f aca="false">TB_audited!A692</f>
        <v>0</v>
      </c>
      <c r="B709" s="49"/>
      <c r="C709" s="50"/>
      <c r="D709" s="51" t="n">
        <f aca="false">TB_audited!B692</f>
        <v>0</v>
      </c>
      <c r="E709" s="52" t="n">
        <f aca="false">TB_audited!C692</f>
        <v>0</v>
      </c>
      <c r="F709" s="53" t="n">
        <f aca="false">TB_audited!D692</f>
        <v>0</v>
      </c>
      <c r="G709" s="54" t="n">
        <f aca="false">IF($D$8="Interim",TB_audited!G692,TB_audited!E692)</f>
        <v>0</v>
      </c>
      <c r="H709" s="55" t="str">
        <f aca="false">IFERROR(VLOOKUP($A709,RA_result!$B$3:$N$62,11,0),"")</f>
        <v/>
      </c>
      <c r="I709" s="55" t="str">
        <f aca="false">IFERROR(VLOOKUP($A709,RA_result!$B$3:$N$62,12,0),"")</f>
        <v/>
      </c>
      <c r="J709" s="55" t="str">
        <f aca="false">IFERROR(VLOOKUP($A709,RA_result!$B$3:$N$62,13,0),"")</f>
        <v/>
      </c>
      <c r="K709" s="56"/>
      <c r="L709" s="56"/>
      <c r="M709" s="57" t="n">
        <f aca="false">G709</f>
        <v>0</v>
      </c>
      <c r="N709" s="54" t="n">
        <f aca="false">G709-M709</f>
        <v>0</v>
      </c>
      <c r="O709" s="55" t="str">
        <f aca="false">IFERROR(VLOOKUP($A709,RA_result!$B$3:$N$62,7,0),"")</f>
        <v/>
      </c>
      <c r="P709" s="52" t="str">
        <f aca="false">IFERROR(VLOOKUP($A709,RA_result!$B$3:$N$62,9,0),"")</f>
        <v/>
      </c>
      <c r="Q709" s="52" t="str">
        <f aca="false">IFERROR(VLOOKUP($A709,RA_result!$B$3:$N$62,10,0),"")</f>
        <v/>
      </c>
      <c r="R709" s="58" t="s">
        <v>55</v>
      </c>
      <c r="S709" s="59" t="str">
        <f aca="false">IFERROR(VLOOKUP($A709,RA_result!$B$3:$N$62,4,0),"")</f>
        <v/>
      </c>
      <c r="T709" s="60" t="s">
        <v>56</v>
      </c>
      <c r="U709" s="59" t="str">
        <f aca="false">IFERROR(IF(VLOOKUP($A709,RA_result!$B$3:$N$62,6,0)="",S709*T709,VLOOKUP($A709,RA_result!$B$3:$N$62,6,0)),"")</f>
        <v/>
      </c>
      <c r="V709" s="61" t="s">
        <v>56</v>
      </c>
      <c r="W709" s="62" t="n">
        <f aca="false">IFERROR((S709*30%)/V709,0)</f>
        <v>0</v>
      </c>
      <c r="X709" s="63" t="n">
        <f aca="false">IFERROR(N709/W709,0)</f>
        <v>0</v>
      </c>
      <c r="Y709" s="68"/>
      <c r="Z709" s="57"/>
      <c r="AA709" s="69" t="str">
        <f aca="false">IF(OR(U709="",Y709="",Z709=""),"",IF(AND(U709&gt;Y709,-U709&lt;Z709),"Ok","Not Ok"))</f>
        <v/>
      </c>
      <c r="AB709" s="70"/>
    </row>
    <row r="710" customFormat="false" ht="12.8" hidden="false" customHeight="false" outlineLevel="0" collapsed="false">
      <c r="A710" s="48" t="n">
        <f aca="false">TB_audited!A693</f>
        <v>0</v>
      </c>
      <c r="B710" s="49"/>
      <c r="C710" s="50"/>
      <c r="D710" s="51" t="n">
        <f aca="false">TB_audited!B693</f>
        <v>0</v>
      </c>
      <c r="E710" s="52" t="n">
        <f aca="false">TB_audited!C693</f>
        <v>0</v>
      </c>
      <c r="F710" s="53" t="n">
        <f aca="false">TB_audited!D693</f>
        <v>0</v>
      </c>
      <c r="G710" s="54" t="n">
        <f aca="false">IF($D$8="Interim",TB_audited!G693,TB_audited!E693)</f>
        <v>0</v>
      </c>
      <c r="H710" s="55" t="str">
        <f aca="false">IFERROR(VLOOKUP($A710,RA_result!$B$3:$N$62,11,0),"")</f>
        <v/>
      </c>
      <c r="I710" s="55" t="str">
        <f aca="false">IFERROR(VLOOKUP($A710,RA_result!$B$3:$N$62,12,0),"")</f>
        <v/>
      </c>
      <c r="J710" s="55" t="str">
        <f aca="false">IFERROR(VLOOKUP($A710,RA_result!$B$3:$N$62,13,0),"")</f>
        <v/>
      </c>
      <c r="K710" s="56"/>
      <c r="L710" s="56"/>
      <c r="M710" s="57" t="n">
        <f aca="false">G710</f>
        <v>0</v>
      </c>
      <c r="N710" s="54" t="n">
        <f aca="false">G710-M710</f>
        <v>0</v>
      </c>
      <c r="O710" s="55" t="str">
        <f aca="false">IFERROR(VLOOKUP($A710,RA_result!$B$3:$N$62,7,0),"")</f>
        <v/>
      </c>
      <c r="P710" s="52" t="str">
        <f aca="false">IFERROR(VLOOKUP($A710,RA_result!$B$3:$N$62,9,0),"")</f>
        <v/>
      </c>
      <c r="Q710" s="52" t="str">
        <f aca="false">IFERROR(VLOOKUP($A710,RA_result!$B$3:$N$62,10,0),"")</f>
        <v/>
      </c>
      <c r="R710" s="58" t="s">
        <v>55</v>
      </c>
      <c r="S710" s="59" t="str">
        <f aca="false">IFERROR(VLOOKUP($A710,RA_result!$B$3:$N$62,4,0),"")</f>
        <v/>
      </c>
      <c r="T710" s="60" t="s">
        <v>56</v>
      </c>
      <c r="U710" s="59" t="str">
        <f aca="false">IFERROR(IF(VLOOKUP($A710,RA_result!$B$3:$N$62,6,0)="",S710*T710,VLOOKUP($A710,RA_result!$B$3:$N$62,6,0)),"")</f>
        <v/>
      </c>
      <c r="V710" s="61" t="s">
        <v>56</v>
      </c>
      <c r="W710" s="62" t="n">
        <f aca="false">IFERROR((S710*30%)/V710,0)</f>
        <v>0</v>
      </c>
      <c r="X710" s="63" t="n">
        <f aca="false">IFERROR(N710/W710,0)</f>
        <v>0</v>
      </c>
      <c r="Y710" s="68"/>
      <c r="Z710" s="57"/>
      <c r="AA710" s="69" t="str">
        <f aca="false">IF(OR(U710="",Y710="",Z710=""),"",IF(AND(U710&gt;Y710,-U710&lt;Z710),"Ok","Not Ok"))</f>
        <v/>
      </c>
      <c r="AB710" s="70"/>
    </row>
    <row r="711" customFormat="false" ht="12.8" hidden="false" customHeight="false" outlineLevel="0" collapsed="false">
      <c r="A711" s="48" t="n">
        <f aca="false">TB_audited!A694</f>
        <v>0</v>
      </c>
      <c r="B711" s="49"/>
      <c r="C711" s="50"/>
      <c r="D711" s="51" t="n">
        <f aca="false">TB_audited!B694</f>
        <v>0</v>
      </c>
      <c r="E711" s="52" t="n">
        <f aca="false">TB_audited!C694</f>
        <v>0</v>
      </c>
      <c r="F711" s="53" t="n">
        <f aca="false">TB_audited!D694</f>
        <v>0</v>
      </c>
      <c r="G711" s="54" t="n">
        <f aca="false">IF($D$8="Interim",TB_audited!G694,TB_audited!E694)</f>
        <v>0</v>
      </c>
      <c r="H711" s="55" t="str">
        <f aca="false">IFERROR(VLOOKUP($A711,RA_result!$B$3:$N$62,11,0),"")</f>
        <v/>
      </c>
      <c r="I711" s="55" t="str">
        <f aca="false">IFERROR(VLOOKUP($A711,RA_result!$B$3:$N$62,12,0),"")</f>
        <v/>
      </c>
      <c r="J711" s="55" t="str">
        <f aca="false">IFERROR(VLOOKUP($A711,RA_result!$B$3:$N$62,13,0),"")</f>
        <v/>
      </c>
      <c r="K711" s="56"/>
      <c r="L711" s="56"/>
      <c r="M711" s="57" t="n">
        <f aca="false">G711</f>
        <v>0</v>
      </c>
      <c r="N711" s="54" t="n">
        <f aca="false">G711-M711</f>
        <v>0</v>
      </c>
      <c r="O711" s="55" t="str">
        <f aca="false">IFERROR(VLOOKUP($A711,RA_result!$B$3:$N$62,7,0),"")</f>
        <v/>
      </c>
      <c r="P711" s="52" t="str">
        <f aca="false">IFERROR(VLOOKUP($A711,RA_result!$B$3:$N$62,9,0),"")</f>
        <v/>
      </c>
      <c r="Q711" s="52" t="str">
        <f aca="false">IFERROR(VLOOKUP($A711,RA_result!$B$3:$N$62,10,0),"")</f>
        <v/>
      </c>
      <c r="R711" s="58" t="s">
        <v>55</v>
      </c>
      <c r="S711" s="59" t="str">
        <f aca="false">IFERROR(VLOOKUP($A711,RA_result!$B$3:$N$62,4,0),"")</f>
        <v/>
      </c>
      <c r="T711" s="60" t="s">
        <v>56</v>
      </c>
      <c r="U711" s="59" t="str">
        <f aca="false">IFERROR(IF(VLOOKUP($A711,RA_result!$B$3:$N$62,6,0)="",S711*T711,VLOOKUP($A711,RA_result!$B$3:$N$62,6,0)),"")</f>
        <v/>
      </c>
      <c r="V711" s="61" t="s">
        <v>56</v>
      </c>
      <c r="W711" s="62" t="n">
        <f aca="false">IFERROR((S711*30%)/V711,0)</f>
        <v>0</v>
      </c>
      <c r="X711" s="63" t="n">
        <f aca="false">IFERROR(N711/W711,0)</f>
        <v>0</v>
      </c>
      <c r="Y711" s="68"/>
      <c r="Z711" s="57"/>
      <c r="AA711" s="69" t="str">
        <f aca="false">IF(OR(U711="",Y711="",Z711=""),"",IF(AND(U711&gt;Y711,-U711&lt;Z711),"Ok","Not Ok"))</f>
        <v/>
      </c>
      <c r="AB711" s="70"/>
    </row>
    <row r="712" customFormat="false" ht="12.8" hidden="false" customHeight="false" outlineLevel="0" collapsed="false">
      <c r="A712" s="48" t="n">
        <f aca="false">TB_audited!A695</f>
        <v>0</v>
      </c>
      <c r="B712" s="49"/>
      <c r="C712" s="50"/>
      <c r="D712" s="51" t="n">
        <f aca="false">TB_audited!B695</f>
        <v>0</v>
      </c>
      <c r="E712" s="52" t="n">
        <f aca="false">TB_audited!C695</f>
        <v>0</v>
      </c>
      <c r="F712" s="53" t="n">
        <f aca="false">TB_audited!D695</f>
        <v>0</v>
      </c>
      <c r="G712" s="54" t="n">
        <f aca="false">IF($D$8="Interim",TB_audited!G695,TB_audited!E695)</f>
        <v>0</v>
      </c>
      <c r="H712" s="55" t="str">
        <f aca="false">IFERROR(VLOOKUP($A712,RA_result!$B$3:$N$62,11,0),"")</f>
        <v/>
      </c>
      <c r="I712" s="55" t="str">
        <f aca="false">IFERROR(VLOOKUP($A712,RA_result!$B$3:$N$62,12,0),"")</f>
        <v/>
      </c>
      <c r="J712" s="55" t="str">
        <f aca="false">IFERROR(VLOOKUP($A712,RA_result!$B$3:$N$62,13,0),"")</f>
        <v/>
      </c>
      <c r="K712" s="56"/>
      <c r="L712" s="56"/>
      <c r="M712" s="57" t="n">
        <f aca="false">G712</f>
        <v>0</v>
      </c>
      <c r="N712" s="54" t="n">
        <f aca="false">G712-M712</f>
        <v>0</v>
      </c>
      <c r="O712" s="55" t="str">
        <f aca="false">IFERROR(VLOOKUP($A712,RA_result!$B$3:$N$62,7,0),"")</f>
        <v/>
      </c>
      <c r="P712" s="52" t="str">
        <f aca="false">IFERROR(VLOOKUP($A712,RA_result!$B$3:$N$62,9,0),"")</f>
        <v/>
      </c>
      <c r="Q712" s="52" t="str">
        <f aca="false">IFERROR(VLOOKUP($A712,RA_result!$B$3:$N$62,10,0),"")</f>
        <v/>
      </c>
      <c r="R712" s="58" t="s">
        <v>55</v>
      </c>
      <c r="S712" s="59" t="str">
        <f aca="false">IFERROR(VLOOKUP($A712,RA_result!$B$3:$N$62,4,0),"")</f>
        <v/>
      </c>
      <c r="T712" s="60" t="s">
        <v>56</v>
      </c>
      <c r="U712" s="59" t="str">
        <f aca="false">IFERROR(IF(VLOOKUP($A712,RA_result!$B$3:$N$62,6,0)="",S712*T712,VLOOKUP($A712,RA_result!$B$3:$N$62,6,0)),"")</f>
        <v/>
      </c>
      <c r="V712" s="61" t="s">
        <v>56</v>
      </c>
      <c r="W712" s="62" t="n">
        <f aca="false">IFERROR((S712*30%)/V712,0)</f>
        <v>0</v>
      </c>
      <c r="X712" s="63" t="n">
        <f aca="false">IFERROR(N712/W712,0)</f>
        <v>0</v>
      </c>
      <c r="Y712" s="68"/>
      <c r="Z712" s="57"/>
      <c r="AA712" s="69" t="str">
        <f aca="false">IF(OR(U712="",Y712="",Z712=""),"",IF(AND(U712&gt;Y712,-U712&lt;Z712),"Ok","Not Ok"))</f>
        <v/>
      </c>
      <c r="AB712" s="70"/>
    </row>
    <row r="713" customFormat="false" ht="12.8" hidden="false" customHeight="false" outlineLevel="0" collapsed="false">
      <c r="A713" s="48" t="n">
        <f aca="false">TB_audited!A696</f>
        <v>0</v>
      </c>
      <c r="B713" s="49"/>
      <c r="C713" s="50"/>
      <c r="D713" s="51" t="n">
        <f aca="false">TB_audited!B696</f>
        <v>0</v>
      </c>
      <c r="E713" s="52" t="n">
        <f aca="false">TB_audited!C696</f>
        <v>0</v>
      </c>
      <c r="F713" s="53" t="n">
        <f aca="false">TB_audited!D696</f>
        <v>0</v>
      </c>
      <c r="G713" s="54" t="n">
        <f aca="false">IF($D$8="Interim",TB_audited!G696,TB_audited!E696)</f>
        <v>0</v>
      </c>
      <c r="H713" s="55" t="str">
        <f aca="false">IFERROR(VLOOKUP($A713,RA_result!$B$3:$N$62,11,0),"")</f>
        <v/>
      </c>
      <c r="I713" s="55" t="str">
        <f aca="false">IFERROR(VLOOKUP($A713,RA_result!$B$3:$N$62,12,0),"")</f>
        <v/>
      </c>
      <c r="J713" s="55" t="str">
        <f aca="false">IFERROR(VLOOKUP($A713,RA_result!$B$3:$N$62,13,0),"")</f>
        <v/>
      </c>
      <c r="K713" s="56"/>
      <c r="L713" s="56"/>
      <c r="M713" s="57" t="n">
        <f aca="false">G713</f>
        <v>0</v>
      </c>
      <c r="N713" s="54" t="n">
        <f aca="false">G713-M713</f>
        <v>0</v>
      </c>
      <c r="O713" s="55" t="str">
        <f aca="false">IFERROR(VLOOKUP($A713,RA_result!$B$3:$N$62,7,0),"")</f>
        <v/>
      </c>
      <c r="P713" s="52" t="str">
        <f aca="false">IFERROR(VLOOKUP($A713,RA_result!$B$3:$N$62,9,0),"")</f>
        <v/>
      </c>
      <c r="Q713" s="52" t="str">
        <f aca="false">IFERROR(VLOOKUP($A713,RA_result!$B$3:$N$62,10,0),"")</f>
        <v/>
      </c>
      <c r="R713" s="58" t="s">
        <v>55</v>
      </c>
      <c r="S713" s="59" t="str">
        <f aca="false">IFERROR(VLOOKUP($A713,RA_result!$B$3:$N$62,4,0),"")</f>
        <v/>
      </c>
      <c r="T713" s="60" t="s">
        <v>56</v>
      </c>
      <c r="U713" s="59" t="str">
        <f aca="false">IFERROR(IF(VLOOKUP($A713,RA_result!$B$3:$N$62,6,0)="",S713*T713,VLOOKUP($A713,RA_result!$B$3:$N$62,6,0)),"")</f>
        <v/>
      </c>
      <c r="V713" s="61" t="s">
        <v>56</v>
      </c>
      <c r="W713" s="62" t="n">
        <f aca="false">IFERROR((S713*30%)/V713,0)</f>
        <v>0</v>
      </c>
      <c r="X713" s="63" t="n">
        <f aca="false">IFERROR(N713/W713,0)</f>
        <v>0</v>
      </c>
      <c r="Y713" s="68"/>
      <c r="Z713" s="57"/>
      <c r="AA713" s="69" t="str">
        <f aca="false">IF(OR(U713="",Y713="",Z713=""),"",IF(AND(U713&gt;Y713,-U713&lt;Z713),"Ok","Not Ok"))</f>
        <v/>
      </c>
      <c r="AB713" s="70"/>
    </row>
    <row r="714" customFormat="false" ht="12.8" hidden="false" customHeight="false" outlineLevel="0" collapsed="false">
      <c r="A714" s="48" t="n">
        <f aca="false">TB_audited!A697</f>
        <v>0</v>
      </c>
      <c r="B714" s="49"/>
      <c r="C714" s="50"/>
      <c r="D714" s="51" t="n">
        <f aca="false">TB_audited!B697</f>
        <v>0</v>
      </c>
      <c r="E714" s="52" t="n">
        <f aca="false">TB_audited!C697</f>
        <v>0</v>
      </c>
      <c r="F714" s="53" t="n">
        <f aca="false">TB_audited!D697</f>
        <v>0</v>
      </c>
      <c r="G714" s="54" t="n">
        <f aca="false">IF($D$8="Interim",TB_audited!G697,TB_audited!E697)</f>
        <v>0</v>
      </c>
      <c r="H714" s="55" t="str">
        <f aca="false">IFERROR(VLOOKUP($A714,RA_result!$B$3:$N$62,11,0),"")</f>
        <v/>
      </c>
      <c r="I714" s="55" t="str">
        <f aca="false">IFERROR(VLOOKUP($A714,RA_result!$B$3:$N$62,12,0),"")</f>
        <v/>
      </c>
      <c r="J714" s="55" t="str">
        <f aca="false">IFERROR(VLOOKUP($A714,RA_result!$B$3:$N$62,13,0),"")</f>
        <v/>
      </c>
      <c r="K714" s="56"/>
      <c r="L714" s="56"/>
      <c r="M714" s="57" t="n">
        <f aca="false">G714</f>
        <v>0</v>
      </c>
      <c r="N714" s="54" t="n">
        <f aca="false">G714-M714</f>
        <v>0</v>
      </c>
      <c r="O714" s="55" t="str">
        <f aca="false">IFERROR(VLOOKUP($A714,RA_result!$B$3:$N$62,7,0),"")</f>
        <v/>
      </c>
      <c r="P714" s="52" t="str">
        <f aca="false">IFERROR(VLOOKUP($A714,RA_result!$B$3:$N$62,9,0),"")</f>
        <v/>
      </c>
      <c r="Q714" s="52" t="str">
        <f aca="false">IFERROR(VLOOKUP($A714,RA_result!$B$3:$N$62,10,0),"")</f>
        <v/>
      </c>
      <c r="R714" s="58" t="s">
        <v>55</v>
      </c>
      <c r="S714" s="59" t="str">
        <f aca="false">IFERROR(VLOOKUP($A714,RA_result!$B$3:$N$62,4,0),"")</f>
        <v/>
      </c>
      <c r="T714" s="60" t="s">
        <v>56</v>
      </c>
      <c r="U714" s="59" t="str">
        <f aca="false">IFERROR(IF(VLOOKUP($A714,RA_result!$B$3:$N$62,6,0)="",S714*T714,VLOOKUP($A714,RA_result!$B$3:$N$62,6,0)),"")</f>
        <v/>
      </c>
      <c r="V714" s="61" t="s">
        <v>56</v>
      </c>
      <c r="W714" s="62" t="n">
        <f aca="false">IFERROR((S714*30%)/V714,0)</f>
        <v>0</v>
      </c>
      <c r="X714" s="63" t="n">
        <f aca="false">IFERROR(N714/W714,0)</f>
        <v>0</v>
      </c>
      <c r="Y714" s="68"/>
      <c r="Z714" s="57"/>
      <c r="AA714" s="69" t="str">
        <f aca="false">IF(OR(U714="",Y714="",Z714=""),"",IF(AND(U714&gt;Y714,-U714&lt;Z714),"Ok","Not Ok"))</f>
        <v/>
      </c>
      <c r="AB714" s="70"/>
    </row>
    <row r="715" customFormat="false" ht="12.8" hidden="false" customHeight="false" outlineLevel="0" collapsed="false">
      <c r="A715" s="48" t="n">
        <f aca="false">TB_audited!A698</f>
        <v>0</v>
      </c>
      <c r="B715" s="49"/>
      <c r="C715" s="50"/>
      <c r="D715" s="51" t="n">
        <f aca="false">TB_audited!B698</f>
        <v>0</v>
      </c>
      <c r="E715" s="52" t="n">
        <f aca="false">TB_audited!C698</f>
        <v>0</v>
      </c>
      <c r="F715" s="53" t="n">
        <f aca="false">TB_audited!D698</f>
        <v>0</v>
      </c>
      <c r="G715" s="54" t="n">
        <f aca="false">IF($D$8="Interim",TB_audited!G698,TB_audited!E698)</f>
        <v>0</v>
      </c>
      <c r="H715" s="55" t="str">
        <f aca="false">IFERROR(VLOOKUP($A715,RA_result!$B$3:$N$62,11,0),"")</f>
        <v/>
      </c>
      <c r="I715" s="55" t="str">
        <f aca="false">IFERROR(VLOOKUP($A715,RA_result!$B$3:$N$62,12,0),"")</f>
        <v/>
      </c>
      <c r="J715" s="55" t="str">
        <f aca="false">IFERROR(VLOOKUP($A715,RA_result!$B$3:$N$62,13,0),"")</f>
        <v/>
      </c>
      <c r="K715" s="56"/>
      <c r="L715" s="56"/>
      <c r="M715" s="57" t="n">
        <f aca="false">G715</f>
        <v>0</v>
      </c>
      <c r="N715" s="54" t="n">
        <f aca="false">G715-M715</f>
        <v>0</v>
      </c>
      <c r="O715" s="55" t="str">
        <f aca="false">IFERROR(VLOOKUP($A715,RA_result!$B$3:$N$62,7,0),"")</f>
        <v/>
      </c>
      <c r="P715" s="52" t="str">
        <f aca="false">IFERROR(VLOOKUP($A715,RA_result!$B$3:$N$62,9,0),"")</f>
        <v/>
      </c>
      <c r="Q715" s="52" t="str">
        <f aca="false">IFERROR(VLOOKUP($A715,RA_result!$B$3:$N$62,10,0),"")</f>
        <v/>
      </c>
      <c r="R715" s="58" t="s">
        <v>55</v>
      </c>
      <c r="S715" s="59" t="str">
        <f aca="false">IFERROR(VLOOKUP($A715,RA_result!$B$3:$N$62,4,0),"")</f>
        <v/>
      </c>
      <c r="T715" s="60" t="s">
        <v>56</v>
      </c>
      <c r="U715" s="59" t="str">
        <f aca="false">IFERROR(IF(VLOOKUP($A715,RA_result!$B$3:$N$62,6,0)="",S715*T715,VLOOKUP($A715,RA_result!$B$3:$N$62,6,0)),"")</f>
        <v/>
      </c>
      <c r="V715" s="61" t="s">
        <v>56</v>
      </c>
      <c r="W715" s="62" t="n">
        <f aca="false">IFERROR((S715*30%)/V715,0)</f>
        <v>0</v>
      </c>
      <c r="X715" s="63" t="n">
        <f aca="false">IFERROR(N715/W715,0)</f>
        <v>0</v>
      </c>
      <c r="Y715" s="68"/>
      <c r="Z715" s="57"/>
      <c r="AA715" s="69" t="str">
        <f aca="false">IF(OR(U715="",Y715="",Z715=""),"",IF(AND(U715&gt;Y715,-U715&lt;Z715),"Ok","Not Ok"))</f>
        <v/>
      </c>
      <c r="AB715" s="70"/>
    </row>
    <row r="716" customFormat="false" ht="12.8" hidden="false" customHeight="false" outlineLevel="0" collapsed="false">
      <c r="A716" s="48" t="n">
        <f aca="false">TB_audited!A699</f>
        <v>0</v>
      </c>
      <c r="B716" s="49"/>
      <c r="C716" s="50"/>
      <c r="D716" s="51" t="n">
        <f aca="false">TB_audited!B699</f>
        <v>0</v>
      </c>
      <c r="E716" s="52" t="n">
        <f aca="false">TB_audited!C699</f>
        <v>0</v>
      </c>
      <c r="F716" s="53" t="n">
        <f aca="false">TB_audited!D699</f>
        <v>0</v>
      </c>
      <c r="G716" s="54" t="n">
        <f aca="false">IF($D$8="Interim",TB_audited!G699,TB_audited!E699)</f>
        <v>0</v>
      </c>
      <c r="H716" s="55" t="str">
        <f aca="false">IFERROR(VLOOKUP($A716,RA_result!$B$3:$N$62,11,0),"")</f>
        <v/>
      </c>
      <c r="I716" s="55" t="str">
        <f aca="false">IFERROR(VLOOKUP($A716,RA_result!$B$3:$N$62,12,0),"")</f>
        <v/>
      </c>
      <c r="J716" s="55" t="str">
        <f aca="false">IFERROR(VLOOKUP($A716,RA_result!$B$3:$N$62,13,0),"")</f>
        <v/>
      </c>
      <c r="K716" s="56"/>
      <c r="L716" s="56"/>
      <c r="M716" s="57" t="n">
        <f aca="false">G716</f>
        <v>0</v>
      </c>
      <c r="N716" s="54" t="n">
        <f aca="false">G716-M716</f>
        <v>0</v>
      </c>
      <c r="O716" s="55" t="str">
        <f aca="false">IFERROR(VLOOKUP($A716,RA_result!$B$3:$N$62,7,0),"")</f>
        <v/>
      </c>
      <c r="P716" s="52" t="str">
        <f aca="false">IFERROR(VLOOKUP($A716,RA_result!$B$3:$N$62,9,0),"")</f>
        <v/>
      </c>
      <c r="Q716" s="52" t="str">
        <f aca="false">IFERROR(VLOOKUP($A716,RA_result!$B$3:$N$62,10,0),"")</f>
        <v/>
      </c>
      <c r="R716" s="58" t="s">
        <v>55</v>
      </c>
      <c r="S716" s="59" t="str">
        <f aca="false">IFERROR(VLOOKUP($A716,RA_result!$B$3:$N$62,4,0),"")</f>
        <v/>
      </c>
      <c r="T716" s="60" t="s">
        <v>56</v>
      </c>
      <c r="U716" s="59" t="str">
        <f aca="false">IFERROR(IF(VLOOKUP($A716,RA_result!$B$3:$N$62,6,0)="",S716*T716,VLOOKUP($A716,RA_result!$B$3:$N$62,6,0)),"")</f>
        <v/>
      </c>
      <c r="V716" s="61" t="s">
        <v>56</v>
      </c>
      <c r="W716" s="62" t="n">
        <f aca="false">IFERROR((S716*30%)/V716,0)</f>
        <v>0</v>
      </c>
      <c r="X716" s="63" t="n">
        <f aca="false">IFERROR(N716/W716,0)</f>
        <v>0</v>
      </c>
      <c r="Y716" s="68"/>
      <c r="Z716" s="57"/>
      <c r="AA716" s="69" t="str">
        <f aca="false">IF(OR(U716="",Y716="",Z716=""),"",IF(AND(U716&gt;Y716,-U716&lt;Z716),"Ok","Not Ok"))</f>
        <v/>
      </c>
      <c r="AB716" s="70"/>
    </row>
    <row r="717" customFormat="false" ht="12.8" hidden="false" customHeight="false" outlineLevel="0" collapsed="false">
      <c r="A717" s="48" t="n">
        <f aca="false">TB_audited!A700</f>
        <v>0</v>
      </c>
      <c r="B717" s="49"/>
      <c r="C717" s="50"/>
      <c r="D717" s="51" t="n">
        <f aca="false">TB_audited!B700</f>
        <v>0</v>
      </c>
      <c r="E717" s="52" t="n">
        <f aca="false">TB_audited!C700</f>
        <v>0</v>
      </c>
      <c r="F717" s="53" t="n">
        <f aca="false">TB_audited!D700</f>
        <v>0</v>
      </c>
      <c r="G717" s="54" t="n">
        <f aca="false">IF($D$8="Interim",TB_audited!G700,TB_audited!E700)</f>
        <v>0</v>
      </c>
      <c r="H717" s="55" t="str">
        <f aca="false">IFERROR(VLOOKUP($A717,RA_result!$B$3:$N$62,11,0),"")</f>
        <v/>
      </c>
      <c r="I717" s="55" t="str">
        <f aca="false">IFERROR(VLOOKUP($A717,RA_result!$B$3:$N$62,12,0),"")</f>
        <v/>
      </c>
      <c r="J717" s="55" t="str">
        <f aca="false">IFERROR(VLOOKUP($A717,RA_result!$B$3:$N$62,13,0),"")</f>
        <v/>
      </c>
      <c r="K717" s="56"/>
      <c r="L717" s="56"/>
      <c r="M717" s="57" t="n">
        <f aca="false">G717</f>
        <v>0</v>
      </c>
      <c r="N717" s="54" t="n">
        <f aca="false">G717-M717</f>
        <v>0</v>
      </c>
      <c r="O717" s="55" t="str">
        <f aca="false">IFERROR(VLOOKUP($A717,RA_result!$B$3:$N$62,7,0),"")</f>
        <v/>
      </c>
      <c r="P717" s="52" t="str">
        <f aca="false">IFERROR(VLOOKUP($A717,RA_result!$B$3:$N$62,9,0),"")</f>
        <v/>
      </c>
      <c r="Q717" s="52" t="str">
        <f aca="false">IFERROR(VLOOKUP($A717,RA_result!$B$3:$N$62,10,0),"")</f>
        <v/>
      </c>
      <c r="R717" s="58" t="s">
        <v>55</v>
      </c>
      <c r="S717" s="59" t="str">
        <f aca="false">IFERROR(VLOOKUP($A717,RA_result!$B$3:$N$62,4,0),"")</f>
        <v/>
      </c>
      <c r="T717" s="60" t="s">
        <v>56</v>
      </c>
      <c r="U717" s="59" t="str">
        <f aca="false">IFERROR(IF(VLOOKUP($A717,RA_result!$B$3:$N$62,6,0)="",S717*T717,VLOOKUP($A717,RA_result!$B$3:$N$62,6,0)),"")</f>
        <v/>
      </c>
      <c r="V717" s="61" t="s">
        <v>56</v>
      </c>
      <c r="W717" s="62" t="n">
        <f aca="false">IFERROR((S717*30%)/V717,0)</f>
        <v>0</v>
      </c>
      <c r="X717" s="63" t="n">
        <f aca="false">IFERROR(N717/W717,0)</f>
        <v>0</v>
      </c>
      <c r="Y717" s="68"/>
      <c r="Z717" s="57"/>
      <c r="AA717" s="69" t="str">
        <f aca="false">IF(OR(U717="",Y717="",Z717=""),"",IF(AND(U717&gt;Y717,-U717&lt;Z717),"Ok","Not Ok"))</f>
        <v/>
      </c>
      <c r="AB717" s="70"/>
    </row>
    <row r="718" customFormat="false" ht="12.8" hidden="false" customHeight="false" outlineLevel="0" collapsed="false">
      <c r="A718" s="48" t="n">
        <f aca="false">TB_audited!A701</f>
        <v>0</v>
      </c>
      <c r="B718" s="49"/>
      <c r="C718" s="50"/>
      <c r="D718" s="51" t="n">
        <f aca="false">TB_audited!B701</f>
        <v>0</v>
      </c>
      <c r="E718" s="52" t="n">
        <f aca="false">TB_audited!C701</f>
        <v>0</v>
      </c>
      <c r="F718" s="53" t="n">
        <f aca="false">TB_audited!D701</f>
        <v>0</v>
      </c>
      <c r="G718" s="54" t="n">
        <f aca="false">IF($D$8="Interim",TB_audited!G701,TB_audited!E701)</f>
        <v>0</v>
      </c>
      <c r="H718" s="55" t="str">
        <f aca="false">IFERROR(VLOOKUP($A718,RA_result!$B$3:$N$62,11,0),"")</f>
        <v/>
      </c>
      <c r="I718" s="55" t="str">
        <f aca="false">IFERROR(VLOOKUP($A718,RA_result!$B$3:$N$62,12,0),"")</f>
        <v/>
      </c>
      <c r="J718" s="55" t="str">
        <f aca="false">IFERROR(VLOOKUP($A718,RA_result!$B$3:$N$62,13,0),"")</f>
        <v/>
      </c>
      <c r="K718" s="56"/>
      <c r="L718" s="56"/>
      <c r="M718" s="57" t="n">
        <f aca="false">G718</f>
        <v>0</v>
      </c>
      <c r="N718" s="54" t="n">
        <f aca="false">G718-M718</f>
        <v>0</v>
      </c>
      <c r="O718" s="55" t="str">
        <f aca="false">IFERROR(VLOOKUP($A718,RA_result!$B$3:$N$62,7,0),"")</f>
        <v/>
      </c>
      <c r="P718" s="52" t="str">
        <f aca="false">IFERROR(VLOOKUP($A718,RA_result!$B$3:$N$62,9,0),"")</f>
        <v/>
      </c>
      <c r="Q718" s="52" t="str">
        <f aca="false">IFERROR(VLOOKUP($A718,RA_result!$B$3:$N$62,10,0),"")</f>
        <v/>
      </c>
      <c r="R718" s="58" t="s">
        <v>55</v>
      </c>
      <c r="S718" s="59" t="str">
        <f aca="false">IFERROR(VLOOKUP($A718,RA_result!$B$3:$N$62,4,0),"")</f>
        <v/>
      </c>
      <c r="T718" s="60" t="s">
        <v>56</v>
      </c>
      <c r="U718" s="59" t="str">
        <f aca="false">IFERROR(IF(VLOOKUP($A718,RA_result!$B$3:$N$62,6,0)="",S718*T718,VLOOKUP($A718,RA_result!$B$3:$N$62,6,0)),"")</f>
        <v/>
      </c>
      <c r="V718" s="61" t="s">
        <v>56</v>
      </c>
      <c r="W718" s="62" t="n">
        <f aca="false">IFERROR((S718*30%)/V718,0)</f>
        <v>0</v>
      </c>
      <c r="X718" s="63" t="n">
        <f aca="false">IFERROR(N718/W718,0)</f>
        <v>0</v>
      </c>
      <c r="Y718" s="68"/>
      <c r="Z718" s="57"/>
      <c r="AA718" s="69" t="str">
        <f aca="false">IF(OR(U718="",Y718="",Z718=""),"",IF(AND(U718&gt;Y718,-U718&lt;Z718),"Ok","Not Ok"))</f>
        <v/>
      </c>
      <c r="AB718" s="70"/>
    </row>
    <row r="719" customFormat="false" ht="12.8" hidden="false" customHeight="false" outlineLevel="0" collapsed="false">
      <c r="A719" s="48" t="n">
        <f aca="false">TB_audited!A702</f>
        <v>0</v>
      </c>
      <c r="B719" s="49"/>
      <c r="C719" s="50"/>
      <c r="D719" s="51" t="n">
        <f aca="false">TB_audited!B702</f>
        <v>0</v>
      </c>
      <c r="E719" s="52" t="n">
        <f aca="false">TB_audited!C702</f>
        <v>0</v>
      </c>
      <c r="F719" s="53" t="n">
        <f aca="false">TB_audited!D702</f>
        <v>0</v>
      </c>
      <c r="G719" s="54" t="n">
        <f aca="false">IF($D$8="Interim",TB_audited!G702,TB_audited!E702)</f>
        <v>0</v>
      </c>
      <c r="H719" s="55" t="str">
        <f aca="false">IFERROR(VLOOKUP($A719,RA_result!$B$3:$N$62,11,0),"")</f>
        <v/>
      </c>
      <c r="I719" s="55" t="str">
        <f aca="false">IFERROR(VLOOKUP($A719,RA_result!$B$3:$N$62,12,0),"")</f>
        <v/>
      </c>
      <c r="J719" s="55" t="str">
        <f aca="false">IFERROR(VLOOKUP($A719,RA_result!$B$3:$N$62,13,0),"")</f>
        <v/>
      </c>
      <c r="K719" s="56"/>
      <c r="L719" s="56"/>
      <c r="M719" s="57" t="n">
        <f aca="false">G719</f>
        <v>0</v>
      </c>
      <c r="N719" s="54" t="n">
        <f aca="false">G719-M719</f>
        <v>0</v>
      </c>
      <c r="O719" s="55" t="str">
        <f aca="false">IFERROR(VLOOKUP($A719,RA_result!$B$3:$N$62,7,0),"")</f>
        <v/>
      </c>
      <c r="P719" s="52" t="str">
        <f aca="false">IFERROR(VLOOKUP($A719,RA_result!$B$3:$N$62,9,0),"")</f>
        <v/>
      </c>
      <c r="Q719" s="52" t="str">
        <f aca="false">IFERROR(VLOOKUP($A719,RA_result!$B$3:$N$62,10,0),"")</f>
        <v/>
      </c>
      <c r="R719" s="58" t="s">
        <v>55</v>
      </c>
      <c r="S719" s="59" t="str">
        <f aca="false">IFERROR(VLOOKUP($A719,RA_result!$B$3:$N$62,4,0),"")</f>
        <v/>
      </c>
      <c r="T719" s="60" t="s">
        <v>56</v>
      </c>
      <c r="U719" s="59" t="str">
        <f aca="false">IFERROR(IF(VLOOKUP($A719,RA_result!$B$3:$N$62,6,0)="",S719*T719,VLOOKUP($A719,RA_result!$B$3:$N$62,6,0)),"")</f>
        <v/>
      </c>
      <c r="V719" s="61" t="s">
        <v>56</v>
      </c>
      <c r="W719" s="62" t="n">
        <f aca="false">IFERROR((S719*30%)/V719,0)</f>
        <v>0</v>
      </c>
      <c r="X719" s="63" t="n">
        <f aca="false">IFERROR(N719/W719,0)</f>
        <v>0</v>
      </c>
      <c r="Y719" s="68"/>
      <c r="Z719" s="57"/>
      <c r="AA719" s="69" t="str">
        <f aca="false">IF(OR(U719="",Y719="",Z719=""),"",IF(AND(U719&gt;Y719,-U719&lt;Z719),"Ok","Not Ok"))</f>
        <v/>
      </c>
      <c r="AB719" s="70"/>
    </row>
    <row r="720" customFormat="false" ht="12.8" hidden="false" customHeight="false" outlineLevel="0" collapsed="false">
      <c r="A720" s="48" t="n">
        <f aca="false">TB_audited!A703</f>
        <v>0</v>
      </c>
      <c r="B720" s="49"/>
      <c r="C720" s="50"/>
      <c r="D720" s="51" t="n">
        <f aca="false">TB_audited!B703</f>
        <v>0</v>
      </c>
      <c r="E720" s="52" t="n">
        <f aca="false">TB_audited!C703</f>
        <v>0</v>
      </c>
      <c r="F720" s="53" t="n">
        <f aca="false">TB_audited!D703</f>
        <v>0</v>
      </c>
      <c r="G720" s="54" t="n">
        <f aca="false">IF($D$8="Interim",TB_audited!G703,TB_audited!E703)</f>
        <v>0</v>
      </c>
      <c r="H720" s="55" t="str">
        <f aca="false">IFERROR(VLOOKUP($A720,RA_result!$B$3:$N$62,11,0),"")</f>
        <v/>
      </c>
      <c r="I720" s="55" t="str">
        <f aca="false">IFERROR(VLOOKUP($A720,RA_result!$B$3:$N$62,12,0),"")</f>
        <v/>
      </c>
      <c r="J720" s="55" t="str">
        <f aca="false">IFERROR(VLOOKUP($A720,RA_result!$B$3:$N$62,13,0),"")</f>
        <v/>
      </c>
      <c r="K720" s="56"/>
      <c r="L720" s="56"/>
      <c r="M720" s="57" t="n">
        <f aca="false">G720</f>
        <v>0</v>
      </c>
      <c r="N720" s="54" t="n">
        <f aca="false">G720-M720</f>
        <v>0</v>
      </c>
      <c r="O720" s="55" t="str">
        <f aca="false">IFERROR(VLOOKUP($A720,RA_result!$B$3:$N$62,7,0),"")</f>
        <v/>
      </c>
      <c r="P720" s="52" t="str">
        <f aca="false">IFERROR(VLOOKUP($A720,RA_result!$B$3:$N$62,9,0),"")</f>
        <v/>
      </c>
      <c r="Q720" s="52" t="str">
        <f aca="false">IFERROR(VLOOKUP($A720,RA_result!$B$3:$N$62,10,0),"")</f>
        <v/>
      </c>
      <c r="R720" s="58" t="s">
        <v>55</v>
      </c>
      <c r="S720" s="59" t="str">
        <f aca="false">IFERROR(VLOOKUP($A720,RA_result!$B$3:$N$62,4,0),"")</f>
        <v/>
      </c>
      <c r="T720" s="60" t="s">
        <v>56</v>
      </c>
      <c r="U720" s="59" t="str">
        <f aca="false">IFERROR(IF(VLOOKUP($A720,RA_result!$B$3:$N$62,6,0)="",S720*T720,VLOOKUP($A720,RA_result!$B$3:$N$62,6,0)),"")</f>
        <v/>
      </c>
      <c r="V720" s="61" t="s">
        <v>56</v>
      </c>
      <c r="W720" s="62" t="n">
        <f aca="false">IFERROR((S720*30%)/V720,0)</f>
        <v>0</v>
      </c>
      <c r="X720" s="63" t="n">
        <f aca="false">IFERROR(N720/W720,0)</f>
        <v>0</v>
      </c>
      <c r="Y720" s="68"/>
      <c r="Z720" s="57"/>
      <c r="AA720" s="69" t="str">
        <f aca="false">IF(OR(U720="",Y720="",Z720=""),"",IF(AND(U720&gt;Y720,-U720&lt;Z720),"Ok","Not Ok"))</f>
        <v/>
      </c>
      <c r="AB720" s="70"/>
    </row>
    <row r="721" customFormat="false" ht="12.8" hidden="false" customHeight="false" outlineLevel="0" collapsed="false">
      <c r="A721" s="48" t="n">
        <f aca="false">TB_audited!A704</f>
        <v>0</v>
      </c>
      <c r="B721" s="49"/>
      <c r="C721" s="50"/>
      <c r="D721" s="51" t="n">
        <f aca="false">TB_audited!B704</f>
        <v>0</v>
      </c>
      <c r="E721" s="52" t="n">
        <f aca="false">TB_audited!C704</f>
        <v>0</v>
      </c>
      <c r="F721" s="53" t="n">
        <f aca="false">TB_audited!D704</f>
        <v>0</v>
      </c>
      <c r="G721" s="54" t="n">
        <f aca="false">IF($D$8="Interim",TB_audited!G704,TB_audited!E704)</f>
        <v>0</v>
      </c>
      <c r="H721" s="55" t="str">
        <f aca="false">IFERROR(VLOOKUP($A721,RA_result!$B$3:$N$62,11,0),"")</f>
        <v/>
      </c>
      <c r="I721" s="55" t="str">
        <f aca="false">IFERROR(VLOOKUP($A721,RA_result!$B$3:$N$62,12,0),"")</f>
        <v/>
      </c>
      <c r="J721" s="55" t="str">
        <f aca="false">IFERROR(VLOOKUP($A721,RA_result!$B$3:$N$62,13,0),"")</f>
        <v/>
      </c>
      <c r="K721" s="56"/>
      <c r="L721" s="56"/>
      <c r="M721" s="57" t="n">
        <f aca="false">G721</f>
        <v>0</v>
      </c>
      <c r="N721" s="54" t="n">
        <f aca="false">G721-M721</f>
        <v>0</v>
      </c>
      <c r="O721" s="55" t="str">
        <f aca="false">IFERROR(VLOOKUP($A721,RA_result!$B$3:$N$62,7,0),"")</f>
        <v/>
      </c>
      <c r="P721" s="52" t="str">
        <f aca="false">IFERROR(VLOOKUP($A721,RA_result!$B$3:$N$62,9,0),"")</f>
        <v/>
      </c>
      <c r="Q721" s="52" t="str">
        <f aca="false">IFERROR(VLOOKUP($A721,RA_result!$B$3:$N$62,10,0),"")</f>
        <v/>
      </c>
      <c r="R721" s="58" t="s">
        <v>55</v>
      </c>
      <c r="S721" s="59" t="str">
        <f aca="false">IFERROR(VLOOKUP($A721,RA_result!$B$3:$N$62,4,0),"")</f>
        <v/>
      </c>
      <c r="T721" s="60" t="s">
        <v>56</v>
      </c>
      <c r="U721" s="59" t="str">
        <f aca="false">IFERROR(IF(VLOOKUP($A721,RA_result!$B$3:$N$62,6,0)="",S721*T721,VLOOKUP($A721,RA_result!$B$3:$N$62,6,0)),"")</f>
        <v/>
      </c>
      <c r="V721" s="61" t="s">
        <v>56</v>
      </c>
      <c r="W721" s="62" t="n">
        <f aca="false">IFERROR((S721*30%)/V721,0)</f>
        <v>0</v>
      </c>
      <c r="X721" s="63" t="n">
        <f aca="false">IFERROR(N721/W721,0)</f>
        <v>0</v>
      </c>
      <c r="Y721" s="68"/>
      <c r="Z721" s="57"/>
      <c r="AA721" s="69" t="str">
        <f aca="false">IF(OR(U721="",Y721="",Z721=""),"",IF(AND(U721&gt;Y721,-U721&lt;Z721),"Ok","Not Ok"))</f>
        <v/>
      </c>
      <c r="AB721" s="70"/>
    </row>
    <row r="722" customFormat="false" ht="12.8" hidden="false" customHeight="false" outlineLevel="0" collapsed="false">
      <c r="A722" s="48" t="n">
        <f aca="false">TB_audited!A705</f>
        <v>0</v>
      </c>
      <c r="B722" s="49"/>
      <c r="C722" s="50"/>
      <c r="D722" s="51" t="n">
        <f aca="false">TB_audited!B705</f>
        <v>0</v>
      </c>
      <c r="E722" s="52" t="n">
        <f aca="false">TB_audited!C705</f>
        <v>0</v>
      </c>
      <c r="F722" s="53" t="n">
        <f aca="false">TB_audited!D705</f>
        <v>0</v>
      </c>
      <c r="G722" s="54" t="n">
        <f aca="false">IF($D$8="Interim",TB_audited!G705,TB_audited!E705)</f>
        <v>0</v>
      </c>
      <c r="H722" s="55" t="str">
        <f aca="false">IFERROR(VLOOKUP($A722,RA_result!$B$3:$N$62,11,0),"")</f>
        <v/>
      </c>
      <c r="I722" s="55" t="str">
        <f aca="false">IFERROR(VLOOKUP($A722,RA_result!$B$3:$N$62,12,0),"")</f>
        <v/>
      </c>
      <c r="J722" s="55" t="str">
        <f aca="false">IFERROR(VLOOKUP($A722,RA_result!$B$3:$N$62,13,0),"")</f>
        <v/>
      </c>
      <c r="K722" s="56"/>
      <c r="L722" s="56"/>
      <c r="M722" s="57" t="n">
        <f aca="false">G722</f>
        <v>0</v>
      </c>
      <c r="N722" s="54" t="n">
        <f aca="false">G722-M722</f>
        <v>0</v>
      </c>
      <c r="O722" s="55" t="str">
        <f aca="false">IFERROR(VLOOKUP($A722,RA_result!$B$3:$N$62,7,0),"")</f>
        <v/>
      </c>
      <c r="P722" s="52" t="str">
        <f aca="false">IFERROR(VLOOKUP($A722,RA_result!$B$3:$N$62,9,0),"")</f>
        <v/>
      </c>
      <c r="Q722" s="52" t="str">
        <f aca="false">IFERROR(VLOOKUP($A722,RA_result!$B$3:$N$62,10,0),"")</f>
        <v/>
      </c>
      <c r="R722" s="58" t="s">
        <v>55</v>
      </c>
      <c r="S722" s="59" t="str">
        <f aca="false">IFERROR(VLOOKUP($A722,RA_result!$B$3:$N$62,4,0),"")</f>
        <v/>
      </c>
      <c r="T722" s="60" t="s">
        <v>56</v>
      </c>
      <c r="U722" s="59" t="str">
        <f aca="false">IFERROR(IF(VLOOKUP($A722,RA_result!$B$3:$N$62,6,0)="",S722*T722,VLOOKUP($A722,RA_result!$B$3:$N$62,6,0)),"")</f>
        <v/>
      </c>
      <c r="V722" s="61" t="s">
        <v>56</v>
      </c>
      <c r="W722" s="62" t="n">
        <f aca="false">IFERROR((S722*30%)/V722,0)</f>
        <v>0</v>
      </c>
      <c r="X722" s="63" t="n">
        <f aca="false">IFERROR(N722/W722,0)</f>
        <v>0</v>
      </c>
      <c r="Y722" s="68"/>
      <c r="Z722" s="57"/>
      <c r="AA722" s="69" t="str">
        <f aca="false">IF(OR(U722="",Y722="",Z722=""),"",IF(AND(U722&gt;Y722,-U722&lt;Z722),"Ok","Not Ok"))</f>
        <v/>
      </c>
      <c r="AB722" s="70"/>
    </row>
    <row r="723" customFormat="false" ht="12.8" hidden="false" customHeight="false" outlineLevel="0" collapsed="false">
      <c r="A723" s="48" t="n">
        <f aca="false">TB_audited!A706</f>
        <v>0</v>
      </c>
      <c r="B723" s="49"/>
      <c r="C723" s="50"/>
      <c r="D723" s="51" t="n">
        <f aca="false">TB_audited!B706</f>
        <v>0</v>
      </c>
      <c r="E723" s="52" t="n">
        <f aca="false">TB_audited!C706</f>
        <v>0</v>
      </c>
      <c r="F723" s="53" t="n">
        <f aca="false">TB_audited!D706</f>
        <v>0</v>
      </c>
      <c r="G723" s="54" t="n">
        <f aca="false">IF($D$8="Interim",TB_audited!G706,TB_audited!E706)</f>
        <v>0</v>
      </c>
      <c r="H723" s="55" t="str">
        <f aca="false">IFERROR(VLOOKUP($A723,RA_result!$B$3:$N$62,11,0),"")</f>
        <v/>
      </c>
      <c r="I723" s="55" t="str">
        <f aca="false">IFERROR(VLOOKUP($A723,RA_result!$B$3:$N$62,12,0),"")</f>
        <v/>
      </c>
      <c r="J723" s="55" t="str">
        <f aca="false">IFERROR(VLOOKUP($A723,RA_result!$B$3:$N$62,13,0),"")</f>
        <v/>
      </c>
      <c r="K723" s="56"/>
      <c r="L723" s="56"/>
      <c r="M723" s="57" t="n">
        <f aca="false">G723</f>
        <v>0</v>
      </c>
      <c r="N723" s="54" t="n">
        <f aca="false">G723-M723</f>
        <v>0</v>
      </c>
      <c r="O723" s="55" t="str">
        <f aca="false">IFERROR(VLOOKUP($A723,RA_result!$B$3:$N$62,7,0),"")</f>
        <v/>
      </c>
      <c r="P723" s="52" t="str">
        <f aca="false">IFERROR(VLOOKUP($A723,RA_result!$B$3:$N$62,9,0),"")</f>
        <v/>
      </c>
      <c r="Q723" s="52" t="str">
        <f aca="false">IFERROR(VLOOKUP($A723,RA_result!$B$3:$N$62,10,0),"")</f>
        <v/>
      </c>
      <c r="R723" s="58" t="s">
        <v>55</v>
      </c>
      <c r="S723" s="59" t="str">
        <f aca="false">IFERROR(VLOOKUP($A723,RA_result!$B$3:$N$62,4,0),"")</f>
        <v/>
      </c>
      <c r="T723" s="60" t="s">
        <v>56</v>
      </c>
      <c r="U723" s="59" t="str">
        <f aca="false">IFERROR(IF(VLOOKUP($A723,RA_result!$B$3:$N$62,6,0)="",S723*T723,VLOOKUP($A723,RA_result!$B$3:$N$62,6,0)),"")</f>
        <v/>
      </c>
      <c r="V723" s="61" t="s">
        <v>56</v>
      </c>
      <c r="W723" s="62" t="n">
        <f aca="false">IFERROR((S723*30%)/V723,0)</f>
        <v>0</v>
      </c>
      <c r="X723" s="63" t="n">
        <f aca="false">IFERROR(N723/W723,0)</f>
        <v>0</v>
      </c>
      <c r="Y723" s="68"/>
      <c r="Z723" s="57"/>
      <c r="AA723" s="69" t="str">
        <f aca="false">IF(OR(U723="",Y723="",Z723=""),"",IF(AND(U723&gt;Y723,-U723&lt;Z723),"Ok","Not Ok"))</f>
        <v/>
      </c>
      <c r="AB723" s="70"/>
    </row>
    <row r="724" customFormat="false" ht="12.8" hidden="false" customHeight="false" outlineLevel="0" collapsed="false">
      <c r="A724" s="48" t="n">
        <f aca="false">TB_audited!A707</f>
        <v>0</v>
      </c>
      <c r="B724" s="49"/>
      <c r="C724" s="50"/>
      <c r="D724" s="51" t="n">
        <f aca="false">TB_audited!B707</f>
        <v>0</v>
      </c>
      <c r="E724" s="52" t="n">
        <f aca="false">TB_audited!C707</f>
        <v>0</v>
      </c>
      <c r="F724" s="53" t="n">
        <f aca="false">TB_audited!D707</f>
        <v>0</v>
      </c>
      <c r="G724" s="54" t="n">
        <f aca="false">IF($D$8="Interim",TB_audited!G707,TB_audited!E707)</f>
        <v>0</v>
      </c>
      <c r="H724" s="55" t="str">
        <f aca="false">IFERROR(VLOOKUP($A724,RA_result!$B$3:$N$62,11,0),"")</f>
        <v/>
      </c>
      <c r="I724" s="55" t="str">
        <f aca="false">IFERROR(VLOOKUP($A724,RA_result!$B$3:$N$62,12,0),"")</f>
        <v/>
      </c>
      <c r="J724" s="55" t="str">
        <f aca="false">IFERROR(VLOOKUP($A724,RA_result!$B$3:$N$62,13,0),"")</f>
        <v/>
      </c>
      <c r="K724" s="56"/>
      <c r="L724" s="56"/>
      <c r="M724" s="57" t="n">
        <f aca="false">G724</f>
        <v>0</v>
      </c>
      <c r="N724" s="54" t="n">
        <f aca="false">G724-M724</f>
        <v>0</v>
      </c>
      <c r="O724" s="55" t="str">
        <f aca="false">IFERROR(VLOOKUP($A724,RA_result!$B$3:$N$62,7,0),"")</f>
        <v/>
      </c>
      <c r="P724" s="52" t="str">
        <f aca="false">IFERROR(VLOOKUP($A724,RA_result!$B$3:$N$62,9,0),"")</f>
        <v/>
      </c>
      <c r="Q724" s="52" t="str">
        <f aca="false">IFERROR(VLOOKUP($A724,RA_result!$B$3:$N$62,10,0),"")</f>
        <v/>
      </c>
      <c r="R724" s="58" t="s">
        <v>55</v>
      </c>
      <c r="S724" s="59" t="str">
        <f aca="false">IFERROR(VLOOKUP($A724,RA_result!$B$3:$N$62,4,0),"")</f>
        <v/>
      </c>
      <c r="T724" s="60" t="s">
        <v>56</v>
      </c>
      <c r="U724" s="59" t="str">
        <f aca="false">IFERROR(IF(VLOOKUP($A724,RA_result!$B$3:$N$62,6,0)="",S724*T724,VLOOKUP($A724,RA_result!$B$3:$N$62,6,0)),"")</f>
        <v/>
      </c>
      <c r="V724" s="61" t="s">
        <v>56</v>
      </c>
      <c r="W724" s="62" t="n">
        <f aca="false">IFERROR((S724*30%)/V724,0)</f>
        <v>0</v>
      </c>
      <c r="X724" s="63" t="n">
        <f aca="false">IFERROR(N724/W724,0)</f>
        <v>0</v>
      </c>
      <c r="Y724" s="68"/>
      <c r="Z724" s="57"/>
      <c r="AA724" s="69" t="str">
        <f aca="false">IF(OR(U724="",Y724="",Z724=""),"",IF(AND(U724&gt;Y724,-U724&lt;Z724),"Ok","Not Ok"))</f>
        <v/>
      </c>
      <c r="AB724" s="70"/>
    </row>
    <row r="725" customFormat="false" ht="12.8" hidden="false" customHeight="false" outlineLevel="0" collapsed="false">
      <c r="A725" s="48" t="n">
        <f aca="false">TB_audited!A708</f>
        <v>0</v>
      </c>
      <c r="B725" s="49"/>
      <c r="C725" s="50"/>
      <c r="D725" s="51" t="n">
        <f aca="false">TB_audited!B708</f>
        <v>0</v>
      </c>
      <c r="E725" s="52" t="n">
        <f aca="false">TB_audited!C708</f>
        <v>0</v>
      </c>
      <c r="F725" s="53" t="n">
        <f aca="false">TB_audited!D708</f>
        <v>0</v>
      </c>
      <c r="G725" s="54" t="n">
        <f aca="false">IF($D$8="Interim",TB_audited!G708,TB_audited!E708)</f>
        <v>0</v>
      </c>
      <c r="H725" s="55" t="str">
        <f aca="false">IFERROR(VLOOKUP($A725,RA_result!$B$3:$N$62,11,0),"")</f>
        <v/>
      </c>
      <c r="I725" s="55" t="str">
        <f aca="false">IFERROR(VLOOKUP($A725,RA_result!$B$3:$N$62,12,0),"")</f>
        <v/>
      </c>
      <c r="J725" s="55" t="str">
        <f aca="false">IFERROR(VLOOKUP($A725,RA_result!$B$3:$N$62,13,0),"")</f>
        <v/>
      </c>
      <c r="K725" s="56"/>
      <c r="L725" s="56"/>
      <c r="M725" s="57" t="n">
        <f aca="false">G725</f>
        <v>0</v>
      </c>
      <c r="N725" s="54" t="n">
        <f aca="false">G725-M725</f>
        <v>0</v>
      </c>
      <c r="O725" s="55" t="str">
        <f aca="false">IFERROR(VLOOKUP($A725,RA_result!$B$3:$N$62,7,0),"")</f>
        <v/>
      </c>
      <c r="P725" s="52" t="str">
        <f aca="false">IFERROR(VLOOKUP($A725,RA_result!$B$3:$N$62,9,0),"")</f>
        <v/>
      </c>
      <c r="Q725" s="52" t="str">
        <f aca="false">IFERROR(VLOOKUP($A725,RA_result!$B$3:$N$62,10,0),"")</f>
        <v/>
      </c>
      <c r="R725" s="58" t="s">
        <v>55</v>
      </c>
      <c r="S725" s="59" t="str">
        <f aca="false">IFERROR(VLOOKUP($A725,RA_result!$B$3:$N$62,4,0),"")</f>
        <v/>
      </c>
      <c r="T725" s="60" t="s">
        <v>56</v>
      </c>
      <c r="U725" s="59" t="str">
        <f aca="false">IFERROR(IF(VLOOKUP($A725,RA_result!$B$3:$N$62,6,0)="",S725*T725,VLOOKUP($A725,RA_result!$B$3:$N$62,6,0)),"")</f>
        <v/>
      </c>
      <c r="V725" s="61" t="s">
        <v>56</v>
      </c>
      <c r="W725" s="62" t="n">
        <f aca="false">IFERROR((S725*30%)/V725,0)</f>
        <v>0</v>
      </c>
      <c r="X725" s="63" t="n">
        <f aca="false">IFERROR(N725/W725,0)</f>
        <v>0</v>
      </c>
      <c r="Y725" s="68"/>
      <c r="Z725" s="57"/>
      <c r="AA725" s="69" t="str">
        <f aca="false">IF(OR(U725="",Y725="",Z725=""),"",IF(AND(U725&gt;Y725,-U725&lt;Z725),"Ok","Not Ok"))</f>
        <v/>
      </c>
      <c r="AB725" s="70"/>
    </row>
    <row r="726" customFormat="false" ht="12.8" hidden="false" customHeight="false" outlineLevel="0" collapsed="false">
      <c r="A726" s="48" t="n">
        <f aca="false">TB_audited!A709</f>
        <v>0</v>
      </c>
      <c r="B726" s="49"/>
      <c r="C726" s="50"/>
      <c r="D726" s="51" t="n">
        <f aca="false">TB_audited!B709</f>
        <v>0</v>
      </c>
      <c r="E726" s="52" t="n">
        <f aca="false">TB_audited!C709</f>
        <v>0</v>
      </c>
      <c r="F726" s="53" t="n">
        <f aca="false">TB_audited!D709</f>
        <v>0</v>
      </c>
      <c r="G726" s="54" t="n">
        <f aca="false">IF($D$8="Interim",TB_audited!G709,TB_audited!E709)</f>
        <v>0</v>
      </c>
      <c r="H726" s="55" t="str">
        <f aca="false">IFERROR(VLOOKUP($A726,RA_result!$B$3:$N$62,11,0),"")</f>
        <v/>
      </c>
      <c r="I726" s="55" t="str">
        <f aca="false">IFERROR(VLOOKUP($A726,RA_result!$B$3:$N$62,12,0),"")</f>
        <v/>
      </c>
      <c r="J726" s="55" t="str">
        <f aca="false">IFERROR(VLOOKUP($A726,RA_result!$B$3:$N$62,13,0),"")</f>
        <v/>
      </c>
      <c r="K726" s="56"/>
      <c r="L726" s="56"/>
      <c r="M726" s="57" t="n">
        <f aca="false">G726</f>
        <v>0</v>
      </c>
      <c r="N726" s="54" t="n">
        <f aca="false">G726-M726</f>
        <v>0</v>
      </c>
      <c r="O726" s="55" t="str">
        <f aca="false">IFERROR(VLOOKUP($A726,RA_result!$B$3:$N$62,7,0),"")</f>
        <v/>
      </c>
      <c r="P726" s="52" t="str">
        <f aca="false">IFERROR(VLOOKUP($A726,RA_result!$B$3:$N$62,9,0),"")</f>
        <v/>
      </c>
      <c r="Q726" s="52" t="str">
        <f aca="false">IFERROR(VLOOKUP($A726,RA_result!$B$3:$N$62,10,0),"")</f>
        <v/>
      </c>
      <c r="R726" s="58" t="s">
        <v>55</v>
      </c>
      <c r="S726" s="59" t="str">
        <f aca="false">IFERROR(VLOOKUP($A726,RA_result!$B$3:$N$62,4,0),"")</f>
        <v/>
      </c>
      <c r="T726" s="60" t="s">
        <v>56</v>
      </c>
      <c r="U726" s="59" t="str">
        <f aca="false">IFERROR(IF(VLOOKUP($A726,RA_result!$B$3:$N$62,6,0)="",S726*T726,VLOOKUP($A726,RA_result!$B$3:$N$62,6,0)),"")</f>
        <v/>
      </c>
      <c r="V726" s="61" t="s">
        <v>56</v>
      </c>
      <c r="W726" s="62" t="n">
        <f aca="false">IFERROR((S726*30%)/V726,0)</f>
        <v>0</v>
      </c>
      <c r="X726" s="63" t="n">
        <f aca="false">IFERROR(N726/W726,0)</f>
        <v>0</v>
      </c>
      <c r="Y726" s="68"/>
      <c r="Z726" s="57"/>
      <c r="AA726" s="69" t="str">
        <f aca="false">IF(OR(U726="",Y726="",Z726=""),"",IF(AND(U726&gt;Y726,-U726&lt;Z726),"Ok","Not Ok"))</f>
        <v/>
      </c>
      <c r="AB726" s="70"/>
    </row>
    <row r="727" customFormat="false" ht="12.8" hidden="false" customHeight="false" outlineLevel="0" collapsed="false">
      <c r="A727" s="48" t="n">
        <f aca="false">TB_audited!A710</f>
        <v>0</v>
      </c>
      <c r="B727" s="49"/>
      <c r="C727" s="50"/>
      <c r="D727" s="51" t="n">
        <f aca="false">TB_audited!B710</f>
        <v>0</v>
      </c>
      <c r="E727" s="52" t="n">
        <f aca="false">TB_audited!C710</f>
        <v>0</v>
      </c>
      <c r="F727" s="53" t="n">
        <f aca="false">TB_audited!D710</f>
        <v>0</v>
      </c>
      <c r="G727" s="54" t="n">
        <f aca="false">IF($D$8="Interim",TB_audited!G710,TB_audited!E710)</f>
        <v>0</v>
      </c>
      <c r="H727" s="55" t="str">
        <f aca="false">IFERROR(VLOOKUP($A727,RA_result!$B$3:$N$62,11,0),"")</f>
        <v/>
      </c>
      <c r="I727" s="55" t="str">
        <f aca="false">IFERROR(VLOOKUP($A727,RA_result!$B$3:$N$62,12,0),"")</f>
        <v/>
      </c>
      <c r="J727" s="55" t="str">
        <f aca="false">IFERROR(VLOOKUP($A727,RA_result!$B$3:$N$62,13,0),"")</f>
        <v/>
      </c>
      <c r="K727" s="56"/>
      <c r="L727" s="56"/>
      <c r="M727" s="57" t="n">
        <f aca="false">G727</f>
        <v>0</v>
      </c>
      <c r="N727" s="54" t="n">
        <f aca="false">G727-M727</f>
        <v>0</v>
      </c>
      <c r="O727" s="55" t="str">
        <f aca="false">IFERROR(VLOOKUP($A727,RA_result!$B$3:$N$62,7,0),"")</f>
        <v/>
      </c>
      <c r="P727" s="52" t="str">
        <f aca="false">IFERROR(VLOOKUP($A727,RA_result!$B$3:$N$62,9,0),"")</f>
        <v/>
      </c>
      <c r="Q727" s="52" t="str">
        <f aca="false">IFERROR(VLOOKUP($A727,RA_result!$B$3:$N$62,10,0),"")</f>
        <v/>
      </c>
      <c r="R727" s="58" t="s">
        <v>55</v>
      </c>
      <c r="S727" s="59" t="str">
        <f aca="false">IFERROR(VLOOKUP($A727,RA_result!$B$3:$N$62,4,0),"")</f>
        <v/>
      </c>
      <c r="T727" s="60" t="s">
        <v>56</v>
      </c>
      <c r="U727" s="59" t="str">
        <f aca="false">IFERROR(IF(VLOOKUP($A727,RA_result!$B$3:$N$62,6,0)="",S727*T727,VLOOKUP($A727,RA_result!$B$3:$N$62,6,0)),"")</f>
        <v/>
      </c>
      <c r="V727" s="61" t="s">
        <v>56</v>
      </c>
      <c r="W727" s="62" t="n">
        <f aca="false">IFERROR((S727*30%)/V727,0)</f>
        <v>0</v>
      </c>
      <c r="X727" s="63" t="n">
        <f aca="false">IFERROR(N727/W727,0)</f>
        <v>0</v>
      </c>
      <c r="Y727" s="68"/>
      <c r="Z727" s="57"/>
      <c r="AA727" s="69" t="str">
        <f aca="false">IF(OR(U727="",Y727="",Z727=""),"",IF(AND(U727&gt;Y727,-U727&lt;Z727),"Ok","Not Ok"))</f>
        <v/>
      </c>
      <c r="AB727" s="70"/>
    </row>
    <row r="728" customFormat="false" ht="12.8" hidden="false" customHeight="false" outlineLevel="0" collapsed="false">
      <c r="A728" s="48" t="n">
        <f aca="false">TB_audited!A711</f>
        <v>0</v>
      </c>
      <c r="B728" s="49"/>
      <c r="C728" s="50"/>
      <c r="D728" s="51" t="n">
        <f aca="false">TB_audited!B711</f>
        <v>0</v>
      </c>
      <c r="E728" s="52" t="n">
        <f aca="false">TB_audited!C711</f>
        <v>0</v>
      </c>
      <c r="F728" s="53" t="n">
        <f aca="false">TB_audited!D711</f>
        <v>0</v>
      </c>
      <c r="G728" s="54" t="n">
        <f aca="false">IF($D$8="Interim",TB_audited!G711,TB_audited!E711)</f>
        <v>0</v>
      </c>
      <c r="H728" s="55" t="str">
        <f aca="false">IFERROR(VLOOKUP($A728,RA_result!$B$3:$N$62,11,0),"")</f>
        <v/>
      </c>
      <c r="I728" s="55" t="str">
        <f aca="false">IFERROR(VLOOKUP($A728,RA_result!$B$3:$N$62,12,0),"")</f>
        <v/>
      </c>
      <c r="J728" s="55" t="str">
        <f aca="false">IFERROR(VLOOKUP($A728,RA_result!$B$3:$N$62,13,0),"")</f>
        <v/>
      </c>
      <c r="K728" s="56"/>
      <c r="L728" s="56"/>
      <c r="M728" s="57" t="n">
        <f aca="false">G728</f>
        <v>0</v>
      </c>
      <c r="N728" s="54" t="n">
        <f aca="false">G728-M728</f>
        <v>0</v>
      </c>
      <c r="O728" s="55" t="str">
        <f aca="false">IFERROR(VLOOKUP($A728,RA_result!$B$3:$N$62,7,0),"")</f>
        <v/>
      </c>
      <c r="P728" s="52" t="str">
        <f aca="false">IFERROR(VLOOKUP($A728,RA_result!$B$3:$N$62,9,0),"")</f>
        <v/>
      </c>
      <c r="Q728" s="52" t="str">
        <f aca="false">IFERROR(VLOOKUP($A728,RA_result!$B$3:$N$62,10,0),"")</f>
        <v/>
      </c>
      <c r="R728" s="58" t="s">
        <v>55</v>
      </c>
      <c r="S728" s="59" t="str">
        <f aca="false">IFERROR(VLOOKUP($A728,RA_result!$B$3:$N$62,4,0),"")</f>
        <v/>
      </c>
      <c r="T728" s="60" t="s">
        <v>56</v>
      </c>
      <c r="U728" s="59" t="str">
        <f aca="false">IFERROR(IF(VLOOKUP($A728,RA_result!$B$3:$N$62,6,0)="",S728*T728,VLOOKUP($A728,RA_result!$B$3:$N$62,6,0)),"")</f>
        <v/>
      </c>
      <c r="V728" s="61" t="s">
        <v>56</v>
      </c>
      <c r="W728" s="62" t="n">
        <f aca="false">IFERROR((S728*30%)/V728,0)</f>
        <v>0</v>
      </c>
      <c r="X728" s="63" t="n">
        <f aca="false">IFERROR(N728/W728,0)</f>
        <v>0</v>
      </c>
      <c r="Y728" s="68"/>
      <c r="Z728" s="57"/>
      <c r="AA728" s="69" t="str">
        <f aca="false">IF(OR(U728="",Y728="",Z728=""),"",IF(AND(U728&gt;Y728,-U728&lt;Z728),"Ok","Not Ok"))</f>
        <v/>
      </c>
      <c r="AB728" s="70"/>
    </row>
    <row r="729" customFormat="false" ht="12.8" hidden="false" customHeight="false" outlineLevel="0" collapsed="false">
      <c r="A729" s="48" t="n">
        <f aca="false">TB_audited!A712</f>
        <v>0</v>
      </c>
      <c r="B729" s="49"/>
      <c r="C729" s="50"/>
      <c r="D729" s="51" t="n">
        <f aca="false">TB_audited!B712</f>
        <v>0</v>
      </c>
      <c r="E729" s="52" t="n">
        <f aca="false">TB_audited!C712</f>
        <v>0</v>
      </c>
      <c r="F729" s="53" t="n">
        <f aca="false">TB_audited!D712</f>
        <v>0</v>
      </c>
      <c r="G729" s="54" t="n">
        <f aca="false">IF($D$8="Interim",TB_audited!G712,TB_audited!E712)</f>
        <v>0</v>
      </c>
      <c r="H729" s="55" t="str">
        <f aca="false">IFERROR(VLOOKUP($A729,RA_result!$B$3:$N$62,11,0),"")</f>
        <v/>
      </c>
      <c r="I729" s="55" t="str">
        <f aca="false">IFERROR(VLOOKUP($A729,RA_result!$B$3:$N$62,12,0),"")</f>
        <v/>
      </c>
      <c r="J729" s="55" t="str">
        <f aca="false">IFERROR(VLOOKUP($A729,RA_result!$B$3:$N$62,13,0),"")</f>
        <v/>
      </c>
      <c r="K729" s="56"/>
      <c r="L729" s="56"/>
      <c r="M729" s="57" t="n">
        <f aca="false">G729</f>
        <v>0</v>
      </c>
      <c r="N729" s="54" t="n">
        <f aca="false">G729-M729</f>
        <v>0</v>
      </c>
      <c r="O729" s="55" t="str">
        <f aca="false">IFERROR(VLOOKUP($A729,RA_result!$B$3:$N$62,7,0),"")</f>
        <v/>
      </c>
      <c r="P729" s="52" t="str">
        <f aca="false">IFERROR(VLOOKUP($A729,RA_result!$B$3:$N$62,9,0),"")</f>
        <v/>
      </c>
      <c r="Q729" s="52" t="str">
        <f aca="false">IFERROR(VLOOKUP($A729,RA_result!$B$3:$N$62,10,0),"")</f>
        <v/>
      </c>
      <c r="R729" s="58" t="s">
        <v>55</v>
      </c>
      <c r="S729" s="59" t="str">
        <f aca="false">IFERROR(VLOOKUP($A729,RA_result!$B$3:$N$62,4,0),"")</f>
        <v/>
      </c>
      <c r="T729" s="60" t="s">
        <v>56</v>
      </c>
      <c r="U729" s="59" t="str">
        <f aca="false">IFERROR(IF(VLOOKUP($A729,RA_result!$B$3:$N$62,6,0)="",S729*T729,VLOOKUP($A729,RA_result!$B$3:$N$62,6,0)),"")</f>
        <v/>
      </c>
      <c r="V729" s="61" t="s">
        <v>56</v>
      </c>
      <c r="W729" s="62" t="n">
        <f aca="false">IFERROR((S729*30%)/V729,0)</f>
        <v>0</v>
      </c>
      <c r="X729" s="63" t="n">
        <f aca="false">IFERROR(N729/W729,0)</f>
        <v>0</v>
      </c>
      <c r="Y729" s="68"/>
      <c r="Z729" s="57"/>
      <c r="AA729" s="69" t="str">
        <f aca="false">IF(OR(U729="",Y729="",Z729=""),"",IF(AND(U729&gt;Y729,-U729&lt;Z729),"Ok","Not Ok"))</f>
        <v/>
      </c>
      <c r="AB729" s="70"/>
    </row>
    <row r="730" customFormat="false" ht="12.8" hidden="false" customHeight="false" outlineLevel="0" collapsed="false">
      <c r="A730" s="48" t="n">
        <f aca="false">TB_audited!A713</f>
        <v>0</v>
      </c>
      <c r="B730" s="49"/>
      <c r="C730" s="50"/>
      <c r="D730" s="51" t="n">
        <f aca="false">TB_audited!B713</f>
        <v>0</v>
      </c>
      <c r="E730" s="52" t="n">
        <f aca="false">TB_audited!C713</f>
        <v>0</v>
      </c>
      <c r="F730" s="53" t="n">
        <f aca="false">TB_audited!D713</f>
        <v>0</v>
      </c>
      <c r="G730" s="54" t="n">
        <f aca="false">IF($D$8="Interim",TB_audited!G713,TB_audited!E713)</f>
        <v>0</v>
      </c>
      <c r="H730" s="55" t="str">
        <f aca="false">IFERROR(VLOOKUP($A730,RA_result!$B$3:$N$62,11,0),"")</f>
        <v/>
      </c>
      <c r="I730" s="55" t="str">
        <f aca="false">IFERROR(VLOOKUP($A730,RA_result!$B$3:$N$62,12,0),"")</f>
        <v/>
      </c>
      <c r="J730" s="55" t="str">
        <f aca="false">IFERROR(VLOOKUP($A730,RA_result!$B$3:$N$62,13,0),"")</f>
        <v/>
      </c>
      <c r="K730" s="56"/>
      <c r="L730" s="56"/>
      <c r="M730" s="57" t="n">
        <f aca="false">G730</f>
        <v>0</v>
      </c>
      <c r="N730" s="54" t="n">
        <f aca="false">G730-M730</f>
        <v>0</v>
      </c>
      <c r="O730" s="55" t="str">
        <f aca="false">IFERROR(VLOOKUP($A730,RA_result!$B$3:$N$62,7,0),"")</f>
        <v/>
      </c>
      <c r="P730" s="52" t="str">
        <f aca="false">IFERROR(VLOOKUP($A730,RA_result!$B$3:$N$62,9,0),"")</f>
        <v/>
      </c>
      <c r="Q730" s="52" t="str">
        <f aca="false">IFERROR(VLOOKUP($A730,RA_result!$B$3:$N$62,10,0),"")</f>
        <v/>
      </c>
      <c r="R730" s="58" t="s">
        <v>55</v>
      </c>
      <c r="S730" s="59" t="str">
        <f aca="false">IFERROR(VLOOKUP($A730,RA_result!$B$3:$N$62,4,0),"")</f>
        <v/>
      </c>
      <c r="T730" s="60" t="s">
        <v>56</v>
      </c>
      <c r="U730" s="59" t="str">
        <f aca="false">IFERROR(IF(VLOOKUP($A730,RA_result!$B$3:$N$62,6,0)="",S730*T730,VLOOKUP($A730,RA_result!$B$3:$N$62,6,0)),"")</f>
        <v/>
      </c>
      <c r="V730" s="61" t="s">
        <v>56</v>
      </c>
      <c r="W730" s="62" t="n">
        <f aca="false">IFERROR((S730*30%)/V730,0)</f>
        <v>0</v>
      </c>
      <c r="X730" s="63" t="n">
        <f aca="false">IFERROR(N730/W730,0)</f>
        <v>0</v>
      </c>
      <c r="Y730" s="68"/>
      <c r="Z730" s="57"/>
      <c r="AA730" s="69" t="str">
        <f aca="false">IF(OR(U730="",Y730="",Z730=""),"",IF(AND(U730&gt;Y730,-U730&lt;Z730),"Ok","Not Ok"))</f>
        <v/>
      </c>
      <c r="AB730" s="70"/>
    </row>
    <row r="731" customFormat="false" ht="12.8" hidden="false" customHeight="false" outlineLevel="0" collapsed="false">
      <c r="A731" s="48" t="n">
        <f aca="false">TB_audited!A714</f>
        <v>0</v>
      </c>
      <c r="B731" s="49"/>
      <c r="C731" s="50"/>
      <c r="D731" s="51" t="n">
        <f aca="false">TB_audited!B714</f>
        <v>0</v>
      </c>
      <c r="E731" s="52" t="n">
        <f aca="false">TB_audited!C714</f>
        <v>0</v>
      </c>
      <c r="F731" s="53" t="n">
        <f aca="false">TB_audited!D714</f>
        <v>0</v>
      </c>
      <c r="G731" s="54" t="n">
        <f aca="false">IF($D$8="Interim",TB_audited!G714,TB_audited!E714)</f>
        <v>0</v>
      </c>
      <c r="H731" s="55" t="str">
        <f aca="false">IFERROR(VLOOKUP($A731,RA_result!$B$3:$N$62,11,0),"")</f>
        <v/>
      </c>
      <c r="I731" s="55" t="str">
        <f aca="false">IFERROR(VLOOKUP($A731,RA_result!$B$3:$N$62,12,0),"")</f>
        <v/>
      </c>
      <c r="J731" s="55" t="str">
        <f aca="false">IFERROR(VLOOKUP($A731,RA_result!$B$3:$N$62,13,0),"")</f>
        <v/>
      </c>
      <c r="K731" s="56"/>
      <c r="L731" s="56"/>
      <c r="M731" s="57" t="n">
        <f aca="false">G731</f>
        <v>0</v>
      </c>
      <c r="N731" s="54" t="n">
        <f aca="false">G731-M731</f>
        <v>0</v>
      </c>
      <c r="O731" s="55" t="str">
        <f aca="false">IFERROR(VLOOKUP($A731,RA_result!$B$3:$N$62,7,0),"")</f>
        <v/>
      </c>
      <c r="P731" s="52" t="str">
        <f aca="false">IFERROR(VLOOKUP($A731,RA_result!$B$3:$N$62,9,0),"")</f>
        <v/>
      </c>
      <c r="Q731" s="52" t="str">
        <f aca="false">IFERROR(VLOOKUP($A731,RA_result!$B$3:$N$62,10,0),"")</f>
        <v/>
      </c>
      <c r="R731" s="58" t="s">
        <v>55</v>
      </c>
      <c r="S731" s="59" t="str">
        <f aca="false">IFERROR(VLOOKUP($A731,RA_result!$B$3:$N$62,4,0),"")</f>
        <v/>
      </c>
      <c r="T731" s="60" t="s">
        <v>56</v>
      </c>
      <c r="U731" s="59" t="str">
        <f aca="false">IFERROR(IF(VLOOKUP($A731,RA_result!$B$3:$N$62,6,0)="",S731*T731,VLOOKUP($A731,RA_result!$B$3:$N$62,6,0)),"")</f>
        <v/>
      </c>
      <c r="V731" s="61" t="s">
        <v>56</v>
      </c>
      <c r="W731" s="62" t="n">
        <f aca="false">IFERROR((S731*30%)/V731,0)</f>
        <v>0</v>
      </c>
      <c r="X731" s="63" t="n">
        <f aca="false">IFERROR(N731/W731,0)</f>
        <v>0</v>
      </c>
      <c r="Y731" s="68"/>
      <c r="Z731" s="57"/>
      <c r="AA731" s="69" t="str">
        <f aca="false">IF(OR(U731="",Y731="",Z731=""),"",IF(AND(U731&gt;Y731,-U731&lt;Z731),"Ok","Not Ok"))</f>
        <v/>
      </c>
      <c r="AB731" s="70"/>
    </row>
    <row r="732" customFormat="false" ht="12.8" hidden="false" customHeight="false" outlineLevel="0" collapsed="false">
      <c r="A732" s="48" t="n">
        <f aca="false">TB_audited!A715</f>
        <v>0</v>
      </c>
      <c r="B732" s="49"/>
      <c r="C732" s="50"/>
      <c r="D732" s="51" t="n">
        <f aca="false">TB_audited!B715</f>
        <v>0</v>
      </c>
      <c r="E732" s="52" t="n">
        <f aca="false">TB_audited!C715</f>
        <v>0</v>
      </c>
      <c r="F732" s="53" t="n">
        <f aca="false">TB_audited!D715</f>
        <v>0</v>
      </c>
      <c r="G732" s="54" t="n">
        <f aca="false">IF($D$8="Interim",TB_audited!G715,TB_audited!E715)</f>
        <v>0</v>
      </c>
      <c r="H732" s="55" t="str">
        <f aca="false">IFERROR(VLOOKUP($A732,RA_result!$B$3:$N$62,11,0),"")</f>
        <v/>
      </c>
      <c r="I732" s="55" t="str">
        <f aca="false">IFERROR(VLOOKUP($A732,RA_result!$B$3:$N$62,12,0),"")</f>
        <v/>
      </c>
      <c r="J732" s="55" t="str">
        <f aca="false">IFERROR(VLOOKUP($A732,RA_result!$B$3:$N$62,13,0),"")</f>
        <v/>
      </c>
      <c r="K732" s="56"/>
      <c r="L732" s="56"/>
      <c r="M732" s="57" t="n">
        <f aca="false">G732</f>
        <v>0</v>
      </c>
      <c r="N732" s="54" t="n">
        <f aca="false">G732-M732</f>
        <v>0</v>
      </c>
      <c r="O732" s="55" t="str">
        <f aca="false">IFERROR(VLOOKUP($A732,RA_result!$B$3:$N$62,7,0),"")</f>
        <v/>
      </c>
      <c r="P732" s="52" t="str">
        <f aca="false">IFERROR(VLOOKUP($A732,RA_result!$B$3:$N$62,9,0),"")</f>
        <v/>
      </c>
      <c r="Q732" s="52" t="str">
        <f aca="false">IFERROR(VLOOKUP($A732,RA_result!$B$3:$N$62,10,0),"")</f>
        <v/>
      </c>
      <c r="R732" s="58" t="s">
        <v>55</v>
      </c>
      <c r="S732" s="59" t="str">
        <f aca="false">IFERROR(VLOOKUP($A732,RA_result!$B$3:$N$62,4,0),"")</f>
        <v/>
      </c>
      <c r="T732" s="60" t="s">
        <v>56</v>
      </c>
      <c r="U732" s="59" t="str">
        <f aca="false">IFERROR(IF(VLOOKUP($A732,RA_result!$B$3:$N$62,6,0)="",S732*T732,VLOOKUP($A732,RA_result!$B$3:$N$62,6,0)),"")</f>
        <v/>
      </c>
      <c r="V732" s="61" t="s">
        <v>56</v>
      </c>
      <c r="W732" s="62" t="n">
        <f aca="false">IFERROR((S732*30%)/V732,0)</f>
        <v>0</v>
      </c>
      <c r="X732" s="63" t="n">
        <f aca="false">IFERROR(N732/W732,0)</f>
        <v>0</v>
      </c>
      <c r="Y732" s="68"/>
      <c r="Z732" s="57"/>
      <c r="AA732" s="69" t="str">
        <f aca="false">IF(OR(U732="",Y732="",Z732=""),"",IF(AND(U732&gt;Y732,-U732&lt;Z732),"Ok","Not Ok"))</f>
        <v/>
      </c>
      <c r="AB732" s="70"/>
    </row>
    <row r="733" customFormat="false" ht="12.8" hidden="false" customHeight="false" outlineLevel="0" collapsed="false">
      <c r="A733" s="48" t="n">
        <f aca="false">TB_audited!A716</f>
        <v>0</v>
      </c>
      <c r="B733" s="49"/>
      <c r="C733" s="50"/>
      <c r="D733" s="51" t="n">
        <f aca="false">TB_audited!B716</f>
        <v>0</v>
      </c>
      <c r="E733" s="52" t="n">
        <f aca="false">TB_audited!C716</f>
        <v>0</v>
      </c>
      <c r="F733" s="53" t="n">
        <f aca="false">TB_audited!D716</f>
        <v>0</v>
      </c>
      <c r="G733" s="54" t="n">
        <f aca="false">IF($D$8="Interim",TB_audited!G716,TB_audited!E716)</f>
        <v>0</v>
      </c>
      <c r="H733" s="55" t="str">
        <f aca="false">IFERROR(VLOOKUP($A733,RA_result!$B$3:$N$62,11,0),"")</f>
        <v/>
      </c>
      <c r="I733" s="55" t="str">
        <f aca="false">IFERROR(VLOOKUP($A733,RA_result!$B$3:$N$62,12,0),"")</f>
        <v/>
      </c>
      <c r="J733" s="55" t="str">
        <f aca="false">IFERROR(VLOOKUP($A733,RA_result!$B$3:$N$62,13,0),"")</f>
        <v/>
      </c>
      <c r="K733" s="56"/>
      <c r="L733" s="56"/>
      <c r="M733" s="57" t="n">
        <f aca="false">G733</f>
        <v>0</v>
      </c>
      <c r="N733" s="54" t="n">
        <f aca="false">G733-M733</f>
        <v>0</v>
      </c>
      <c r="O733" s="55" t="str">
        <f aca="false">IFERROR(VLOOKUP($A733,RA_result!$B$3:$N$62,7,0),"")</f>
        <v/>
      </c>
      <c r="P733" s="52" t="str">
        <f aca="false">IFERROR(VLOOKUP($A733,RA_result!$B$3:$N$62,9,0),"")</f>
        <v/>
      </c>
      <c r="Q733" s="52" t="str">
        <f aca="false">IFERROR(VLOOKUP($A733,RA_result!$B$3:$N$62,10,0),"")</f>
        <v/>
      </c>
      <c r="R733" s="58" t="s">
        <v>55</v>
      </c>
      <c r="S733" s="59" t="str">
        <f aca="false">IFERROR(VLOOKUP($A733,RA_result!$B$3:$N$62,4,0),"")</f>
        <v/>
      </c>
      <c r="T733" s="60" t="s">
        <v>56</v>
      </c>
      <c r="U733" s="59" t="str">
        <f aca="false">IFERROR(IF(VLOOKUP($A733,RA_result!$B$3:$N$62,6,0)="",S733*T733,VLOOKUP($A733,RA_result!$B$3:$N$62,6,0)),"")</f>
        <v/>
      </c>
      <c r="V733" s="61" t="s">
        <v>56</v>
      </c>
      <c r="W733" s="62" t="n">
        <f aca="false">IFERROR((S733*30%)/V733,0)</f>
        <v>0</v>
      </c>
      <c r="X733" s="63" t="n">
        <f aca="false">IFERROR(N733/W733,0)</f>
        <v>0</v>
      </c>
      <c r="Y733" s="68"/>
      <c r="Z733" s="57"/>
      <c r="AA733" s="69" t="str">
        <f aca="false">IF(OR(U733="",Y733="",Z733=""),"",IF(AND(U733&gt;Y733,-U733&lt;Z733),"Ok","Not Ok"))</f>
        <v/>
      </c>
      <c r="AB733" s="70"/>
    </row>
    <row r="734" customFormat="false" ht="12.8" hidden="false" customHeight="false" outlineLevel="0" collapsed="false">
      <c r="A734" s="48" t="n">
        <f aca="false">TB_audited!A717</f>
        <v>0</v>
      </c>
      <c r="B734" s="49"/>
      <c r="C734" s="50"/>
      <c r="D734" s="51" t="n">
        <f aca="false">TB_audited!B717</f>
        <v>0</v>
      </c>
      <c r="E734" s="52" t="n">
        <f aca="false">TB_audited!C717</f>
        <v>0</v>
      </c>
      <c r="F734" s="53" t="n">
        <f aca="false">TB_audited!D717</f>
        <v>0</v>
      </c>
      <c r="G734" s="54" t="n">
        <f aca="false">IF($D$8="Interim",TB_audited!G717,TB_audited!E717)</f>
        <v>0</v>
      </c>
      <c r="H734" s="55" t="str">
        <f aca="false">IFERROR(VLOOKUP($A734,RA_result!$B$3:$N$62,11,0),"")</f>
        <v/>
      </c>
      <c r="I734" s="55" t="str">
        <f aca="false">IFERROR(VLOOKUP($A734,RA_result!$B$3:$N$62,12,0),"")</f>
        <v/>
      </c>
      <c r="J734" s="55" t="str">
        <f aca="false">IFERROR(VLOOKUP($A734,RA_result!$B$3:$N$62,13,0),"")</f>
        <v/>
      </c>
      <c r="K734" s="56"/>
      <c r="L734" s="56"/>
      <c r="M734" s="57" t="n">
        <f aca="false">G734</f>
        <v>0</v>
      </c>
      <c r="N734" s="54" t="n">
        <f aca="false">G734-M734</f>
        <v>0</v>
      </c>
      <c r="O734" s="55" t="str">
        <f aca="false">IFERROR(VLOOKUP($A734,RA_result!$B$3:$N$62,7,0),"")</f>
        <v/>
      </c>
      <c r="P734" s="52" t="str">
        <f aca="false">IFERROR(VLOOKUP($A734,RA_result!$B$3:$N$62,9,0),"")</f>
        <v/>
      </c>
      <c r="Q734" s="52" t="str">
        <f aca="false">IFERROR(VLOOKUP($A734,RA_result!$B$3:$N$62,10,0),"")</f>
        <v/>
      </c>
      <c r="R734" s="58" t="s">
        <v>55</v>
      </c>
      <c r="S734" s="59" t="str">
        <f aca="false">IFERROR(VLOOKUP($A734,RA_result!$B$3:$N$62,4,0),"")</f>
        <v/>
      </c>
      <c r="T734" s="60" t="s">
        <v>56</v>
      </c>
      <c r="U734" s="59" t="str">
        <f aca="false">IFERROR(IF(VLOOKUP($A734,RA_result!$B$3:$N$62,6,0)="",S734*T734,VLOOKUP($A734,RA_result!$B$3:$N$62,6,0)),"")</f>
        <v/>
      </c>
      <c r="V734" s="61" t="s">
        <v>56</v>
      </c>
      <c r="W734" s="62" t="n">
        <f aca="false">IFERROR((S734*30%)/V734,0)</f>
        <v>0</v>
      </c>
      <c r="X734" s="63" t="n">
        <f aca="false">IFERROR(N734/W734,0)</f>
        <v>0</v>
      </c>
      <c r="Y734" s="68"/>
      <c r="Z734" s="57"/>
      <c r="AA734" s="69" t="str">
        <f aca="false">IF(OR(U734="",Y734="",Z734=""),"",IF(AND(U734&gt;Y734,-U734&lt;Z734),"Ok","Not Ok"))</f>
        <v/>
      </c>
      <c r="AB734" s="70"/>
    </row>
    <row r="735" customFormat="false" ht="12.8" hidden="false" customHeight="false" outlineLevel="0" collapsed="false">
      <c r="A735" s="48" t="n">
        <f aca="false">TB_audited!A718</f>
        <v>0</v>
      </c>
      <c r="B735" s="49"/>
      <c r="C735" s="50"/>
      <c r="D735" s="51" t="n">
        <f aca="false">TB_audited!B718</f>
        <v>0</v>
      </c>
      <c r="E735" s="52" t="n">
        <f aca="false">TB_audited!C718</f>
        <v>0</v>
      </c>
      <c r="F735" s="53" t="n">
        <f aca="false">TB_audited!D718</f>
        <v>0</v>
      </c>
      <c r="G735" s="54" t="n">
        <f aca="false">IF($D$8="Interim",TB_audited!G718,TB_audited!E718)</f>
        <v>0</v>
      </c>
      <c r="H735" s="55" t="str">
        <f aca="false">IFERROR(VLOOKUP($A735,RA_result!$B$3:$N$62,11,0),"")</f>
        <v/>
      </c>
      <c r="I735" s="55" t="str">
        <f aca="false">IFERROR(VLOOKUP($A735,RA_result!$B$3:$N$62,12,0),"")</f>
        <v/>
      </c>
      <c r="J735" s="55" t="str">
        <f aca="false">IFERROR(VLOOKUP($A735,RA_result!$B$3:$N$62,13,0),"")</f>
        <v/>
      </c>
      <c r="K735" s="56"/>
      <c r="L735" s="56"/>
      <c r="M735" s="57" t="n">
        <f aca="false">G735</f>
        <v>0</v>
      </c>
      <c r="N735" s="54" t="n">
        <f aca="false">G735-M735</f>
        <v>0</v>
      </c>
      <c r="O735" s="55" t="str">
        <f aca="false">IFERROR(VLOOKUP($A735,RA_result!$B$3:$N$62,7,0),"")</f>
        <v/>
      </c>
      <c r="P735" s="52" t="str">
        <f aca="false">IFERROR(VLOOKUP($A735,RA_result!$B$3:$N$62,9,0),"")</f>
        <v/>
      </c>
      <c r="Q735" s="52" t="str">
        <f aca="false">IFERROR(VLOOKUP($A735,RA_result!$B$3:$N$62,10,0),"")</f>
        <v/>
      </c>
      <c r="R735" s="58" t="s">
        <v>55</v>
      </c>
      <c r="S735" s="59" t="str">
        <f aca="false">IFERROR(VLOOKUP($A735,RA_result!$B$3:$N$62,4,0),"")</f>
        <v/>
      </c>
      <c r="T735" s="60" t="s">
        <v>56</v>
      </c>
      <c r="U735" s="59" t="str">
        <f aca="false">IFERROR(IF(VLOOKUP($A735,RA_result!$B$3:$N$62,6,0)="",S735*T735,VLOOKUP($A735,RA_result!$B$3:$N$62,6,0)),"")</f>
        <v/>
      </c>
      <c r="V735" s="61" t="s">
        <v>56</v>
      </c>
      <c r="W735" s="62" t="n">
        <f aca="false">IFERROR((S735*30%)/V735,0)</f>
        <v>0</v>
      </c>
      <c r="X735" s="63" t="n">
        <f aca="false">IFERROR(N735/W735,0)</f>
        <v>0</v>
      </c>
      <c r="Y735" s="68"/>
      <c r="Z735" s="57"/>
      <c r="AA735" s="69" t="str">
        <f aca="false">IF(OR(U735="",Y735="",Z735=""),"",IF(AND(U735&gt;Y735,-U735&lt;Z735),"Ok","Not Ok"))</f>
        <v/>
      </c>
      <c r="AB735" s="70"/>
    </row>
    <row r="736" customFormat="false" ht="12.8" hidden="false" customHeight="false" outlineLevel="0" collapsed="false">
      <c r="A736" s="48" t="n">
        <f aca="false">TB_audited!A719</f>
        <v>0</v>
      </c>
      <c r="B736" s="49"/>
      <c r="C736" s="50"/>
      <c r="D736" s="51" t="n">
        <f aca="false">TB_audited!B719</f>
        <v>0</v>
      </c>
      <c r="E736" s="52" t="n">
        <f aca="false">TB_audited!C719</f>
        <v>0</v>
      </c>
      <c r="F736" s="53" t="n">
        <f aca="false">TB_audited!D719</f>
        <v>0</v>
      </c>
      <c r="G736" s="54" t="n">
        <f aca="false">IF($D$8="Interim",TB_audited!G719,TB_audited!E719)</f>
        <v>0</v>
      </c>
      <c r="H736" s="55" t="str">
        <f aca="false">IFERROR(VLOOKUP($A736,RA_result!$B$3:$N$62,11,0),"")</f>
        <v/>
      </c>
      <c r="I736" s="55" t="str">
        <f aca="false">IFERROR(VLOOKUP($A736,RA_result!$B$3:$N$62,12,0),"")</f>
        <v/>
      </c>
      <c r="J736" s="55" t="str">
        <f aca="false">IFERROR(VLOOKUP($A736,RA_result!$B$3:$N$62,13,0),"")</f>
        <v/>
      </c>
      <c r="K736" s="56"/>
      <c r="L736" s="56"/>
      <c r="M736" s="57" t="n">
        <f aca="false">G736</f>
        <v>0</v>
      </c>
      <c r="N736" s="54" t="n">
        <f aca="false">G736-M736</f>
        <v>0</v>
      </c>
      <c r="O736" s="55" t="str">
        <f aca="false">IFERROR(VLOOKUP($A736,RA_result!$B$3:$N$62,7,0),"")</f>
        <v/>
      </c>
      <c r="P736" s="52" t="str">
        <f aca="false">IFERROR(VLOOKUP($A736,RA_result!$B$3:$N$62,9,0),"")</f>
        <v/>
      </c>
      <c r="Q736" s="52" t="str">
        <f aca="false">IFERROR(VLOOKUP($A736,RA_result!$B$3:$N$62,10,0),"")</f>
        <v/>
      </c>
      <c r="R736" s="58" t="s">
        <v>55</v>
      </c>
      <c r="S736" s="59" t="str">
        <f aca="false">IFERROR(VLOOKUP($A736,RA_result!$B$3:$N$62,4,0),"")</f>
        <v/>
      </c>
      <c r="T736" s="60" t="s">
        <v>56</v>
      </c>
      <c r="U736" s="59" t="str">
        <f aca="false">IFERROR(IF(VLOOKUP($A736,RA_result!$B$3:$N$62,6,0)="",S736*T736,VLOOKUP($A736,RA_result!$B$3:$N$62,6,0)),"")</f>
        <v/>
      </c>
      <c r="V736" s="61" t="s">
        <v>56</v>
      </c>
      <c r="W736" s="62" t="n">
        <f aca="false">IFERROR((S736*30%)/V736,0)</f>
        <v>0</v>
      </c>
      <c r="X736" s="63" t="n">
        <f aca="false">IFERROR(N736/W736,0)</f>
        <v>0</v>
      </c>
      <c r="Y736" s="68"/>
      <c r="Z736" s="57"/>
      <c r="AA736" s="69" t="str">
        <f aca="false">IF(OR(U736="",Y736="",Z736=""),"",IF(AND(U736&gt;Y736,-U736&lt;Z736),"Ok","Not Ok"))</f>
        <v/>
      </c>
      <c r="AB736" s="70"/>
    </row>
    <row r="737" customFormat="false" ht="12.8" hidden="false" customHeight="false" outlineLevel="0" collapsed="false">
      <c r="A737" s="48" t="n">
        <f aca="false">TB_audited!A720</f>
        <v>0</v>
      </c>
      <c r="B737" s="49"/>
      <c r="C737" s="50"/>
      <c r="D737" s="51" t="n">
        <f aca="false">TB_audited!B720</f>
        <v>0</v>
      </c>
      <c r="E737" s="52" t="n">
        <f aca="false">TB_audited!C720</f>
        <v>0</v>
      </c>
      <c r="F737" s="53" t="n">
        <f aca="false">TB_audited!D720</f>
        <v>0</v>
      </c>
      <c r="G737" s="54" t="n">
        <f aca="false">IF($D$8="Interim",TB_audited!G720,TB_audited!E720)</f>
        <v>0</v>
      </c>
      <c r="H737" s="55" t="str">
        <f aca="false">IFERROR(VLOOKUP($A737,RA_result!$B$3:$N$62,11,0),"")</f>
        <v/>
      </c>
      <c r="I737" s="55" t="str">
        <f aca="false">IFERROR(VLOOKUP($A737,RA_result!$B$3:$N$62,12,0),"")</f>
        <v/>
      </c>
      <c r="J737" s="55" t="str">
        <f aca="false">IFERROR(VLOOKUP($A737,RA_result!$B$3:$N$62,13,0),"")</f>
        <v/>
      </c>
      <c r="K737" s="56"/>
      <c r="L737" s="56"/>
      <c r="M737" s="57" t="n">
        <f aca="false">G737</f>
        <v>0</v>
      </c>
      <c r="N737" s="54" t="n">
        <f aca="false">G737-M737</f>
        <v>0</v>
      </c>
      <c r="O737" s="55" t="str">
        <f aca="false">IFERROR(VLOOKUP($A737,RA_result!$B$3:$N$62,7,0),"")</f>
        <v/>
      </c>
      <c r="P737" s="52" t="str">
        <f aca="false">IFERROR(VLOOKUP($A737,RA_result!$B$3:$N$62,9,0),"")</f>
        <v/>
      </c>
      <c r="Q737" s="52" t="str">
        <f aca="false">IFERROR(VLOOKUP($A737,RA_result!$B$3:$N$62,10,0),"")</f>
        <v/>
      </c>
      <c r="R737" s="58" t="s">
        <v>55</v>
      </c>
      <c r="S737" s="59" t="str">
        <f aca="false">IFERROR(VLOOKUP($A737,RA_result!$B$3:$N$62,4,0),"")</f>
        <v/>
      </c>
      <c r="T737" s="60" t="s">
        <v>56</v>
      </c>
      <c r="U737" s="59" t="str">
        <f aca="false">IFERROR(IF(VLOOKUP($A737,RA_result!$B$3:$N$62,6,0)="",S737*T737,VLOOKUP($A737,RA_result!$B$3:$N$62,6,0)),"")</f>
        <v/>
      </c>
      <c r="V737" s="61" t="s">
        <v>56</v>
      </c>
      <c r="W737" s="62" t="n">
        <f aca="false">IFERROR((S737*30%)/V737,0)</f>
        <v>0</v>
      </c>
      <c r="X737" s="63" t="n">
        <f aca="false">IFERROR(N737/W737,0)</f>
        <v>0</v>
      </c>
      <c r="Y737" s="68"/>
      <c r="Z737" s="57"/>
      <c r="AA737" s="69" t="str">
        <f aca="false">IF(OR(U737="",Y737="",Z737=""),"",IF(AND(U737&gt;Y737,-U737&lt;Z737),"Ok","Not Ok"))</f>
        <v/>
      </c>
      <c r="AB737" s="70"/>
    </row>
    <row r="738" customFormat="false" ht="12.8" hidden="false" customHeight="false" outlineLevel="0" collapsed="false">
      <c r="A738" s="48" t="n">
        <f aca="false">TB_audited!A721</f>
        <v>0</v>
      </c>
      <c r="B738" s="49"/>
      <c r="C738" s="50"/>
      <c r="D738" s="51" t="n">
        <f aca="false">TB_audited!B721</f>
        <v>0</v>
      </c>
      <c r="E738" s="52" t="n">
        <f aca="false">TB_audited!C721</f>
        <v>0</v>
      </c>
      <c r="F738" s="53" t="n">
        <f aca="false">TB_audited!D721</f>
        <v>0</v>
      </c>
      <c r="G738" s="54" t="n">
        <f aca="false">IF($D$8="Interim",TB_audited!G721,TB_audited!E721)</f>
        <v>0</v>
      </c>
      <c r="H738" s="55" t="str">
        <f aca="false">IFERROR(VLOOKUP($A738,RA_result!$B$3:$N$62,11,0),"")</f>
        <v/>
      </c>
      <c r="I738" s="55" t="str">
        <f aca="false">IFERROR(VLOOKUP($A738,RA_result!$B$3:$N$62,12,0),"")</f>
        <v/>
      </c>
      <c r="J738" s="55" t="str">
        <f aca="false">IFERROR(VLOOKUP($A738,RA_result!$B$3:$N$62,13,0),"")</f>
        <v/>
      </c>
      <c r="K738" s="56"/>
      <c r="L738" s="56"/>
      <c r="M738" s="57" t="n">
        <f aca="false">G738</f>
        <v>0</v>
      </c>
      <c r="N738" s="54" t="n">
        <f aca="false">G738-M738</f>
        <v>0</v>
      </c>
      <c r="O738" s="55" t="str">
        <f aca="false">IFERROR(VLOOKUP($A738,RA_result!$B$3:$N$62,7,0),"")</f>
        <v/>
      </c>
      <c r="P738" s="52" t="str">
        <f aca="false">IFERROR(VLOOKUP($A738,RA_result!$B$3:$N$62,9,0),"")</f>
        <v/>
      </c>
      <c r="Q738" s="52" t="str">
        <f aca="false">IFERROR(VLOOKUP($A738,RA_result!$B$3:$N$62,10,0),"")</f>
        <v/>
      </c>
      <c r="R738" s="58" t="s">
        <v>55</v>
      </c>
      <c r="S738" s="59" t="str">
        <f aca="false">IFERROR(VLOOKUP($A738,RA_result!$B$3:$N$62,4,0),"")</f>
        <v/>
      </c>
      <c r="T738" s="60" t="s">
        <v>56</v>
      </c>
      <c r="U738" s="59" t="str">
        <f aca="false">IFERROR(IF(VLOOKUP($A738,RA_result!$B$3:$N$62,6,0)="",S738*T738,VLOOKUP($A738,RA_result!$B$3:$N$62,6,0)),"")</f>
        <v/>
      </c>
      <c r="V738" s="61" t="s">
        <v>56</v>
      </c>
      <c r="W738" s="62" t="n">
        <f aca="false">IFERROR((S738*30%)/V738,0)</f>
        <v>0</v>
      </c>
      <c r="X738" s="63" t="n">
        <f aca="false">IFERROR(N738/W738,0)</f>
        <v>0</v>
      </c>
      <c r="Y738" s="68"/>
      <c r="Z738" s="57"/>
      <c r="AA738" s="69" t="str">
        <f aca="false">IF(OR(U738="",Y738="",Z738=""),"",IF(AND(U738&gt;Y738,-U738&lt;Z738),"Ok","Not Ok"))</f>
        <v/>
      </c>
      <c r="AB738" s="70"/>
    </row>
    <row r="739" customFormat="false" ht="12.8" hidden="false" customHeight="false" outlineLevel="0" collapsed="false">
      <c r="A739" s="48" t="n">
        <f aca="false">TB_audited!A722</f>
        <v>0</v>
      </c>
      <c r="B739" s="49"/>
      <c r="C739" s="50"/>
      <c r="D739" s="51" t="n">
        <f aca="false">TB_audited!B722</f>
        <v>0</v>
      </c>
      <c r="E739" s="52" t="n">
        <f aca="false">TB_audited!C722</f>
        <v>0</v>
      </c>
      <c r="F739" s="53" t="n">
        <f aca="false">TB_audited!D722</f>
        <v>0</v>
      </c>
      <c r="G739" s="54" t="n">
        <f aca="false">IF($D$8="Interim",TB_audited!G722,TB_audited!E722)</f>
        <v>0</v>
      </c>
      <c r="H739" s="55" t="str">
        <f aca="false">IFERROR(VLOOKUP($A739,RA_result!$B$3:$N$62,11,0),"")</f>
        <v/>
      </c>
      <c r="I739" s="55" t="str">
        <f aca="false">IFERROR(VLOOKUP($A739,RA_result!$B$3:$N$62,12,0),"")</f>
        <v/>
      </c>
      <c r="J739" s="55" t="str">
        <f aca="false">IFERROR(VLOOKUP($A739,RA_result!$B$3:$N$62,13,0),"")</f>
        <v/>
      </c>
      <c r="K739" s="56"/>
      <c r="L739" s="56"/>
      <c r="M739" s="57" t="n">
        <f aca="false">G739</f>
        <v>0</v>
      </c>
      <c r="N739" s="54" t="n">
        <f aca="false">G739-M739</f>
        <v>0</v>
      </c>
      <c r="O739" s="55" t="str">
        <f aca="false">IFERROR(VLOOKUP($A739,RA_result!$B$3:$N$62,7,0),"")</f>
        <v/>
      </c>
      <c r="P739" s="52" t="str">
        <f aca="false">IFERROR(VLOOKUP($A739,RA_result!$B$3:$N$62,9,0),"")</f>
        <v/>
      </c>
      <c r="Q739" s="52" t="str">
        <f aca="false">IFERROR(VLOOKUP($A739,RA_result!$B$3:$N$62,10,0),"")</f>
        <v/>
      </c>
      <c r="R739" s="58" t="s">
        <v>55</v>
      </c>
      <c r="S739" s="59" t="str">
        <f aca="false">IFERROR(VLOOKUP($A739,RA_result!$B$3:$N$62,4,0),"")</f>
        <v/>
      </c>
      <c r="T739" s="60" t="s">
        <v>56</v>
      </c>
      <c r="U739" s="59" t="str">
        <f aca="false">IFERROR(IF(VLOOKUP($A739,RA_result!$B$3:$N$62,6,0)="",S739*T739,VLOOKUP($A739,RA_result!$B$3:$N$62,6,0)),"")</f>
        <v/>
      </c>
      <c r="V739" s="61" t="s">
        <v>56</v>
      </c>
      <c r="W739" s="62" t="n">
        <f aca="false">IFERROR((S739*30%)/V739,0)</f>
        <v>0</v>
      </c>
      <c r="X739" s="63" t="n">
        <f aca="false">IFERROR(N739/W739,0)</f>
        <v>0</v>
      </c>
      <c r="Y739" s="68"/>
      <c r="Z739" s="57"/>
      <c r="AA739" s="69" t="str">
        <f aca="false">IF(OR(U739="",Y739="",Z739=""),"",IF(AND(U739&gt;Y739,-U739&lt;Z739),"Ok","Not Ok"))</f>
        <v/>
      </c>
      <c r="AB739" s="70"/>
    </row>
    <row r="740" customFormat="false" ht="12.8" hidden="false" customHeight="false" outlineLevel="0" collapsed="false">
      <c r="A740" s="48" t="n">
        <f aca="false">TB_audited!A723</f>
        <v>0</v>
      </c>
      <c r="B740" s="49"/>
      <c r="C740" s="50"/>
      <c r="D740" s="51" t="n">
        <f aca="false">TB_audited!B723</f>
        <v>0</v>
      </c>
      <c r="E740" s="52" t="n">
        <f aca="false">TB_audited!C723</f>
        <v>0</v>
      </c>
      <c r="F740" s="53" t="n">
        <f aca="false">TB_audited!D723</f>
        <v>0</v>
      </c>
      <c r="G740" s="54" t="n">
        <f aca="false">IF($D$8="Interim",TB_audited!G723,TB_audited!E723)</f>
        <v>0</v>
      </c>
      <c r="H740" s="55" t="str">
        <f aca="false">IFERROR(VLOOKUP($A740,RA_result!$B$3:$N$62,11,0),"")</f>
        <v/>
      </c>
      <c r="I740" s="55" t="str">
        <f aca="false">IFERROR(VLOOKUP($A740,RA_result!$B$3:$N$62,12,0),"")</f>
        <v/>
      </c>
      <c r="J740" s="55" t="str">
        <f aca="false">IFERROR(VLOOKUP($A740,RA_result!$B$3:$N$62,13,0),"")</f>
        <v/>
      </c>
      <c r="K740" s="56"/>
      <c r="L740" s="56"/>
      <c r="M740" s="57" t="n">
        <f aca="false">G740</f>
        <v>0</v>
      </c>
      <c r="N740" s="54" t="n">
        <f aca="false">G740-M740</f>
        <v>0</v>
      </c>
      <c r="O740" s="55" t="str">
        <f aca="false">IFERROR(VLOOKUP($A740,RA_result!$B$3:$N$62,7,0),"")</f>
        <v/>
      </c>
      <c r="P740" s="52" t="str">
        <f aca="false">IFERROR(VLOOKUP($A740,RA_result!$B$3:$N$62,9,0),"")</f>
        <v/>
      </c>
      <c r="Q740" s="52" t="str">
        <f aca="false">IFERROR(VLOOKUP($A740,RA_result!$B$3:$N$62,10,0),"")</f>
        <v/>
      </c>
      <c r="R740" s="58" t="s">
        <v>55</v>
      </c>
      <c r="S740" s="59" t="str">
        <f aca="false">IFERROR(VLOOKUP($A740,RA_result!$B$3:$N$62,4,0),"")</f>
        <v/>
      </c>
      <c r="T740" s="60" t="s">
        <v>56</v>
      </c>
      <c r="U740" s="59" t="str">
        <f aca="false">IFERROR(IF(VLOOKUP($A740,RA_result!$B$3:$N$62,6,0)="",S740*T740,VLOOKUP($A740,RA_result!$B$3:$N$62,6,0)),"")</f>
        <v/>
      </c>
      <c r="V740" s="61" t="s">
        <v>56</v>
      </c>
      <c r="W740" s="62" t="n">
        <f aca="false">IFERROR((S740*30%)/V740,0)</f>
        <v>0</v>
      </c>
      <c r="X740" s="63" t="n">
        <f aca="false">IFERROR(N740/W740,0)</f>
        <v>0</v>
      </c>
      <c r="Y740" s="68"/>
      <c r="Z740" s="57"/>
      <c r="AA740" s="69" t="str">
        <f aca="false">IF(OR(U740="",Y740="",Z740=""),"",IF(AND(U740&gt;Y740,-U740&lt;Z740),"Ok","Not Ok"))</f>
        <v/>
      </c>
      <c r="AB740" s="70"/>
    </row>
    <row r="741" customFormat="false" ht="12.8" hidden="false" customHeight="false" outlineLevel="0" collapsed="false">
      <c r="A741" s="48" t="n">
        <f aca="false">TB_audited!A724</f>
        <v>0</v>
      </c>
      <c r="B741" s="49"/>
      <c r="C741" s="50"/>
      <c r="D741" s="51" t="n">
        <f aca="false">TB_audited!B724</f>
        <v>0</v>
      </c>
      <c r="E741" s="52" t="n">
        <f aca="false">TB_audited!C724</f>
        <v>0</v>
      </c>
      <c r="F741" s="53" t="n">
        <f aca="false">TB_audited!D724</f>
        <v>0</v>
      </c>
      <c r="G741" s="54" t="n">
        <f aca="false">IF($D$8="Interim",TB_audited!G724,TB_audited!E724)</f>
        <v>0</v>
      </c>
      <c r="H741" s="55" t="str">
        <f aca="false">IFERROR(VLOOKUP($A741,RA_result!$B$3:$N$62,11,0),"")</f>
        <v/>
      </c>
      <c r="I741" s="55" t="str">
        <f aca="false">IFERROR(VLOOKUP($A741,RA_result!$B$3:$N$62,12,0),"")</f>
        <v/>
      </c>
      <c r="J741" s="55" t="str">
        <f aca="false">IFERROR(VLOOKUP($A741,RA_result!$B$3:$N$62,13,0),"")</f>
        <v/>
      </c>
      <c r="K741" s="56"/>
      <c r="L741" s="56"/>
      <c r="M741" s="57" t="n">
        <f aca="false">G741</f>
        <v>0</v>
      </c>
      <c r="N741" s="54" t="n">
        <f aca="false">G741-M741</f>
        <v>0</v>
      </c>
      <c r="O741" s="55" t="str">
        <f aca="false">IFERROR(VLOOKUP($A741,RA_result!$B$3:$N$62,7,0),"")</f>
        <v/>
      </c>
      <c r="P741" s="52" t="str">
        <f aca="false">IFERROR(VLOOKUP($A741,RA_result!$B$3:$N$62,9,0),"")</f>
        <v/>
      </c>
      <c r="Q741" s="52" t="str">
        <f aca="false">IFERROR(VLOOKUP($A741,RA_result!$B$3:$N$62,10,0),"")</f>
        <v/>
      </c>
      <c r="R741" s="58" t="s">
        <v>55</v>
      </c>
      <c r="S741" s="59" t="str">
        <f aca="false">IFERROR(VLOOKUP($A741,RA_result!$B$3:$N$62,4,0),"")</f>
        <v/>
      </c>
      <c r="T741" s="60" t="s">
        <v>56</v>
      </c>
      <c r="U741" s="59" t="str">
        <f aca="false">IFERROR(IF(VLOOKUP($A741,RA_result!$B$3:$N$62,6,0)="",S741*T741,VLOOKUP($A741,RA_result!$B$3:$N$62,6,0)),"")</f>
        <v/>
      </c>
      <c r="V741" s="61" t="s">
        <v>56</v>
      </c>
      <c r="W741" s="62" t="n">
        <f aca="false">IFERROR((S741*30%)/V741,0)</f>
        <v>0</v>
      </c>
      <c r="X741" s="63" t="n">
        <f aca="false">IFERROR(N741/W741,0)</f>
        <v>0</v>
      </c>
      <c r="Y741" s="68"/>
      <c r="Z741" s="57"/>
      <c r="AA741" s="69" t="str">
        <f aca="false">IF(OR(U741="",Y741="",Z741=""),"",IF(AND(U741&gt;Y741,-U741&lt;Z741),"Ok","Not Ok"))</f>
        <v/>
      </c>
      <c r="AB741" s="70"/>
    </row>
    <row r="742" customFormat="false" ht="12.8" hidden="false" customHeight="false" outlineLevel="0" collapsed="false">
      <c r="A742" s="48" t="n">
        <f aca="false">TB_audited!A725</f>
        <v>0</v>
      </c>
      <c r="B742" s="49"/>
      <c r="C742" s="50"/>
      <c r="D742" s="51" t="n">
        <f aca="false">TB_audited!B725</f>
        <v>0</v>
      </c>
      <c r="E742" s="52" t="n">
        <f aca="false">TB_audited!C725</f>
        <v>0</v>
      </c>
      <c r="F742" s="53" t="n">
        <f aca="false">TB_audited!D725</f>
        <v>0</v>
      </c>
      <c r="G742" s="54" t="n">
        <f aca="false">IF($D$8="Interim",TB_audited!G725,TB_audited!E725)</f>
        <v>0</v>
      </c>
      <c r="H742" s="55" t="str">
        <f aca="false">IFERROR(VLOOKUP($A742,RA_result!$B$3:$N$62,11,0),"")</f>
        <v/>
      </c>
      <c r="I742" s="55" t="str">
        <f aca="false">IFERROR(VLOOKUP($A742,RA_result!$B$3:$N$62,12,0),"")</f>
        <v/>
      </c>
      <c r="J742" s="55" t="str">
        <f aca="false">IFERROR(VLOOKUP($A742,RA_result!$B$3:$N$62,13,0),"")</f>
        <v/>
      </c>
      <c r="K742" s="56"/>
      <c r="L742" s="56"/>
      <c r="M742" s="57" t="n">
        <f aca="false">G742</f>
        <v>0</v>
      </c>
      <c r="N742" s="54" t="n">
        <f aca="false">G742-M742</f>
        <v>0</v>
      </c>
      <c r="O742" s="55" t="str">
        <f aca="false">IFERROR(VLOOKUP($A742,RA_result!$B$3:$N$62,7,0),"")</f>
        <v/>
      </c>
      <c r="P742" s="52" t="str">
        <f aca="false">IFERROR(VLOOKUP($A742,RA_result!$B$3:$N$62,9,0),"")</f>
        <v/>
      </c>
      <c r="Q742" s="52" t="str">
        <f aca="false">IFERROR(VLOOKUP($A742,RA_result!$B$3:$N$62,10,0),"")</f>
        <v/>
      </c>
      <c r="R742" s="58" t="s">
        <v>55</v>
      </c>
      <c r="S742" s="59" t="str">
        <f aca="false">IFERROR(VLOOKUP($A742,RA_result!$B$3:$N$62,4,0),"")</f>
        <v/>
      </c>
      <c r="T742" s="60" t="s">
        <v>56</v>
      </c>
      <c r="U742" s="59" t="str">
        <f aca="false">IFERROR(IF(VLOOKUP($A742,RA_result!$B$3:$N$62,6,0)="",S742*T742,VLOOKUP($A742,RA_result!$B$3:$N$62,6,0)),"")</f>
        <v/>
      </c>
      <c r="V742" s="61" t="s">
        <v>56</v>
      </c>
      <c r="W742" s="62" t="n">
        <f aca="false">IFERROR((S742*30%)/V742,0)</f>
        <v>0</v>
      </c>
      <c r="X742" s="63" t="n">
        <f aca="false">IFERROR(N742/W742,0)</f>
        <v>0</v>
      </c>
      <c r="Y742" s="68"/>
      <c r="Z742" s="57"/>
      <c r="AA742" s="69" t="str">
        <f aca="false">IF(OR(U742="",Y742="",Z742=""),"",IF(AND(U742&gt;Y742,-U742&lt;Z742),"Ok","Not Ok"))</f>
        <v/>
      </c>
      <c r="AB742" s="70"/>
    </row>
    <row r="743" customFormat="false" ht="12.8" hidden="false" customHeight="false" outlineLevel="0" collapsed="false">
      <c r="A743" s="48" t="n">
        <f aca="false">TB_audited!A726</f>
        <v>0</v>
      </c>
      <c r="B743" s="49"/>
      <c r="C743" s="50"/>
      <c r="D743" s="51" t="n">
        <f aca="false">TB_audited!B726</f>
        <v>0</v>
      </c>
      <c r="E743" s="52" t="n">
        <f aca="false">TB_audited!C726</f>
        <v>0</v>
      </c>
      <c r="F743" s="53" t="n">
        <f aca="false">TB_audited!D726</f>
        <v>0</v>
      </c>
      <c r="G743" s="54" t="n">
        <f aca="false">IF($D$8="Interim",TB_audited!G726,TB_audited!E726)</f>
        <v>0</v>
      </c>
      <c r="H743" s="55" t="str">
        <f aca="false">IFERROR(VLOOKUP($A743,RA_result!$B$3:$N$62,11,0),"")</f>
        <v/>
      </c>
      <c r="I743" s="55" t="str">
        <f aca="false">IFERROR(VLOOKUP($A743,RA_result!$B$3:$N$62,12,0),"")</f>
        <v/>
      </c>
      <c r="J743" s="55" t="str">
        <f aca="false">IFERROR(VLOOKUP($A743,RA_result!$B$3:$N$62,13,0),"")</f>
        <v/>
      </c>
      <c r="K743" s="56"/>
      <c r="L743" s="56"/>
      <c r="M743" s="57" t="n">
        <f aca="false">G743</f>
        <v>0</v>
      </c>
      <c r="N743" s="54" t="n">
        <f aca="false">G743-M743</f>
        <v>0</v>
      </c>
      <c r="O743" s="55" t="str">
        <f aca="false">IFERROR(VLOOKUP($A743,RA_result!$B$3:$N$62,7,0),"")</f>
        <v/>
      </c>
      <c r="P743" s="52" t="str">
        <f aca="false">IFERROR(VLOOKUP($A743,RA_result!$B$3:$N$62,9,0),"")</f>
        <v/>
      </c>
      <c r="Q743" s="52" t="str">
        <f aca="false">IFERROR(VLOOKUP($A743,RA_result!$B$3:$N$62,10,0),"")</f>
        <v/>
      </c>
      <c r="R743" s="58" t="s">
        <v>55</v>
      </c>
      <c r="S743" s="59" t="str">
        <f aca="false">IFERROR(VLOOKUP($A743,RA_result!$B$3:$N$62,4,0),"")</f>
        <v/>
      </c>
      <c r="T743" s="60" t="s">
        <v>56</v>
      </c>
      <c r="U743" s="59" t="str">
        <f aca="false">IFERROR(IF(VLOOKUP($A743,RA_result!$B$3:$N$62,6,0)="",S743*T743,VLOOKUP($A743,RA_result!$B$3:$N$62,6,0)),"")</f>
        <v/>
      </c>
      <c r="V743" s="61" t="s">
        <v>56</v>
      </c>
      <c r="W743" s="62" t="n">
        <f aca="false">IFERROR((S743*30%)/V743,0)</f>
        <v>0</v>
      </c>
      <c r="X743" s="63" t="n">
        <f aca="false">IFERROR(N743/W743,0)</f>
        <v>0</v>
      </c>
      <c r="Y743" s="68"/>
      <c r="Z743" s="57"/>
      <c r="AA743" s="69" t="str">
        <f aca="false">IF(OR(U743="",Y743="",Z743=""),"",IF(AND(U743&gt;Y743,-U743&lt;Z743),"Ok","Not Ok"))</f>
        <v/>
      </c>
      <c r="AB743" s="70"/>
    </row>
    <row r="744" customFormat="false" ht="12.8" hidden="false" customHeight="false" outlineLevel="0" collapsed="false">
      <c r="A744" s="48" t="n">
        <f aca="false">TB_audited!A727</f>
        <v>0</v>
      </c>
      <c r="B744" s="49"/>
      <c r="C744" s="50"/>
      <c r="D744" s="51" t="n">
        <f aca="false">TB_audited!B727</f>
        <v>0</v>
      </c>
      <c r="E744" s="52" t="n">
        <f aca="false">TB_audited!C727</f>
        <v>0</v>
      </c>
      <c r="F744" s="53" t="n">
        <f aca="false">TB_audited!D727</f>
        <v>0</v>
      </c>
      <c r="G744" s="54" t="n">
        <f aca="false">IF($D$8="Interim",TB_audited!G727,TB_audited!E727)</f>
        <v>0</v>
      </c>
      <c r="H744" s="55" t="str">
        <f aca="false">IFERROR(VLOOKUP($A744,RA_result!$B$3:$N$62,11,0),"")</f>
        <v/>
      </c>
      <c r="I744" s="55" t="str">
        <f aca="false">IFERROR(VLOOKUP($A744,RA_result!$B$3:$N$62,12,0),"")</f>
        <v/>
      </c>
      <c r="J744" s="55" t="str">
        <f aca="false">IFERROR(VLOOKUP($A744,RA_result!$B$3:$N$62,13,0),"")</f>
        <v/>
      </c>
      <c r="K744" s="56"/>
      <c r="L744" s="56"/>
      <c r="M744" s="57" t="n">
        <f aca="false">G744</f>
        <v>0</v>
      </c>
      <c r="N744" s="54" t="n">
        <f aca="false">G744-M744</f>
        <v>0</v>
      </c>
      <c r="O744" s="55" t="str">
        <f aca="false">IFERROR(VLOOKUP($A744,RA_result!$B$3:$N$62,7,0),"")</f>
        <v/>
      </c>
      <c r="P744" s="52" t="str">
        <f aca="false">IFERROR(VLOOKUP($A744,RA_result!$B$3:$N$62,9,0),"")</f>
        <v/>
      </c>
      <c r="Q744" s="52" t="str">
        <f aca="false">IFERROR(VLOOKUP($A744,RA_result!$B$3:$N$62,10,0),"")</f>
        <v/>
      </c>
      <c r="R744" s="58" t="s">
        <v>55</v>
      </c>
      <c r="S744" s="59" t="str">
        <f aca="false">IFERROR(VLOOKUP($A744,RA_result!$B$3:$N$62,4,0),"")</f>
        <v/>
      </c>
      <c r="T744" s="60" t="s">
        <v>56</v>
      </c>
      <c r="U744" s="59" t="str">
        <f aca="false">IFERROR(IF(VLOOKUP($A744,RA_result!$B$3:$N$62,6,0)="",S744*T744,VLOOKUP($A744,RA_result!$B$3:$N$62,6,0)),"")</f>
        <v/>
      </c>
      <c r="V744" s="61" t="s">
        <v>56</v>
      </c>
      <c r="W744" s="62" t="n">
        <f aca="false">IFERROR((S744*30%)/V744,0)</f>
        <v>0</v>
      </c>
      <c r="X744" s="63" t="n">
        <f aca="false">IFERROR(N744/W744,0)</f>
        <v>0</v>
      </c>
      <c r="Y744" s="68"/>
      <c r="Z744" s="57"/>
      <c r="AA744" s="69" t="str">
        <f aca="false">IF(OR(U744="",Y744="",Z744=""),"",IF(AND(U744&gt;Y744,-U744&lt;Z744),"Ok","Not Ok"))</f>
        <v/>
      </c>
      <c r="AB744" s="70"/>
    </row>
    <row r="745" customFormat="false" ht="12.8" hidden="false" customHeight="false" outlineLevel="0" collapsed="false">
      <c r="A745" s="48" t="n">
        <f aca="false">TB_audited!A728</f>
        <v>0</v>
      </c>
      <c r="B745" s="49"/>
      <c r="C745" s="50"/>
      <c r="D745" s="51" t="n">
        <f aca="false">TB_audited!B728</f>
        <v>0</v>
      </c>
      <c r="E745" s="52" t="n">
        <f aca="false">TB_audited!C728</f>
        <v>0</v>
      </c>
      <c r="F745" s="53" t="n">
        <f aca="false">TB_audited!D728</f>
        <v>0</v>
      </c>
      <c r="G745" s="54" t="n">
        <f aca="false">IF($D$8="Interim",TB_audited!G728,TB_audited!E728)</f>
        <v>0</v>
      </c>
      <c r="H745" s="55" t="str">
        <f aca="false">IFERROR(VLOOKUP($A745,RA_result!$B$3:$N$62,11,0),"")</f>
        <v/>
      </c>
      <c r="I745" s="55" t="str">
        <f aca="false">IFERROR(VLOOKUP($A745,RA_result!$B$3:$N$62,12,0),"")</f>
        <v/>
      </c>
      <c r="J745" s="55" t="str">
        <f aca="false">IFERROR(VLOOKUP($A745,RA_result!$B$3:$N$62,13,0),"")</f>
        <v/>
      </c>
      <c r="K745" s="56"/>
      <c r="L745" s="56"/>
      <c r="M745" s="57" t="n">
        <f aca="false">G745</f>
        <v>0</v>
      </c>
      <c r="N745" s="54" t="n">
        <f aca="false">G745-M745</f>
        <v>0</v>
      </c>
      <c r="O745" s="55" t="str">
        <f aca="false">IFERROR(VLOOKUP($A745,RA_result!$B$3:$N$62,7,0),"")</f>
        <v/>
      </c>
      <c r="P745" s="52" t="str">
        <f aca="false">IFERROR(VLOOKUP($A745,RA_result!$B$3:$N$62,9,0),"")</f>
        <v/>
      </c>
      <c r="Q745" s="52" t="str">
        <f aca="false">IFERROR(VLOOKUP($A745,RA_result!$B$3:$N$62,10,0),"")</f>
        <v/>
      </c>
      <c r="R745" s="58" t="s">
        <v>55</v>
      </c>
      <c r="S745" s="59" t="str">
        <f aca="false">IFERROR(VLOOKUP($A745,RA_result!$B$3:$N$62,4,0),"")</f>
        <v/>
      </c>
      <c r="T745" s="60" t="s">
        <v>56</v>
      </c>
      <c r="U745" s="59" t="str">
        <f aca="false">IFERROR(IF(VLOOKUP($A745,RA_result!$B$3:$N$62,6,0)="",S745*T745,VLOOKUP($A745,RA_result!$B$3:$N$62,6,0)),"")</f>
        <v/>
      </c>
      <c r="V745" s="61" t="s">
        <v>56</v>
      </c>
      <c r="W745" s="62" t="n">
        <f aca="false">IFERROR((S745*30%)/V745,0)</f>
        <v>0</v>
      </c>
      <c r="X745" s="63" t="n">
        <f aca="false">IFERROR(N745/W745,0)</f>
        <v>0</v>
      </c>
      <c r="Y745" s="68"/>
      <c r="Z745" s="57"/>
      <c r="AA745" s="69" t="str">
        <f aca="false">IF(OR(U745="",Y745="",Z745=""),"",IF(AND(U745&gt;Y745,-U745&lt;Z745),"Ok","Not Ok"))</f>
        <v/>
      </c>
      <c r="AB745" s="70"/>
    </row>
    <row r="746" customFormat="false" ht="12.8" hidden="false" customHeight="false" outlineLevel="0" collapsed="false">
      <c r="A746" s="48" t="n">
        <f aca="false">TB_audited!A729</f>
        <v>0</v>
      </c>
      <c r="B746" s="49"/>
      <c r="C746" s="50"/>
      <c r="D746" s="51" t="n">
        <f aca="false">TB_audited!B729</f>
        <v>0</v>
      </c>
      <c r="E746" s="52" t="n">
        <f aca="false">TB_audited!C729</f>
        <v>0</v>
      </c>
      <c r="F746" s="53" t="n">
        <f aca="false">TB_audited!D729</f>
        <v>0</v>
      </c>
      <c r="G746" s="54" t="n">
        <f aca="false">IF($D$8="Interim",TB_audited!G729,TB_audited!E729)</f>
        <v>0</v>
      </c>
      <c r="H746" s="55" t="str">
        <f aca="false">IFERROR(VLOOKUP($A746,RA_result!$B$3:$N$62,11,0),"")</f>
        <v/>
      </c>
      <c r="I746" s="55" t="str">
        <f aca="false">IFERROR(VLOOKUP($A746,RA_result!$B$3:$N$62,12,0),"")</f>
        <v/>
      </c>
      <c r="J746" s="55" t="str">
        <f aca="false">IFERROR(VLOOKUP($A746,RA_result!$B$3:$N$62,13,0),"")</f>
        <v/>
      </c>
      <c r="K746" s="56"/>
      <c r="L746" s="56"/>
      <c r="M746" s="57" t="n">
        <f aca="false">G746</f>
        <v>0</v>
      </c>
      <c r="N746" s="54" t="n">
        <f aca="false">G746-M746</f>
        <v>0</v>
      </c>
      <c r="O746" s="55" t="str">
        <f aca="false">IFERROR(VLOOKUP($A746,RA_result!$B$3:$N$62,7,0),"")</f>
        <v/>
      </c>
      <c r="P746" s="52" t="str">
        <f aca="false">IFERROR(VLOOKUP($A746,RA_result!$B$3:$N$62,9,0),"")</f>
        <v/>
      </c>
      <c r="Q746" s="52" t="str">
        <f aca="false">IFERROR(VLOOKUP($A746,RA_result!$B$3:$N$62,10,0),"")</f>
        <v/>
      </c>
      <c r="R746" s="58" t="s">
        <v>55</v>
      </c>
      <c r="S746" s="59" t="str">
        <f aca="false">IFERROR(VLOOKUP($A746,RA_result!$B$3:$N$62,4,0),"")</f>
        <v/>
      </c>
      <c r="T746" s="60" t="s">
        <v>56</v>
      </c>
      <c r="U746" s="59" t="str">
        <f aca="false">IFERROR(IF(VLOOKUP($A746,RA_result!$B$3:$N$62,6,0)="",S746*T746,VLOOKUP($A746,RA_result!$B$3:$N$62,6,0)),"")</f>
        <v/>
      </c>
      <c r="V746" s="61" t="s">
        <v>56</v>
      </c>
      <c r="W746" s="62" t="n">
        <f aca="false">IFERROR((S746*30%)/V746,0)</f>
        <v>0</v>
      </c>
      <c r="X746" s="63" t="n">
        <f aca="false">IFERROR(N746/W746,0)</f>
        <v>0</v>
      </c>
      <c r="Y746" s="68"/>
      <c r="Z746" s="57"/>
      <c r="AA746" s="69" t="str">
        <f aca="false">IF(OR(U746="",Y746="",Z746=""),"",IF(AND(U746&gt;Y746,-U746&lt;Z746),"Ok","Not Ok"))</f>
        <v/>
      </c>
      <c r="AB746" s="70"/>
    </row>
    <row r="747" customFormat="false" ht="12.8" hidden="false" customHeight="false" outlineLevel="0" collapsed="false">
      <c r="A747" s="48" t="n">
        <f aca="false">TB_audited!A730</f>
        <v>0</v>
      </c>
      <c r="B747" s="49"/>
      <c r="C747" s="50"/>
      <c r="D747" s="51" t="n">
        <f aca="false">TB_audited!B730</f>
        <v>0</v>
      </c>
      <c r="E747" s="52" t="n">
        <f aca="false">TB_audited!C730</f>
        <v>0</v>
      </c>
      <c r="F747" s="53" t="n">
        <f aca="false">TB_audited!D730</f>
        <v>0</v>
      </c>
      <c r="G747" s="54" t="n">
        <f aca="false">IF($D$8="Interim",TB_audited!G730,TB_audited!E730)</f>
        <v>0</v>
      </c>
      <c r="H747" s="55" t="str">
        <f aca="false">IFERROR(VLOOKUP($A747,RA_result!$B$3:$N$62,11,0),"")</f>
        <v/>
      </c>
      <c r="I747" s="55" t="str">
        <f aca="false">IFERROR(VLOOKUP($A747,RA_result!$B$3:$N$62,12,0),"")</f>
        <v/>
      </c>
      <c r="J747" s="55" t="str">
        <f aca="false">IFERROR(VLOOKUP($A747,RA_result!$B$3:$N$62,13,0),"")</f>
        <v/>
      </c>
      <c r="K747" s="56"/>
      <c r="L747" s="56"/>
      <c r="M747" s="57" t="n">
        <f aca="false">G747</f>
        <v>0</v>
      </c>
      <c r="N747" s="54" t="n">
        <f aca="false">G747-M747</f>
        <v>0</v>
      </c>
      <c r="O747" s="55" t="str">
        <f aca="false">IFERROR(VLOOKUP($A747,RA_result!$B$3:$N$62,7,0),"")</f>
        <v/>
      </c>
      <c r="P747" s="52" t="str">
        <f aca="false">IFERROR(VLOOKUP($A747,RA_result!$B$3:$N$62,9,0),"")</f>
        <v/>
      </c>
      <c r="Q747" s="52" t="str">
        <f aca="false">IFERROR(VLOOKUP($A747,RA_result!$B$3:$N$62,10,0),"")</f>
        <v/>
      </c>
      <c r="R747" s="58" t="s">
        <v>55</v>
      </c>
      <c r="S747" s="59" t="str">
        <f aca="false">IFERROR(VLOOKUP($A747,RA_result!$B$3:$N$62,4,0),"")</f>
        <v/>
      </c>
      <c r="T747" s="60" t="s">
        <v>56</v>
      </c>
      <c r="U747" s="59" t="str">
        <f aca="false">IFERROR(IF(VLOOKUP($A747,RA_result!$B$3:$N$62,6,0)="",S747*T747,VLOOKUP($A747,RA_result!$B$3:$N$62,6,0)),"")</f>
        <v/>
      </c>
      <c r="V747" s="61" t="s">
        <v>56</v>
      </c>
      <c r="W747" s="62" t="n">
        <f aca="false">IFERROR((S747*30%)/V747,0)</f>
        <v>0</v>
      </c>
      <c r="X747" s="63" t="n">
        <f aca="false">IFERROR(N747/W747,0)</f>
        <v>0</v>
      </c>
      <c r="Y747" s="68"/>
      <c r="Z747" s="57"/>
      <c r="AA747" s="69" t="str">
        <f aca="false">IF(OR(U747="",Y747="",Z747=""),"",IF(AND(U747&gt;Y747,-U747&lt;Z747),"Ok","Not Ok"))</f>
        <v/>
      </c>
      <c r="AB747" s="70"/>
    </row>
    <row r="748" customFormat="false" ht="12.8" hidden="false" customHeight="false" outlineLevel="0" collapsed="false">
      <c r="A748" s="48" t="n">
        <f aca="false">TB_audited!A731</f>
        <v>0</v>
      </c>
      <c r="B748" s="49"/>
      <c r="C748" s="50"/>
      <c r="D748" s="51" t="n">
        <f aca="false">TB_audited!B731</f>
        <v>0</v>
      </c>
      <c r="E748" s="52" t="n">
        <f aca="false">TB_audited!C731</f>
        <v>0</v>
      </c>
      <c r="F748" s="53" t="n">
        <f aca="false">TB_audited!D731</f>
        <v>0</v>
      </c>
      <c r="G748" s="54" t="n">
        <f aca="false">IF($D$8="Interim",TB_audited!G731,TB_audited!E731)</f>
        <v>0</v>
      </c>
      <c r="H748" s="55" t="str">
        <f aca="false">IFERROR(VLOOKUP($A748,RA_result!$B$3:$N$62,11,0),"")</f>
        <v/>
      </c>
      <c r="I748" s="55" t="str">
        <f aca="false">IFERROR(VLOOKUP($A748,RA_result!$B$3:$N$62,12,0),"")</f>
        <v/>
      </c>
      <c r="J748" s="55" t="str">
        <f aca="false">IFERROR(VLOOKUP($A748,RA_result!$B$3:$N$62,13,0),"")</f>
        <v/>
      </c>
      <c r="K748" s="56"/>
      <c r="L748" s="56"/>
      <c r="M748" s="57" t="n">
        <f aca="false">G748</f>
        <v>0</v>
      </c>
      <c r="N748" s="54" t="n">
        <f aca="false">G748-M748</f>
        <v>0</v>
      </c>
      <c r="O748" s="55" t="str">
        <f aca="false">IFERROR(VLOOKUP($A748,RA_result!$B$3:$N$62,7,0),"")</f>
        <v/>
      </c>
      <c r="P748" s="52" t="str">
        <f aca="false">IFERROR(VLOOKUP($A748,RA_result!$B$3:$N$62,9,0),"")</f>
        <v/>
      </c>
      <c r="Q748" s="52" t="str">
        <f aca="false">IFERROR(VLOOKUP($A748,RA_result!$B$3:$N$62,10,0),"")</f>
        <v/>
      </c>
      <c r="R748" s="58" t="s">
        <v>55</v>
      </c>
      <c r="S748" s="59" t="str">
        <f aca="false">IFERROR(VLOOKUP($A748,RA_result!$B$3:$N$62,4,0),"")</f>
        <v/>
      </c>
      <c r="T748" s="60" t="s">
        <v>56</v>
      </c>
      <c r="U748" s="59" t="str">
        <f aca="false">IFERROR(IF(VLOOKUP($A748,RA_result!$B$3:$N$62,6,0)="",S748*T748,VLOOKUP($A748,RA_result!$B$3:$N$62,6,0)),"")</f>
        <v/>
      </c>
      <c r="V748" s="61" t="s">
        <v>56</v>
      </c>
      <c r="W748" s="62" t="n">
        <f aca="false">IFERROR((S748*30%)/V748,0)</f>
        <v>0</v>
      </c>
      <c r="X748" s="63" t="n">
        <f aca="false">IFERROR(N748/W748,0)</f>
        <v>0</v>
      </c>
      <c r="Y748" s="68"/>
      <c r="Z748" s="57"/>
      <c r="AA748" s="69" t="str">
        <f aca="false">IF(OR(U748="",Y748="",Z748=""),"",IF(AND(U748&gt;Y748,-U748&lt;Z748),"Ok","Not Ok"))</f>
        <v/>
      </c>
      <c r="AB748" s="70"/>
    </row>
    <row r="749" customFormat="false" ht="12.8" hidden="false" customHeight="false" outlineLevel="0" collapsed="false">
      <c r="A749" s="48" t="n">
        <f aca="false">TB_audited!A732</f>
        <v>0</v>
      </c>
      <c r="B749" s="49"/>
      <c r="C749" s="50"/>
      <c r="D749" s="51" t="n">
        <f aca="false">TB_audited!B732</f>
        <v>0</v>
      </c>
      <c r="E749" s="52" t="n">
        <f aca="false">TB_audited!C732</f>
        <v>0</v>
      </c>
      <c r="F749" s="53" t="n">
        <f aca="false">TB_audited!D732</f>
        <v>0</v>
      </c>
      <c r="G749" s="54" t="n">
        <f aca="false">IF($D$8="Interim",TB_audited!G732,TB_audited!E732)</f>
        <v>0</v>
      </c>
      <c r="H749" s="55" t="str">
        <f aca="false">IFERROR(VLOOKUP($A749,RA_result!$B$3:$N$62,11,0),"")</f>
        <v/>
      </c>
      <c r="I749" s="55" t="str">
        <f aca="false">IFERROR(VLOOKUP($A749,RA_result!$B$3:$N$62,12,0),"")</f>
        <v/>
      </c>
      <c r="J749" s="55" t="str">
        <f aca="false">IFERROR(VLOOKUP($A749,RA_result!$B$3:$N$62,13,0),"")</f>
        <v/>
      </c>
      <c r="K749" s="56"/>
      <c r="L749" s="56"/>
      <c r="M749" s="57" t="n">
        <f aca="false">G749</f>
        <v>0</v>
      </c>
      <c r="N749" s="54" t="n">
        <f aca="false">G749-M749</f>
        <v>0</v>
      </c>
      <c r="O749" s="55" t="str">
        <f aca="false">IFERROR(VLOOKUP($A749,RA_result!$B$3:$N$62,7,0),"")</f>
        <v/>
      </c>
      <c r="P749" s="52" t="str">
        <f aca="false">IFERROR(VLOOKUP($A749,RA_result!$B$3:$N$62,9,0),"")</f>
        <v/>
      </c>
      <c r="Q749" s="52" t="str">
        <f aca="false">IFERROR(VLOOKUP($A749,RA_result!$B$3:$N$62,10,0),"")</f>
        <v/>
      </c>
      <c r="R749" s="58" t="s">
        <v>55</v>
      </c>
      <c r="S749" s="59" t="str">
        <f aca="false">IFERROR(VLOOKUP($A749,RA_result!$B$3:$N$62,4,0),"")</f>
        <v/>
      </c>
      <c r="T749" s="60" t="s">
        <v>56</v>
      </c>
      <c r="U749" s="59" t="str">
        <f aca="false">IFERROR(IF(VLOOKUP($A749,RA_result!$B$3:$N$62,6,0)="",S749*T749,VLOOKUP($A749,RA_result!$B$3:$N$62,6,0)),"")</f>
        <v/>
      </c>
      <c r="V749" s="61" t="s">
        <v>56</v>
      </c>
      <c r="W749" s="62" t="n">
        <f aca="false">IFERROR((S749*30%)/V749,0)</f>
        <v>0</v>
      </c>
      <c r="X749" s="63" t="n">
        <f aca="false">IFERROR(N749/W749,0)</f>
        <v>0</v>
      </c>
      <c r="Y749" s="68"/>
      <c r="Z749" s="57"/>
      <c r="AA749" s="69" t="str">
        <f aca="false">IF(OR(U749="",Y749="",Z749=""),"",IF(AND(U749&gt;Y749,-U749&lt;Z749),"Ok","Not Ok"))</f>
        <v/>
      </c>
      <c r="AB749" s="70"/>
    </row>
    <row r="750" customFormat="false" ht="12.8" hidden="false" customHeight="false" outlineLevel="0" collapsed="false">
      <c r="A750" s="48" t="n">
        <f aca="false">TB_audited!A733</f>
        <v>0</v>
      </c>
      <c r="B750" s="49"/>
      <c r="C750" s="50"/>
      <c r="D750" s="51" t="n">
        <f aca="false">TB_audited!B733</f>
        <v>0</v>
      </c>
      <c r="E750" s="52" t="n">
        <f aca="false">TB_audited!C733</f>
        <v>0</v>
      </c>
      <c r="F750" s="53" t="n">
        <f aca="false">TB_audited!D733</f>
        <v>0</v>
      </c>
      <c r="G750" s="54" t="n">
        <f aca="false">IF($D$8="Interim",TB_audited!G733,TB_audited!E733)</f>
        <v>0</v>
      </c>
      <c r="H750" s="55" t="str">
        <f aca="false">IFERROR(VLOOKUP($A750,RA_result!$B$3:$N$62,11,0),"")</f>
        <v/>
      </c>
      <c r="I750" s="55" t="str">
        <f aca="false">IFERROR(VLOOKUP($A750,RA_result!$B$3:$N$62,12,0),"")</f>
        <v/>
      </c>
      <c r="J750" s="55" t="str">
        <f aca="false">IFERROR(VLOOKUP($A750,RA_result!$B$3:$N$62,13,0),"")</f>
        <v/>
      </c>
      <c r="K750" s="56"/>
      <c r="L750" s="56"/>
      <c r="M750" s="57" t="n">
        <f aca="false">G750</f>
        <v>0</v>
      </c>
      <c r="N750" s="54" t="n">
        <f aca="false">G750-M750</f>
        <v>0</v>
      </c>
      <c r="O750" s="55" t="str">
        <f aca="false">IFERROR(VLOOKUP($A750,RA_result!$B$3:$N$62,7,0),"")</f>
        <v/>
      </c>
      <c r="P750" s="52" t="str">
        <f aca="false">IFERROR(VLOOKUP($A750,RA_result!$B$3:$N$62,9,0),"")</f>
        <v/>
      </c>
      <c r="Q750" s="52" t="str">
        <f aca="false">IFERROR(VLOOKUP($A750,RA_result!$B$3:$N$62,10,0),"")</f>
        <v/>
      </c>
      <c r="R750" s="58" t="s">
        <v>55</v>
      </c>
      <c r="S750" s="59" t="str">
        <f aca="false">IFERROR(VLOOKUP($A750,RA_result!$B$3:$N$62,4,0),"")</f>
        <v/>
      </c>
      <c r="T750" s="60" t="s">
        <v>56</v>
      </c>
      <c r="U750" s="59" t="str">
        <f aca="false">IFERROR(IF(VLOOKUP($A750,RA_result!$B$3:$N$62,6,0)="",S750*T750,VLOOKUP($A750,RA_result!$B$3:$N$62,6,0)),"")</f>
        <v/>
      </c>
      <c r="V750" s="61" t="s">
        <v>56</v>
      </c>
      <c r="W750" s="62" t="n">
        <f aca="false">IFERROR((S750*30%)/V750,0)</f>
        <v>0</v>
      </c>
      <c r="X750" s="63" t="n">
        <f aca="false">IFERROR(N750/W750,0)</f>
        <v>0</v>
      </c>
      <c r="Y750" s="68"/>
      <c r="Z750" s="57"/>
      <c r="AA750" s="69" t="str">
        <f aca="false">IF(OR(U750="",Y750="",Z750=""),"",IF(AND(U750&gt;Y750,-U750&lt;Z750),"Ok","Not Ok"))</f>
        <v/>
      </c>
      <c r="AB750" s="70"/>
    </row>
    <row r="751" customFormat="false" ht="12.8" hidden="false" customHeight="false" outlineLevel="0" collapsed="false">
      <c r="A751" s="48" t="n">
        <f aca="false">TB_audited!A734</f>
        <v>0</v>
      </c>
      <c r="B751" s="49"/>
      <c r="C751" s="50"/>
      <c r="D751" s="51" t="n">
        <f aca="false">TB_audited!B734</f>
        <v>0</v>
      </c>
      <c r="E751" s="52" t="n">
        <f aca="false">TB_audited!C734</f>
        <v>0</v>
      </c>
      <c r="F751" s="53" t="n">
        <f aca="false">TB_audited!D734</f>
        <v>0</v>
      </c>
      <c r="G751" s="54" t="n">
        <f aca="false">IF($D$8="Interim",TB_audited!G734,TB_audited!E734)</f>
        <v>0</v>
      </c>
      <c r="H751" s="55" t="str">
        <f aca="false">IFERROR(VLOOKUP($A751,RA_result!$B$3:$N$62,11,0),"")</f>
        <v/>
      </c>
      <c r="I751" s="55" t="str">
        <f aca="false">IFERROR(VLOOKUP($A751,RA_result!$B$3:$N$62,12,0),"")</f>
        <v/>
      </c>
      <c r="J751" s="55" t="str">
        <f aca="false">IFERROR(VLOOKUP($A751,RA_result!$B$3:$N$62,13,0),"")</f>
        <v/>
      </c>
      <c r="K751" s="56"/>
      <c r="L751" s="56"/>
      <c r="M751" s="57" t="n">
        <f aca="false">G751</f>
        <v>0</v>
      </c>
      <c r="N751" s="54" t="n">
        <f aca="false">G751-M751</f>
        <v>0</v>
      </c>
      <c r="O751" s="55" t="str">
        <f aca="false">IFERROR(VLOOKUP($A751,RA_result!$B$3:$N$62,7,0),"")</f>
        <v/>
      </c>
      <c r="P751" s="52" t="str">
        <f aca="false">IFERROR(VLOOKUP($A751,RA_result!$B$3:$N$62,9,0),"")</f>
        <v/>
      </c>
      <c r="Q751" s="52" t="str">
        <f aca="false">IFERROR(VLOOKUP($A751,RA_result!$B$3:$N$62,10,0),"")</f>
        <v/>
      </c>
      <c r="R751" s="58" t="s">
        <v>55</v>
      </c>
      <c r="S751" s="59" t="str">
        <f aca="false">IFERROR(VLOOKUP($A751,RA_result!$B$3:$N$62,4,0),"")</f>
        <v/>
      </c>
      <c r="T751" s="60" t="s">
        <v>56</v>
      </c>
      <c r="U751" s="59" t="str">
        <f aca="false">IFERROR(IF(VLOOKUP($A751,RA_result!$B$3:$N$62,6,0)="",S751*T751,VLOOKUP($A751,RA_result!$B$3:$N$62,6,0)),"")</f>
        <v/>
      </c>
      <c r="V751" s="61" t="s">
        <v>56</v>
      </c>
      <c r="W751" s="62" t="n">
        <f aca="false">IFERROR((S751*30%)/V751,0)</f>
        <v>0</v>
      </c>
      <c r="X751" s="63" t="n">
        <f aca="false">IFERROR(N751/W751,0)</f>
        <v>0</v>
      </c>
      <c r="Y751" s="68"/>
      <c r="Z751" s="57"/>
      <c r="AA751" s="69" t="str">
        <f aca="false">IF(OR(U751="",Y751="",Z751=""),"",IF(AND(U751&gt;Y751,-U751&lt;Z751),"Ok","Not Ok"))</f>
        <v/>
      </c>
      <c r="AB751" s="70"/>
    </row>
    <row r="752" customFormat="false" ht="12.8" hidden="false" customHeight="false" outlineLevel="0" collapsed="false">
      <c r="A752" s="48" t="n">
        <f aca="false">TB_audited!A735</f>
        <v>0</v>
      </c>
      <c r="B752" s="49"/>
      <c r="C752" s="50"/>
      <c r="D752" s="51" t="n">
        <f aca="false">TB_audited!B735</f>
        <v>0</v>
      </c>
      <c r="E752" s="52" t="n">
        <f aca="false">TB_audited!C735</f>
        <v>0</v>
      </c>
      <c r="F752" s="53" t="n">
        <f aca="false">TB_audited!D735</f>
        <v>0</v>
      </c>
      <c r="G752" s="54" t="n">
        <f aca="false">IF($D$8="Interim",TB_audited!G735,TB_audited!E735)</f>
        <v>0</v>
      </c>
      <c r="H752" s="55" t="str">
        <f aca="false">IFERROR(VLOOKUP($A752,RA_result!$B$3:$N$62,11,0),"")</f>
        <v/>
      </c>
      <c r="I752" s="55" t="str">
        <f aca="false">IFERROR(VLOOKUP($A752,RA_result!$B$3:$N$62,12,0),"")</f>
        <v/>
      </c>
      <c r="J752" s="55" t="str">
        <f aca="false">IFERROR(VLOOKUP($A752,RA_result!$B$3:$N$62,13,0),"")</f>
        <v/>
      </c>
      <c r="K752" s="56"/>
      <c r="L752" s="56"/>
      <c r="M752" s="57" t="n">
        <f aca="false">G752</f>
        <v>0</v>
      </c>
      <c r="N752" s="54" t="n">
        <f aca="false">G752-M752</f>
        <v>0</v>
      </c>
      <c r="O752" s="55" t="str">
        <f aca="false">IFERROR(VLOOKUP($A752,RA_result!$B$3:$N$62,7,0),"")</f>
        <v/>
      </c>
      <c r="P752" s="52" t="str">
        <f aca="false">IFERROR(VLOOKUP($A752,RA_result!$B$3:$N$62,9,0),"")</f>
        <v/>
      </c>
      <c r="Q752" s="52" t="str">
        <f aca="false">IFERROR(VLOOKUP($A752,RA_result!$B$3:$N$62,10,0),"")</f>
        <v/>
      </c>
      <c r="R752" s="58" t="s">
        <v>55</v>
      </c>
      <c r="S752" s="59" t="str">
        <f aca="false">IFERROR(VLOOKUP($A752,RA_result!$B$3:$N$62,4,0),"")</f>
        <v/>
      </c>
      <c r="T752" s="60" t="s">
        <v>56</v>
      </c>
      <c r="U752" s="59" t="str">
        <f aca="false">IFERROR(IF(VLOOKUP($A752,RA_result!$B$3:$N$62,6,0)="",S752*T752,VLOOKUP($A752,RA_result!$B$3:$N$62,6,0)),"")</f>
        <v/>
      </c>
      <c r="V752" s="61" t="s">
        <v>56</v>
      </c>
      <c r="W752" s="62" t="n">
        <f aca="false">IFERROR((S752*30%)/V752,0)</f>
        <v>0</v>
      </c>
      <c r="X752" s="63" t="n">
        <f aca="false">IFERROR(N752/W752,0)</f>
        <v>0</v>
      </c>
      <c r="Y752" s="68"/>
      <c r="Z752" s="57"/>
      <c r="AA752" s="69" t="str">
        <f aca="false">IF(OR(U752="",Y752="",Z752=""),"",IF(AND(U752&gt;Y752,-U752&lt;Z752),"Ok","Not Ok"))</f>
        <v/>
      </c>
      <c r="AB752" s="70"/>
    </row>
    <row r="753" customFormat="false" ht="12.8" hidden="false" customHeight="false" outlineLevel="0" collapsed="false">
      <c r="A753" s="48" t="n">
        <f aca="false">TB_audited!A736</f>
        <v>0</v>
      </c>
      <c r="B753" s="49"/>
      <c r="C753" s="50"/>
      <c r="D753" s="51" t="n">
        <f aca="false">TB_audited!B736</f>
        <v>0</v>
      </c>
      <c r="E753" s="52" t="n">
        <f aca="false">TB_audited!C736</f>
        <v>0</v>
      </c>
      <c r="F753" s="53" t="n">
        <f aca="false">TB_audited!D736</f>
        <v>0</v>
      </c>
      <c r="G753" s="54" t="n">
        <f aca="false">IF($D$8="Interim",TB_audited!G736,TB_audited!E736)</f>
        <v>0</v>
      </c>
      <c r="H753" s="55" t="str">
        <f aca="false">IFERROR(VLOOKUP($A753,RA_result!$B$3:$N$62,11,0),"")</f>
        <v/>
      </c>
      <c r="I753" s="55" t="str">
        <f aca="false">IFERROR(VLOOKUP($A753,RA_result!$B$3:$N$62,12,0),"")</f>
        <v/>
      </c>
      <c r="J753" s="55" t="str">
        <f aca="false">IFERROR(VLOOKUP($A753,RA_result!$B$3:$N$62,13,0),"")</f>
        <v/>
      </c>
      <c r="K753" s="56"/>
      <c r="L753" s="56"/>
      <c r="M753" s="57" t="n">
        <f aca="false">G753</f>
        <v>0</v>
      </c>
      <c r="N753" s="54" t="n">
        <f aca="false">G753-M753</f>
        <v>0</v>
      </c>
      <c r="O753" s="55" t="str">
        <f aca="false">IFERROR(VLOOKUP($A753,RA_result!$B$3:$N$62,7,0),"")</f>
        <v/>
      </c>
      <c r="P753" s="52" t="str">
        <f aca="false">IFERROR(VLOOKUP($A753,RA_result!$B$3:$N$62,9,0),"")</f>
        <v/>
      </c>
      <c r="Q753" s="52" t="str">
        <f aca="false">IFERROR(VLOOKUP($A753,RA_result!$B$3:$N$62,10,0),"")</f>
        <v/>
      </c>
      <c r="R753" s="58" t="s">
        <v>55</v>
      </c>
      <c r="S753" s="59" t="str">
        <f aca="false">IFERROR(VLOOKUP($A753,RA_result!$B$3:$N$62,4,0),"")</f>
        <v/>
      </c>
      <c r="T753" s="60" t="s">
        <v>56</v>
      </c>
      <c r="U753" s="59" t="str">
        <f aca="false">IFERROR(IF(VLOOKUP($A753,RA_result!$B$3:$N$62,6,0)="",S753*T753,VLOOKUP($A753,RA_result!$B$3:$N$62,6,0)),"")</f>
        <v/>
      </c>
      <c r="V753" s="61" t="s">
        <v>56</v>
      </c>
      <c r="W753" s="62" t="n">
        <f aca="false">IFERROR((S753*30%)/V753,0)</f>
        <v>0</v>
      </c>
      <c r="X753" s="63" t="n">
        <f aca="false">IFERROR(N753/W753,0)</f>
        <v>0</v>
      </c>
      <c r="Y753" s="68"/>
      <c r="Z753" s="57"/>
      <c r="AA753" s="69" t="str">
        <f aca="false">IF(OR(U753="",Y753="",Z753=""),"",IF(AND(U753&gt;Y753,-U753&lt;Z753),"Ok","Not Ok"))</f>
        <v/>
      </c>
      <c r="AB753" s="70"/>
    </row>
    <row r="754" customFormat="false" ht="12.8" hidden="false" customHeight="false" outlineLevel="0" collapsed="false">
      <c r="A754" s="48" t="n">
        <f aca="false">TB_audited!A737</f>
        <v>0</v>
      </c>
      <c r="B754" s="49"/>
      <c r="C754" s="50"/>
      <c r="D754" s="51" t="n">
        <f aca="false">TB_audited!B737</f>
        <v>0</v>
      </c>
      <c r="E754" s="52" t="n">
        <f aca="false">TB_audited!C737</f>
        <v>0</v>
      </c>
      <c r="F754" s="53" t="n">
        <f aca="false">TB_audited!D737</f>
        <v>0</v>
      </c>
      <c r="G754" s="54" t="n">
        <f aca="false">IF($D$8="Interim",TB_audited!G737,TB_audited!E737)</f>
        <v>0</v>
      </c>
      <c r="H754" s="55" t="str">
        <f aca="false">IFERROR(VLOOKUP($A754,RA_result!$B$3:$N$62,11,0),"")</f>
        <v/>
      </c>
      <c r="I754" s="55" t="str">
        <f aca="false">IFERROR(VLOOKUP($A754,RA_result!$B$3:$N$62,12,0),"")</f>
        <v/>
      </c>
      <c r="J754" s="55" t="str">
        <f aca="false">IFERROR(VLOOKUP($A754,RA_result!$B$3:$N$62,13,0),"")</f>
        <v/>
      </c>
      <c r="K754" s="56"/>
      <c r="L754" s="56"/>
      <c r="M754" s="57" t="n">
        <f aca="false">G754</f>
        <v>0</v>
      </c>
      <c r="N754" s="54" t="n">
        <f aca="false">G754-M754</f>
        <v>0</v>
      </c>
      <c r="O754" s="55" t="str">
        <f aca="false">IFERROR(VLOOKUP($A754,RA_result!$B$3:$N$62,7,0),"")</f>
        <v/>
      </c>
      <c r="P754" s="52" t="str">
        <f aca="false">IFERROR(VLOOKUP($A754,RA_result!$B$3:$N$62,9,0),"")</f>
        <v/>
      </c>
      <c r="Q754" s="52" t="str">
        <f aca="false">IFERROR(VLOOKUP($A754,RA_result!$B$3:$N$62,10,0),"")</f>
        <v/>
      </c>
      <c r="R754" s="58" t="s">
        <v>55</v>
      </c>
      <c r="S754" s="59" t="str">
        <f aca="false">IFERROR(VLOOKUP($A754,RA_result!$B$3:$N$62,4,0),"")</f>
        <v/>
      </c>
      <c r="T754" s="60" t="s">
        <v>56</v>
      </c>
      <c r="U754" s="59" t="str">
        <f aca="false">IFERROR(IF(VLOOKUP($A754,RA_result!$B$3:$N$62,6,0)="",S754*T754,VLOOKUP($A754,RA_result!$B$3:$N$62,6,0)),"")</f>
        <v/>
      </c>
      <c r="V754" s="61" t="s">
        <v>56</v>
      </c>
      <c r="W754" s="62" t="n">
        <f aca="false">IFERROR((S754*30%)/V754,0)</f>
        <v>0</v>
      </c>
      <c r="X754" s="63" t="n">
        <f aca="false">IFERROR(N754/W754,0)</f>
        <v>0</v>
      </c>
      <c r="Y754" s="68"/>
      <c r="Z754" s="57"/>
      <c r="AA754" s="69" t="str">
        <f aca="false">IF(OR(U754="",Y754="",Z754=""),"",IF(AND(U754&gt;Y754,-U754&lt;Z754),"Ok","Not Ok"))</f>
        <v/>
      </c>
      <c r="AB754" s="70"/>
    </row>
    <row r="755" customFormat="false" ht="12.8" hidden="false" customHeight="false" outlineLevel="0" collapsed="false">
      <c r="A755" s="48" t="n">
        <f aca="false">TB_audited!A738</f>
        <v>0</v>
      </c>
      <c r="B755" s="49"/>
      <c r="C755" s="50"/>
      <c r="D755" s="51" t="n">
        <f aca="false">TB_audited!B738</f>
        <v>0</v>
      </c>
      <c r="E755" s="52" t="n">
        <f aca="false">TB_audited!C738</f>
        <v>0</v>
      </c>
      <c r="F755" s="53" t="n">
        <f aca="false">TB_audited!D738</f>
        <v>0</v>
      </c>
      <c r="G755" s="54" t="n">
        <f aca="false">IF($D$8="Interim",TB_audited!G738,TB_audited!E738)</f>
        <v>0</v>
      </c>
      <c r="H755" s="55" t="str">
        <f aca="false">IFERROR(VLOOKUP($A755,RA_result!$B$3:$N$62,11,0),"")</f>
        <v/>
      </c>
      <c r="I755" s="55" t="str">
        <f aca="false">IFERROR(VLOOKUP($A755,RA_result!$B$3:$N$62,12,0),"")</f>
        <v/>
      </c>
      <c r="J755" s="55" t="str">
        <f aca="false">IFERROR(VLOOKUP($A755,RA_result!$B$3:$N$62,13,0),"")</f>
        <v/>
      </c>
      <c r="K755" s="56"/>
      <c r="L755" s="56"/>
      <c r="M755" s="57" t="n">
        <f aca="false">G755</f>
        <v>0</v>
      </c>
      <c r="N755" s="54" t="n">
        <f aca="false">G755-M755</f>
        <v>0</v>
      </c>
      <c r="O755" s="55" t="str">
        <f aca="false">IFERROR(VLOOKUP($A755,RA_result!$B$3:$N$62,7,0),"")</f>
        <v/>
      </c>
      <c r="P755" s="52" t="str">
        <f aca="false">IFERROR(VLOOKUP($A755,RA_result!$B$3:$N$62,9,0),"")</f>
        <v/>
      </c>
      <c r="Q755" s="52" t="str">
        <f aca="false">IFERROR(VLOOKUP($A755,RA_result!$B$3:$N$62,10,0),"")</f>
        <v/>
      </c>
      <c r="R755" s="58" t="s">
        <v>55</v>
      </c>
      <c r="S755" s="59" t="str">
        <f aca="false">IFERROR(VLOOKUP($A755,RA_result!$B$3:$N$62,4,0),"")</f>
        <v/>
      </c>
      <c r="T755" s="60" t="s">
        <v>56</v>
      </c>
      <c r="U755" s="59" t="str">
        <f aca="false">IFERROR(IF(VLOOKUP($A755,RA_result!$B$3:$N$62,6,0)="",S755*T755,VLOOKUP($A755,RA_result!$B$3:$N$62,6,0)),"")</f>
        <v/>
      </c>
      <c r="V755" s="61" t="s">
        <v>56</v>
      </c>
      <c r="W755" s="62" t="n">
        <f aca="false">IFERROR((S755*30%)/V755,0)</f>
        <v>0</v>
      </c>
      <c r="X755" s="63" t="n">
        <f aca="false">IFERROR(N755/W755,0)</f>
        <v>0</v>
      </c>
      <c r="Y755" s="68"/>
      <c r="Z755" s="57"/>
      <c r="AA755" s="69" t="str">
        <f aca="false">IF(OR(U755="",Y755="",Z755=""),"",IF(AND(U755&gt;Y755,-U755&lt;Z755),"Ok","Not Ok"))</f>
        <v/>
      </c>
      <c r="AB755" s="70"/>
    </row>
    <row r="756" customFormat="false" ht="12.8" hidden="false" customHeight="false" outlineLevel="0" collapsed="false">
      <c r="A756" s="48" t="n">
        <f aca="false">TB_audited!A739</f>
        <v>0</v>
      </c>
      <c r="B756" s="49"/>
      <c r="C756" s="50"/>
      <c r="D756" s="51" t="n">
        <f aca="false">TB_audited!B739</f>
        <v>0</v>
      </c>
      <c r="E756" s="52" t="n">
        <f aca="false">TB_audited!C739</f>
        <v>0</v>
      </c>
      <c r="F756" s="53" t="n">
        <f aca="false">TB_audited!D739</f>
        <v>0</v>
      </c>
      <c r="G756" s="54" t="n">
        <f aca="false">IF($D$8="Interim",TB_audited!G739,TB_audited!E739)</f>
        <v>0</v>
      </c>
      <c r="H756" s="55" t="str">
        <f aca="false">IFERROR(VLOOKUP($A756,RA_result!$B$3:$N$62,11,0),"")</f>
        <v/>
      </c>
      <c r="I756" s="55" t="str">
        <f aca="false">IFERROR(VLOOKUP($A756,RA_result!$B$3:$N$62,12,0),"")</f>
        <v/>
      </c>
      <c r="J756" s="55" t="str">
        <f aca="false">IFERROR(VLOOKUP($A756,RA_result!$B$3:$N$62,13,0),"")</f>
        <v/>
      </c>
      <c r="K756" s="56"/>
      <c r="L756" s="56"/>
      <c r="M756" s="57" t="n">
        <f aca="false">G756</f>
        <v>0</v>
      </c>
      <c r="N756" s="54" t="n">
        <f aca="false">G756-M756</f>
        <v>0</v>
      </c>
      <c r="O756" s="55" t="str">
        <f aca="false">IFERROR(VLOOKUP($A756,RA_result!$B$3:$N$62,7,0),"")</f>
        <v/>
      </c>
      <c r="P756" s="52" t="str">
        <f aca="false">IFERROR(VLOOKUP($A756,RA_result!$B$3:$N$62,9,0),"")</f>
        <v/>
      </c>
      <c r="Q756" s="52" t="str">
        <f aca="false">IFERROR(VLOOKUP($A756,RA_result!$B$3:$N$62,10,0),"")</f>
        <v/>
      </c>
      <c r="R756" s="58" t="s">
        <v>55</v>
      </c>
      <c r="S756" s="59" t="str">
        <f aca="false">IFERROR(VLOOKUP($A756,RA_result!$B$3:$N$62,4,0),"")</f>
        <v/>
      </c>
      <c r="T756" s="60" t="s">
        <v>56</v>
      </c>
      <c r="U756" s="59" t="str">
        <f aca="false">IFERROR(IF(VLOOKUP($A756,RA_result!$B$3:$N$62,6,0)="",S756*T756,VLOOKUP($A756,RA_result!$B$3:$N$62,6,0)),"")</f>
        <v/>
      </c>
      <c r="V756" s="61" t="s">
        <v>56</v>
      </c>
      <c r="W756" s="62" t="n">
        <f aca="false">IFERROR((S756*30%)/V756,0)</f>
        <v>0</v>
      </c>
      <c r="X756" s="63" t="n">
        <f aca="false">IFERROR(N756/W756,0)</f>
        <v>0</v>
      </c>
      <c r="Y756" s="68"/>
      <c r="Z756" s="57"/>
      <c r="AA756" s="69" t="str">
        <f aca="false">IF(OR(U756="",Y756="",Z756=""),"",IF(AND(U756&gt;Y756,-U756&lt;Z756),"Ok","Not Ok"))</f>
        <v/>
      </c>
      <c r="AB756" s="70"/>
    </row>
    <row r="757" customFormat="false" ht="12.8" hidden="false" customHeight="false" outlineLevel="0" collapsed="false">
      <c r="A757" s="48" t="n">
        <f aca="false">TB_audited!A740</f>
        <v>0</v>
      </c>
      <c r="B757" s="49"/>
      <c r="C757" s="50"/>
      <c r="D757" s="51" t="n">
        <f aca="false">TB_audited!B740</f>
        <v>0</v>
      </c>
      <c r="E757" s="52" t="n">
        <f aca="false">TB_audited!C740</f>
        <v>0</v>
      </c>
      <c r="F757" s="53" t="n">
        <f aca="false">TB_audited!D740</f>
        <v>0</v>
      </c>
      <c r="G757" s="54" t="n">
        <f aca="false">IF($D$8="Interim",TB_audited!G740,TB_audited!E740)</f>
        <v>0</v>
      </c>
      <c r="H757" s="55" t="str">
        <f aca="false">IFERROR(VLOOKUP($A757,RA_result!$B$3:$N$62,11,0),"")</f>
        <v/>
      </c>
      <c r="I757" s="55" t="str">
        <f aca="false">IFERROR(VLOOKUP($A757,RA_result!$B$3:$N$62,12,0),"")</f>
        <v/>
      </c>
      <c r="J757" s="55" t="str">
        <f aca="false">IFERROR(VLOOKUP($A757,RA_result!$B$3:$N$62,13,0),"")</f>
        <v/>
      </c>
      <c r="K757" s="56"/>
      <c r="L757" s="56"/>
      <c r="M757" s="57" t="n">
        <f aca="false">G757</f>
        <v>0</v>
      </c>
      <c r="N757" s="54" t="n">
        <f aca="false">G757-M757</f>
        <v>0</v>
      </c>
      <c r="O757" s="55" t="str">
        <f aca="false">IFERROR(VLOOKUP($A757,RA_result!$B$3:$N$62,7,0),"")</f>
        <v/>
      </c>
      <c r="P757" s="52" t="str">
        <f aca="false">IFERROR(VLOOKUP($A757,RA_result!$B$3:$N$62,9,0),"")</f>
        <v/>
      </c>
      <c r="Q757" s="52" t="str">
        <f aca="false">IFERROR(VLOOKUP($A757,RA_result!$B$3:$N$62,10,0),"")</f>
        <v/>
      </c>
      <c r="R757" s="58" t="s">
        <v>55</v>
      </c>
      <c r="S757" s="59" t="str">
        <f aca="false">IFERROR(VLOOKUP($A757,RA_result!$B$3:$N$62,4,0),"")</f>
        <v/>
      </c>
      <c r="T757" s="60" t="s">
        <v>56</v>
      </c>
      <c r="U757" s="59" t="str">
        <f aca="false">IFERROR(IF(VLOOKUP($A757,RA_result!$B$3:$N$62,6,0)="",S757*T757,VLOOKUP($A757,RA_result!$B$3:$N$62,6,0)),"")</f>
        <v/>
      </c>
      <c r="V757" s="61" t="s">
        <v>56</v>
      </c>
      <c r="W757" s="62" t="n">
        <f aca="false">IFERROR((S757*30%)/V757,0)</f>
        <v>0</v>
      </c>
      <c r="X757" s="63" t="n">
        <f aca="false">IFERROR(N757/W757,0)</f>
        <v>0</v>
      </c>
      <c r="Y757" s="68"/>
      <c r="Z757" s="57"/>
      <c r="AA757" s="69" t="str">
        <f aca="false">IF(OR(U757="",Y757="",Z757=""),"",IF(AND(U757&gt;Y757,-U757&lt;Z757),"Ok","Not Ok"))</f>
        <v/>
      </c>
      <c r="AB757" s="70"/>
    </row>
    <row r="758" customFormat="false" ht="12.8" hidden="false" customHeight="false" outlineLevel="0" collapsed="false">
      <c r="A758" s="48" t="n">
        <f aca="false">TB_audited!A741</f>
        <v>0</v>
      </c>
      <c r="B758" s="49"/>
      <c r="C758" s="50"/>
      <c r="D758" s="51" t="n">
        <f aca="false">TB_audited!B741</f>
        <v>0</v>
      </c>
      <c r="E758" s="52" t="n">
        <f aca="false">TB_audited!C741</f>
        <v>0</v>
      </c>
      <c r="F758" s="53" t="n">
        <f aca="false">TB_audited!D741</f>
        <v>0</v>
      </c>
      <c r="G758" s="54" t="n">
        <f aca="false">IF($D$8="Interim",TB_audited!G741,TB_audited!E741)</f>
        <v>0</v>
      </c>
      <c r="H758" s="55" t="str">
        <f aca="false">IFERROR(VLOOKUP($A758,RA_result!$B$3:$N$62,11,0),"")</f>
        <v/>
      </c>
      <c r="I758" s="55" t="str">
        <f aca="false">IFERROR(VLOOKUP($A758,RA_result!$B$3:$N$62,12,0),"")</f>
        <v/>
      </c>
      <c r="J758" s="55" t="str">
        <f aca="false">IFERROR(VLOOKUP($A758,RA_result!$B$3:$N$62,13,0),"")</f>
        <v/>
      </c>
      <c r="K758" s="56"/>
      <c r="L758" s="56"/>
      <c r="M758" s="57" t="n">
        <f aca="false">G758</f>
        <v>0</v>
      </c>
      <c r="N758" s="54" t="n">
        <f aca="false">G758-M758</f>
        <v>0</v>
      </c>
      <c r="O758" s="55" t="str">
        <f aca="false">IFERROR(VLOOKUP($A758,RA_result!$B$3:$N$62,7,0),"")</f>
        <v/>
      </c>
      <c r="P758" s="52" t="str">
        <f aca="false">IFERROR(VLOOKUP($A758,RA_result!$B$3:$N$62,9,0),"")</f>
        <v/>
      </c>
      <c r="Q758" s="52" t="str">
        <f aca="false">IFERROR(VLOOKUP($A758,RA_result!$B$3:$N$62,10,0),"")</f>
        <v/>
      </c>
      <c r="R758" s="58" t="s">
        <v>55</v>
      </c>
      <c r="S758" s="59" t="str">
        <f aca="false">IFERROR(VLOOKUP($A758,RA_result!$B$3:$N$62,4,0),"")</f>
        <v/>
      </c>
      <c r="T758" s="60" t="s">
        <v>56</v>
      </c>
      <c r="U758" s="59" t="str">
        <f aca="false">IFERROR(IF(VLOOKUP($A758,RA_result!$B$3:$N$62,6,0)="",S758*T758,VLOOKUP($A758,RA_result!$B$3:$N$62,6,0)),"")</f>
        <v/>
      </c>
      <c r="V758" s="61" t="s">
        <v>56</v>
      </c>
      <c r="W758" s="62" t="n">
        <f aca="false">IFERROR((S758*30%)/V758,0)</f>
        <v>0</v>
      </c>
      <c r="X758" s="63" t="n">
        <f aca="false">IFERROR(N758/W758,0)</f>
        <v>0</v>
      </c>
      <c r="Y758" s="68"/>
      <c r="Z758" s="57"/>
      <c r="AA758" s="69" t="str">
        <f aca="false">IF(OR(U758="",Y758="",Z758=""),"",IF(AND(U758&gt;Y758,-U758&lt;Z758),"Ok","Not Ok"))</f>
        <v/>
      </c>
      <c r="AB758" s="70"/>
    </row>
    <row r="759" customFormat="false" ht="12.8" hidden="false" customHeight="false" outlineLevel="0" collapsed="false">
      <c r="A759" s="48" t="n">
        <f aca="false">TB_audited!A742</f>
        <v>0</v>
      </c>
      <c r="B759" s="49"/>
      <c r="C759" s="50"/>
      <c r="D759" s="51" t="n">
        <f aca="false">TB_audited!B742</f>
        <v>0</v>
      </c>
      <c r="E759" s="52" t="n">
        <f aca="false">TB_audited!C742</f>
        <v>0</v>
      </c>
      <c r="F759" s="53" t="n">
        <f aca="false">TB_audited!D742</f>
        <v>0</v>
      </c>
      <c r="G759" s="54" t="n">
        <f aca="false">IF($D$8="Interim",TB_audited!G742,TB_audited!E742)</f>
        <v>0</v>
      </c>
      <c r="H759" s="55" t="str">
        <f aca="false">IFERROR(VLOOKUP($A759,RA_result!$B$3:$N$62,11,0),"")</f>
        <v/>
      </c>
      <c r="I759" s="55" t="str">
        <f aca="false">IFERROR(VLOOKUP($A759,RA_result!$B$3:$N$62,12,0),"")</f>
        <v/>
      </c>
      <c r="J759" s="55" t="str">
        <f aca="false">IFERROR(VLOOKUP($A759,RA_result!$B$3:$N$62,13,0),"")</f>
        <v/>
      </c>
      <c r="K759" s="56"/>
      <c r="L759" s="56"/>
      <c r="M759" s="57" t="n">
        <f aca="false">G759</f>
        <v>0</v>
      </c>
      <c r="N759" s="54" t="n">
        <f aca="false">G759-M759</f>
        <v>0</v>
      </c>
      <c r="O759" s="55" t="str">
        <f aca="false">IFERROR(VLOOKUP($A759,RA_result!$B$3:$N$62,7,0),"")</f>
        <v/>
      </c>
      <c r="P759" s="52" t="str">
        <f aca="false">IFERROR(VLOOKUP($A759,RA_result!$B$3:$N$62,9,0),"")</f>
        <v/>
      </c>
      <c r="Q759" s="52" t="str">
        <f aca="false">IFERROR(VLOOKUP($A759,RA_result!$B$3:$N$62,10,0),"")</f>
        <v/>
      </c>
      <c r="R759" s="58" t="s">
        <v>55</v>
      </c>
      <c r="S759" s="59" t="str">
        <f aca="false">IFERROR(VLOOKUP($A759,RA_result!$B$3:$N$62,4,0),"")</f>
        <v/>
      </c>
      <c r="T759" s="60" t="s">
        <v>56</v>
      </c>
      <c r="U759" s="59" t="str">
        <f aca="false">IFERROR(IF(VLOOKUP($A759,RA_result!$B$3:$N$62,6,0)="",S759*T759,VLOOKUP($A759,RA_result!$B$3:$N$62,6,0)),"")</f>
        <v/>
      </c>
      <c r="V759" s="61" t="s">
        <v>56</v>
      </c>
      <c r="W759" s="62" t="n">
        <f aca="false">IFERROR((S759*30%)/V759,0)</f>
        <v>0</v>
      </c>
      <c r="X759" s="63" t="n">
        <f aca="false">IFERROR(N759/W759,0)</f>
        <v>0</v>
      </c>
      <c r="Y759" s="68"/>
      <c r="Z759" s="57"/>
      <c r="AA759" s="69" t="str">
        <f aca="false">IF(OR(U759="",Y759="",Z759=""),"",IF(AND(U759&gt;Y759,-U759&lt;Z759),"Ok","Not Ok"))</f>
        <v/>
      </c>
      <c r="AB759" s="70"/>
    </row>
    <row r="760" customFormat="false" ht="12.8" hidden="false" customHeight="false" outlineLevel="0" collapsed="false">
      <c r="A760" s="48" t="n">
        <f aca="false">TB_audited!A743</f>
        <v>0</v>
      </c>
      <c r="B760" s="49"/>
      <c r="C760" s="50"/>
      <c r="D760" s="51" t="n">
        <f aca="false">TB_audited!B743</f>
        <v>0</v>
      </c>
      <c r="E760" s="52" t="n">
        <f aca="false">TB_audited!C743</f>
        <v>0</v>
      </c>
      <c r="F760" s="53" t="n">
        <f aca="false">TB_audited!D743</f>
        <v>0</v>
      </c>
      <c r="G760" s="54" t="n">
        <f aca="false">IF($D$8="Interim",TB_audited!G743,TB_audited!E743)</f>
        <v>0</v>
      </c>
      <c r="H760" s="55" t="str">
        <f aca="false">IFERROR(VLOOKUP($A760,RA_result!$B$3:$N$62,11,0),"")</f>
        <v/>
      </c>
      <c r="I760" s="55" t="str">
        <f aca="false">IFERROR(VLOOKUP($A760,RA_result!$B$3:$N$62,12,0),"")</f>
        <v/>
      </c>
      <c r="J760" s="55" t="str">
        <f aca="false">IFERROR(VLOOKUP($A760,RA_result!$B$3:$N$62,13,0),"")</f>
        <v/>
      </c>
      <c r="K760" s="56"/>
      <c r="L760" s="56"/>
      <c r="M760" s="57" t="n">
        <f aca="false">G760</f>
        <v>0</v>
      </c>
      <c r="N760" s="54" t="n">
        <f aca="false">G760-M760</f>
        <v>0</v>
      </c>
      <c r="O760" s="55" t="str">
        <f aca="false">IFERROR(VLOOKUP($A760,RA_result!$B$3:$N$62,7,0),"")</f>
        <v/>
      </c>
      <c r="P760" s="52" t="str">
        <f aca="false">IFERROR(VLOOKUP($A760,RA_result!$B$3:$N$62,9,0),"")</f>
        <v/>
      </c>
      <c r="Q760" s="52" t="str">
        <f aca="false">IFERROR(VLOOKUP($A760,RA_result!$B$3:$N$62,10,0),"")</f>
        <v/>
      </c>
      <c r="R760" s="58" t="s">
        <v>55</v>
      </c>
      <c r="S760" s="59" t="str">
        <f aca="false">IFERROR(VLOOKUP($A760,RA_result!$B$3:$N$62,4,0),"")</f>
        <v/>
      </c>
      <c r="T760" s="60" t="s">
        <v>56</v>
      </c>
      <c r="U760" s="59" t="str">
        <f aca="false">IFERROR(IF(VLOOKUP($A760,RA_result!$B$3:$N$62,6,0)="",S760*T760,VLOOKUP($A760,RA_result!$B$3:$N$62,6,0)),"")</f>
        <v/>
      </c>
      <c r="V760" s="61" t="s">
        <v>56</v>
      </c>
      <c r="W760" s="62" t="n">
        <f aca="false">IFERROR((S760*30%)/V760,0)</f>
        <v>0</v>
      </c>
      <c r="X760" s="63" t="n">
        <f aca="false">IFERROR(N760/W760,0)</f>
        <v>0</v>
      </c>
      <c r="Y760" s="68"/>
      <c r="Z760" s="57"/>
      <c r="AA760" s="69" t="str">
        <f aca="false">IF(OR(U760="",Y760="",Z760=""),"",IF(AND(U760&gt;Y760,-U760&lt;Z760),"Ok","Not Ok"))</f>
        <v/>
      </c>
      <c r="AB760" s="70"/>
    </row>
    <row r="761" customFormat="false" ht="12.8" hidden="false" customHeight="false" outlineLevel="0" collapsed="false">
      <c r="A761" s="48" t="n">
        <f aca="false">TB_audited!A744</f>
        <v>0</v>
      </c>
      <c r="B761" s="49"/>
      <c r="C761" s="50"/>
      <c r="D761" s="51" t="n">
        <f aca="false">TB_audited!B744</f>
        <v>0</v>
      </c>
      <c r="E761" s="52" t="n">
        <f aca="false">TB_audited!C744</f>
        <v>0</v>
      </c>
      <c r="F761" s="53" t="n">
        <f aca="false">TB_audited!D744</f>
        <v>0</v>
      </c>
      <c r="G761" s="54" t="n">
        <f aca="false">IF($D$8="Interim",TB_audited!G744,TB_audited!E744)</f>
        <v>0</v>
      </c>
      <c r="H761" s="55" t="str">
        <f aca="false">IFERROR(VLOOKUP($A761,RA_result!$B$3:$N$62,11,0),"")</f>
        <v/>
      </c>
      <c r="I761" s="55" t="str">
        <f aca="false">IFERROR(VLOOKUP($A761,RA_result!$B$3:$N$62,12,0),"")</f>
        <v/>
      </c>
      <c r="J761" s="55" t="str">
        <f aca="false">IFERROR(VLOOKUP($A761,RA_result!$B$3:$N$62,13,0),"")</f>
        <v/>
      </c>
      <c r="K761" s="56"/>
      <c r="L761" s="56"/>
      <c r="M761" s="57" t="n">
        <f aca="false">G761</f>
        <v>0</v>
      </c>
      <c r="N761" s="54" t="n">
        <f aca="false">G761-M761</f>
        <v>0</v>
      </c>
      <c r="O761" s="55" t="str">
        <f aca="false">IFERROR(VLOOKUP($A761,RA_result!$B$3:$N$62,7,0),"")</f>
        <v/>
      </c>
      <c r="P761" s="52" t="str">
        <f aca="false">IFERROR(VLOOKUP($A761,RA_result!$B$3:$N$62,9,0),"")</f>
        <v/>
      </c>
      <c r="Q761" s="52" t="str">
        <f aca="false">IFERROR(VLOOKUP($A761,RA_result!$B$3:$N$62,10,0),"")</f>
        <v/>
      </c>
      <c r="R761" s="58" t="s">
        <v>55</v>
      </c>
      <c r="S761" s="59" t="str">
        <f aca="false">IFERROR(VLOOKUP($A761,RA_result!$B$3:$N$62,4,0),"")</f>
        <v/>
      </c>
      <c r="T761" s="60" t="s">
        <v>56</v>
      </c>
      <c r="U761" s="59" t="str">
        <f aca="false">IFERROR(IF(VLOOKUP($A761,RA_result!$B$3:$N$62,6,0)="",S761*T761,VLOOKUP($A761,RA_result!$B$3:$N$62,6,0)),"")</f>
        <v/>
      </c>
      <c r="V761" s="61" t="s">
        <v>56</v>
      </c>
      <c r="W761" s="62" t="n">
        <f aca="false">IFERROR((S761*30%)/V761,0)</f>
        <v>0</v>
      </c>
      <c r="X761" s="63" t="n">
        <f aca="false">IFERROR(N761/W761,0)</f>
        <v>0</v>
      </c>
      <c r="Y761" s="68"/>
      <c r="Z761" s="57"/>
      <c r="AA761" s="69" t="str">
        <f aca="false">IF(OR(U761="",Y761="",Z761=""),"",IF(AND(U761&gt;Y761,-U761&lt;Z761),"Ok","Not Ok"))</f>
        <v/>
      </c>
      <c r="AB761" s="70"/>
    </row>
    <row r="762" customFormat="false" ht="12.8" hidden="false" customHeight="false" outlineLevel="0" collapsed="false">
      <c r="A762" s="48" t="n">
        <f aca="false">TB_audited!A745</f>
        <v>0</v>
      </c>
      <c r="B762" s="49"/>
      <c r="C762" s="50"/>
      <c r="D762" s="51" t="n">
        <f aca="false">TB_audited!B745</f>
        <v>0</v>
      </c>
      <c r="E762" s="52" t="n">
        <f aca="false">TB_audited!C745</f>
        <v>0</v>
      </c>
      <c r="F762" s="53" t="n">
        <f aca="false">TB_audited!D745</f>
        <v>0</v>
      </c>
      <c r="G762" s="54" t="n">
        <f aca="false">IF($D$8="Interim",TB_audited!G745,TB_audited!E745)</f>
        <v>0</v>
      </c>
      <c r="H762" s="55" t="str">
        <f aca="false">IFERROR(VLOOKUP($A762,RA_result!$B$3:$N$62,11,0),"")</f>
        <v/>
      </c>
      <c r="I762" s="55" t="str">
        <f aca="false">IFERROR(VLOOKUP($A762,RA_result!$B$3:$N$62,12,0),"")</f>
        <v/>
      </c>
      <c r="J762" s="55" t="str">
        <f aca="false">IFERROR(VLOOKUP($A762,RA_result!$B$3:$N$62,13,0),"")</f>
        <v/>
      </c>
      <c r="K762" s="56"/>
      <c r="L762" s="56"/>
      <c r="M762" s="57" t="n">
        <f aca="false">G762</f>
        <v>0</v>
      </c>
      <c r="N762" s="54" t="n">
        <f aca="false">G762-M762</f>
        <v>0</v>
      </c>
      <c r="O762" s="55" t="str">
        <f aca="false">IFERROR(VLOOKUP($A762,RA_result!$B$3:$N$62,7,0),"")</f>
        <v/>
      </c>
      <c r="P762" s="52" t="str">
        <f aca="false">IFERROR(VLOOKUP($A762,RA_result!$B$3:$N$62,9,0),"")</f>
        <v/>
      </c>
      <c r="Q762" s="52" t="str">
        <f aca="false">IFERROR(VLOOKUP($A762,RA_result!$B$3:$N$62,10,0),"")</f>
        <v/>
      </c>
      <c r="R762" s="58" t="s">
        <v>55</v>
      </c>
      <c r="S762" s="59" t="str">
        <f aca="false">IFERROR(VLOOKUP($A762,RA_result!$B$3:$N$62,4,0),"")</f>
        <v/>
      </c>
      <c r="T762" s="60" t="s">
        <v>56</v>
      </c>
      <c r="U762" s="59" t="str">
        <f aca="false">IFERROR(IF(VLOOKUP($A762,RA_result!$B$3:$N$62,6,0)="",S762*T762,VLOOKUP($A762,RA_result!$B$3:$N$62,6,0)),"")</f>
        <v/>
      </c>
      <c r="V762" s="61" t="s">
        <v>56</v>
      </c>
      <c r="W762" s="62" t="n">
        <f aca="false">IFERROR((S762*30%)/V762,0)</f>
        <v>0</v>
      </c>
      <c r="X762" s="63" t="n">
        <f aca="false">IFERROR(N762/W762,0)</f>
        <v>0</v>
      </c>
      <c r="Y762" s="68"/>
      <c r="Z762" s="57"/>
      <c r="AA762" s="69" t="str">
        <f aca="false">IF(OR(U762="",Y762="",Z762=""),"",IF(AND(U762&gt;Y762,-U762&lt;Z762),"Ok","Not Ok"))</f>
        <v/>
      </c>
      <c r="AB762" s="70"/>
    </row>
    <row r="763" customFormat="false" ht="12.8" hidden="false" customHeight="false" outlineLevel="0" collapsed="false">
      <c r="A763" s="48" t="n">
        <f aca="false">TB_audited!A746</f>
        <v>0</v>
      </c>
      <c r="B763" s="49"/>
      <c r="C763" s="50"/>
      <c r="D763" s="51" t="n">
        <f aca="false">TB_audited!B746</f>
        <v>0</v>
      </c>
      <c r="E763" s="52" t="n">
        <f aca="false">TB_audited!C746</f>
        <v>0</v>
      </c>
      <c r="F763" s="53" t="n">
        <f aca="false">TB_audited!D746</f>
        <v>0</v>
      </c>
      <c r="G763" s="54" t="n">
        <f aca="false">IF($D$8="Interim",TB_audited!G746,TB_audited!E746)</f>
        <v>0</v>
      </c>
      <c r="H763" s="55" t="str">
        <f aca="false">IFERROR(VLOOKUP($A763,RA_result!$B$3:$N$62,11,0),"")</f>
        <v/>
      </c>
      <c r="I763" s="55" t="str">
        <f aca="false">IFERROR(VLOOKUP($A763,RA_result!$B$3:$N$62,12,0),"")</f>
        <v/>
      </c>
      <c r="J763" s="55" t="str">
        <f aca="false">IFERROR(VLOOKUP($A763,RA_result!$B$3:$N$62,13,0),"")</f>
        <v/>
      </c>
      <c r="K763" s="56"/>
      <c r="L763" s="56"/>
      <c r="M763" s="57" t="n">
        <f aca="false">G763</f>
        <v>0</v>
      </c>
      <c r="N763" s="54" t="n">
        <f aca="false">G763-M763</f>
        <v>0</v>
      </c>
      <c r="O763" s="55" t="str">
        <f aca="false">IFERROR(VLOOKUP($A763,RA_result!$B$3:$N$62,7,0),"")</f>
        <v/>
      </c>
      <c r="P763" s="52" t="str">
        <f aca="false">IFERROR(VLOOKUP($A763,RA_result!$B$3:$N$62,9,0),"")</f>
        <v/>
      </c>
      <c r="Q763" s="52" t="str">
        <f aca="false">IFERROR(VLOOKUP($A763,RA_result!$B$3:$N$62,10,0),"")</f>
        <v/>
      </c>
      <c r="R763" s="58" t="s">
        <v>55</v>
      </c>
      <c r="S763" s="59" t="str">
        <f aca="false">IFERROR(VLOOKUP($A763,RA_result!$B$3:$N$62,4,0),"")</f>
        <v/>
      </c>
      <c r="T763" s="60" t="s">
        <v>56</v>
      </c>
      <c r="U763" s="59" t="str">
        <f aca="false">IFERROR(IF(VLOOKUP($A763,RA_result!$B$3:$N$62,6,0)="",S763*T763,VLOOKUP($A763,RA_result!$B$3:$N$62,6,0)),"")</f>
        <v/>
      </c>
      <c r="V763" s="61" t="s">
        <v>56</v>
      </c>
      <c r="W763" s="62" t="n">
        <f aca="false">IFERROR((S763*30%)/V763,0)</f>
        <v>0</v>
      </c>
      <c r="X763" s="63" t="n">
        <f aca="false">IFERROR(N763/W763,0)</f>
        <v>0</v>
      </c>
      <c r="Y763" s="68"/>
      <c r="Z763" s="57"/>
      <c r="AA763" s="69" t="str">
        <f aca="false">IF(OR(U763="",Y763="",Z763=""),"",IF(AND(U763&gt;Y763,-U763&lt;Z763),"Ok","Not Ok"))</f>
        <v/>
      </c>
      <c r="AB763" s="70"/>
    </row>
    <row r="764" customFormat="false" ht="12.8" hidden="false" customHeight="false" outlineLevel="0" collapsed="false">
      <c r="A764" s="48" t="n">
        <f aca="false">TB_audited!A747</f>
        <v>0</v>
      </c>
      <c r="B764" s="49"/>
      <c r="C764" s="50"/>
      <c r="D764" s="51" t="n">
        <f aca="false">TB_audited!B747</f>
        <v>0</v>
      </c>
      <c r="E764" s="52" t="n">
        <f aca="false">TB_audited!C747</f>
        <v>0</v>
      </c>
      <c r="F764" s="53" t="n">
        <f aca="false">TB_audited!D747</f>
        <v>0</v>
      </c>
      <c r="G764" s="54" t="n">
        <f aca="false">IF($D$8="Interim",TB_audited!G747,TB_audited!E747)</f>
        <v>0</v>
      </c>
      <c r="H764" s="55" t="str">
        <f aca="false">IFERROR(VLOOKUP($A764,RA_result!$B$3:$N$62,11,0),"")</f>
        <v/>
      </c>
      <c r="I764" s="55" t="str">
        <f aca="false">IFERROR(VLOOKUP($A764,RA_result!$B$3:$N$62,12,0),"")</f>
        <v/>
      </c>
      <c r="J764" s="55" t="str">
        <f aca="false">IFERROR(VLOOKUP($A764,RA_result!$B$3:$N$62,13,0),"")</f>
        <v/>
      </c>
      <c r="K764" s="56"/>
      <c r="L764" s="56"/>
      <c r="M764" s="57" t="n">
        <f aca="false">G764</f>
        <v>0</v>
      </c>
      <c r="N764" s="54" t="n">
        <f aca="false">G764-M764</f>
        <v>0</v>
      </c>
      <c r="O764" s="55" t="str">
        <f aca="false">IFERROR(VLOOKUP($A764,RA_result!$B$3:$N$62,7,0),"")</f>
        <v/>
      </c>
      <c r="P764" s="52" t="str">
        <f aca="false">IFERROR(VLOOKUP($A764,RA_result!$B$3:$N$62,9,0),"")</f>
        <v/>
      </c>
      <c r="Q764" s="52" t="str">
        <f aca="false">IFERROR(VLOOKUP($A764,RA_result!$B$3:$N$62,10,0),"")</f>
        <v/>
      </c>
      <c r="R764" s="58" t="s">
        <v>55</v>
      </c>
      <c r="S764" s="59" t="str">
        <f aca="false">IFERROR(VLOOKUP($A764,RA_result!$B$3:$N$62,4,0),"")</f>
        <v/>
      </c>
      <c r="T764" s="60" t="s">
        <v>56</v>
      </c>
      <c r="U764" s="59" t="str">
        <f aca="false">IFERROR(IF(VLOOKUP($A764,RA_result!$B$3:$N$62,6,0)="",S764*T764,VLOOKUP($A764,RA_result!$B$3:$N$62,6,0)),"")</f>
        <v/>
      </c>
      <c r="V764" s="61" t="s">
        <v>56</v>
      </c>
      <c r="W764" s="62" t="n">
        <f aca="false">IFERROR((S764*30%)/V764,0)</f>
        <v>0</v>
      </c>
      <c r="X764" s="63" t="n">
        <f aca="false">IFERROR(N764/W764,0)</f>
        <v>0</v>
      </c>
      <c r="Y764" s="68"/>
      <c r="Z764" s="57"/>
      <c r="AA764" s="69" t="str">
        <f aca="false">IF(OR(U764="",Y764="",Z764=""),"",IF(AND(U764&gt;Y764,-U764&lt;Z764),"Ok","Not Ok"))</f>
        <v/>
      </c>
      <c r="AB764" s="70"/>
    </row>
    <row r="765" customFormat="false" ht="12.8" hidden="false" customHeight="false" outlineLevel="0" collapsed="false">
      <c r="A765" s="48" t="n">
        <f aca="false">TB_audited!A748</f>
        <v>0</v>
      </c>
      <c r="B765" s="49"/>
      <c r="C765" s="50"/>
      <c r="D765" s="51" t="n">
        <f aca="false">TB_audited!B748</f>
        <v>0</v>
      </c>
      <c r="E765" s="52" t="n">
        <f aca="false">TB_audited!C748</f>
        <v>0</v>
      </c>
      <c r="F765" s="53" t="n">
        <f aca="false">TB_audited!D748</f>
        <v>0</v>
      </c>
      <c r="G765" s="54" t="n">
        <f aca="false">IF($D$8="Interim",TB_audited!G748,TB_audited!E748)</f>
        <v>0</v>
      </c>
      <c r="H765" s="55" t="str">
        <f aca="false">IFERROR(VLOOKUP($A765,RA_result!$B$3:$N$62,11,0),"")</f>
        <v/>
      </c>
      <c r="I765" s="55" t="str">
        <f aca="false">IFERROR(VLOOKUP($A765,RA_result!$B$3:$N$62,12,0),"")</f>
        <v/>
      </c>
      <c r="J765" s="55" t="str">
        <f aca="false">IFERROR(VLOOKUP($A765,RA_result!$B$3:$N$62,13,0),"")</f>
        <v/>
      </c>
      <c r="K765" s="56"/>
      <c r="L765" s="56"/>
      <c r="M765" s="57" t="n">
        <f aca="false">G765</f>
        <v>0</v>
      </c>
      <c r="N765" s="54" t="n">
        <f aca="false">G765-M765</f>
        <v>0</v>
      </c>
      <c r="O765" s="55" t="str">
        <f aca="false">IFERROR(VLOOKUP($A765,RA_result!$B$3:$N$62,7,0),"")</f>
        <v/>
      </c>
      <c r="P765" s="52" t="str">
        <f aca="false">IFERROR(VLOOKUP($A765,RA_result!$B$3:$N$62,9,0),"")</f>
        <v/>
      </c>
      <c r="Q765" s="52" t="str">
        <f aca="false">IFERROR(VLOOKUP($A765,RA_result!$B$3:$N$62,10,0),"")</f>
        <v/>
      </c>
      <c r="R765" s="58" t="s">
        <v>55</v>
      </c>
      <c r="S765" s="59" t="str">
        <f aca="false">IFERROR(VLOOKUP($A765,RA_result!$B$3:$N$62,4,0),"")</f>
        <v/>
      </c>
      <c r="T765" s="60" t="s">
        <v>56</v>
      </c>
      <c r="U765" s="59" t="str">
        <f aca="false">IFERROR(IF(VLOOKUP($A765,RA_result!$B$3:$N$62,6,0)="",S765*T765,VLOOKUP($A765,RA_result!$B$3:$N$62,6,0)),"")</f>
        <v/>
      </c>
      <c r="V765" s="61" t="s">
        <v>56</v>
      </c>
      <c r="W765" s="62" t="n">
        <f aca="false">IFERROR((S765*30%)/V765,0)</f>
        <v>0</v>
      </c>
      <c r="X765" s="63" t="n">
        <f aca="false">IFERROR(N765/W765,0)</f>
        <v>0</v>
      </c>
      <c r="Y765" s="68"/>
      <c r="Z765" s="57"/>
      <c r="AA765" s="69" t="str">
        <f aca="false">IF(OR(U765="",Y765="",Z765=""),"",IF(AND(U765&gt;Y765,-U765&lt;Z765),"Ok","Not Ok"))</f>
        <v/>
      </c>
      <c r="AB765" s="70"/>
    </row>
    <row r="766" customFormat="false" ht="12.8" hidden="false" customHeight="false" outlineLevel="0" collapsed="false">
      <c r="A766" s="48" t="n">
        <f aca="false">TB_audited!A749</f>
        <v>0</v>
      </c>
      <c r="B766" s="49"/>
      <c r="C766" s="50"/>
      <c r="D766" s="51" t="n">
        <f aca="false">TB_audited!B749</f>
        <v>0</v>
      </c>
      <c r="E766" s="52" t="n">
        <f aca="false">TB_audited!C749</f>
        <v>0</v>
      </c>
      <c r="F766" s="53" t="n">
        <f aca="false">TB_audited!D749</f>
        <v>0</v>
      </c>
      <c r="G766" s="54" t="n">
        <f aca="false">IF($D$8="Interim",TB_audited!G749,TB_audited!E749)</f>
        <v>0</v>
      </c>
      <c r="H766" s="55" t="str">
        <f aca="false">IFERROR(VLOOKUP($A766,RA_result!$B$3:$N$62,11,0),"")</f>
        <v/>
      </c>
      <c r="I766" s="55" t="str">
        <f aca="false">IFERROR(VLOOKUP($A766,RA_result!$B$3:$N$62,12,0),"")</f>
        <v/>
      </c>
      <c r="J766" s="55" t="str">
        <f aca="false">IFERROR(VLOOKUP($A766,RA_result!$B$3:$N$62,13,0),"")</f>
        <v/>
      </c>
      <c r="K766" s="56"/>
      <c r="L766" s="56"/>
      <c r="M766" s="57" t="n">
        <f aca="false">G766</f>
        <v>0</v>
      </c>
      <c r="N766" s="54" t="n">
        <f aca="false">G766-M766</f>
        <v>0</v>
      </c>
      <c r="O766" s="55" t="str">
        <f aca="false">IFERROR(VLOOKUP($A766,RA_result!$B$3:$N$62,7,0),"")</f>
        <v/>
      </c>
      <c r="P766" s="52" t="str">
        <f aca="false">IFERROR(VLOOKUP($A766,RA_result!$B$3:$N$62,9,0),"")</f>
        <v/>
      </c>
      <c r="Q766" s="52" t="str">
        <f aca="false">IFERROR(VLOOKUP($A766,RA_result!$B$3:$N$62,10,0),"")</f>
        <v/>
      </c>
      <c r="R766" s="58" t="s">
        <v>55</v>
      </c>
      <c r="S766" s="59" t="str">
        <f aca="false">IFERROR(VLOOKUP($A766,RA_result!$B$3:$N$62,4,0),"")</f>
        <v/>
      </c>
      <c r="T766" s="60" t="s">
        <v>56</v>
      </c>
      <c r="U766" s="59" t="str">
        <f aca="false">IFERROR(IF(VLOOKUP($A766,RA_result!$B$3:$N$62,6,0)="",S766*T766,VLOOKUP($A766,RA_result!$B$3:$N$62,6,0)),"")</f>
        <v/>
      </c>
      <c r="V766" s="61" t="s">
        <v>56</v>
      </c>
      <c r="W766" s="62" t="n">
        <f aca="false">IFERROR((S766*30%)/V766,0)</f>
        <v>0</v>
      </c>
      <c r="X766" s="63" t="n">
        <f aca="false">IFERROR(N766/W766,0)</f>
        <v>0</v>
      </c>
      <c r="Y766" s="68"/>
      <c r="Z766" s="57"/>
      <c r="AA766" s="69" t="str">
        <f aca="false">IF(OR(U766="",Y766="",Z766=""),"",IF(AND(U766&gt;Y766,-U766&lt;Z766),"Ok","Not Ok"))</f>
        <v/>
      </c>
      <c r="AB766" s="70"/>
    </row>
    <row r="767" customFormat="false" ht="12.8" hidden="false" customHeight="false" outlineLevel="0" collapsed="false">
      <c r="A767" s="48" t="n">
        <f aca="false">TB_audited!A750</f>
        <v>0</v>
      </c>
      <c r="B767" s="49"/>
      <c r="C767" s="50"/>
      <c r="D767" s="51" t="n">
        <f aca="false">TB_audited!B750</f>
        <v>0</v>
      </c>
      <c r="E767" s="52" t="n">
        <f aca="false">TB_audited!C750</f>
        <v>0</v>
      </c>
      <c r="F767" s="53" t="n">
        <f aca="false">TB_audited!D750</f>
        <v>0</v>
      </c>
      <c r="G767" s="54" t="n">
        <f aca="false">IF($D$8="Interim",TB_audited!G750,TB_audited!E750)</f>
        <v>0</v>
      </c>
      <c r="H767" s="55" t="str">
        <f aca="false">IFERROR(VLOOKUP($A767,RA_result!$B$3:$N$62,11,0),"")</f>
        <v/>
      </c>
      <c r="I767" s="55" t="str">
        <f aca="false">IFERROR(VLOOKUP($A767,RA_result!$B$3:$N$62,12,0),"")</f>
        <v/>
      </c>
      <c r="J767" s="55" t="str">
        <f aca="false">IFERROR(VLOOKUP($A767,RA_result!$B$3:$N$62,13,0),"")</f>
        <v/>
      </c>
      <c r="K767" s="56"/>
      <c r="L767" s="56"/>
      <c r="M767" s="57" t="n">
        <f aca="false">G767</f>
        <v>0</v>
      </c>
      <c r="N767" s="54" t="n">
        <f aca="false">G767-M767</f>
        <v>0</v>
      </c>
      <c r="O767" s="55" t="str">
        <f aca="false">IFERROR(VLOOKUP($A767,RA_result!$B$3:$N$62,7,0),"")</f>
        <v/>
      </c>
      <c r="P767" s="52" t="str">
        <f aca="false">IFERROR(VLOOKUP($A767,RA_result!$B$3:$N$62,9,0),"")</f>
        <v/>
      </c>
      <c r="Q767" s="52" t="str">
        <f aca="false">IFERROR(VLOOKUP($A767,RA_result!$B$3:$N$62,10,0),"")</f>
        <v/>
      </c>
      <c r="R767" s="58" t="s">
        <v>55</v>
      </c>
      <c r="S767" s="59" t="str">
        <f aca="false">IFERROR(VLOOKUP($A767,RA_result!$B$3:$N$62,4,0),"")</f>
        <v/>
      </c>
      <c r="T767" s="60" t="s">
        <v>56</v>
      </c>
      <c r="U767" s="59" t="str">
        <f aca="false">IFERROR(IF(VLOOKUP($A767,RA_result!$B$3:$N$62,6,0)="",S767*T767,VLOOKUP($A767,RA_result!$B$3:$N$62,6,0)),"")</f>
        <v/>
      </c>
      <c r="V767" s="61" t="s">
        <v>56</v>
      </c>
      <c r="W767" s="62" t="n">
        <f aca="false">IFERROR((S767*30%)/V767,0)</f>
        <v>0</v>
      </c>
      <c r="X767" s="63" t="n">
        <f aca="false">IFERROR(N767/W767,0)</f>
        <v>0</v>
      </c>
      <c r="Y767" s="68"/>
      <c r="Z767" s="57"/>
      <c r="AA767" s="69" t="str">
        <f aca="false">IF(OR(U767="",Y767="",Z767=""),"",IF(AND(U767&gt;Y767,-U767&lt;Z767),"Ok","Not Ok"))</f>
        <v/>
      </c>
      <c r="AB767" s="70"/>
    </row>
    <row r="768" customFormat="false" ht="12.8" hidden="false" customHeight="false" outlineLevel="0" collapsed="false">
      <c r="A768" s="48" t="n">
        <f aca="false">TB_audited!A751</f>
        <v>0</v>
      </c>
      <c r="B768" s="49"/>
      <c r="C768" s="50"/>
      <c r="D768" s="51" t="n">
        <f aca="false">TB_audited!B751</f>
        <v>0</v>
      </c>
      <c r="E768" s="52" t="n">
        <f aca="false">TB_audited!C751</f>
        <v>0</v>
      </c>
      <c r="F768" s="53" t="n">
        <f aca="false">TB_audited!D751</f>
        <v>0</v>
      </c>
      <c r="G768" s="54" t="n">
        <f aca="false">IF($D$8="Interim",TB_audited!G751,TB_audited!E751)</f>
        <v>0</v>
      </c>
      <c r="H768" s="55" t="str">
        <f aca="false">IFERROR(VLOOKUP($A768,RA_result!$B$3:$N$62,11,0),"")</f>
        <v/>
      </c>
      <c r="I768" s="55" t="str">
        <f aca="false">IFERROR(VLOOKUP($A768,RA_result!$B$3:$N$62,12,0),"")</f>
        <v/>
      </c>
      <c r="J768" s="55" t="str">
        <f aca="false">IFERROR(VLOOKUP($A768,RA_result!$B$3:$N$62,13,0),"")</f>
        <v/>
      </c>
      <c r="K768" s="56"/>
      <c r="L768" s="56"/>
      <c r="M768" s="57" t="n">
        <f aca="false">G768</f>
        <v>0</v>
      </c>
      <c r="N768" s="54" t="n">
        <f aca="false">G768-M768</f>
        <v>0</v>
      </c>
      <c r="O768" s="55" t="str">
        <f aca="false">IFERROR(VLOOKUP($A768,RA_result!$B$3:$N$62,7,0),"")</f>
        <v/>
      </c>
      <c r="P768" s="52" t="str">
        <f aca="false">IFERROR(VLOOKUP($A768,RA_result!$B$3:$N$62,9,0),"")</f>
        <v/>
      </c>
      <c r="Q768" s="52" t="str">
        <f aca="false">IFERROR(VLOOKUP($A768,RA_result!$B$3:$N$62,10,0),"")</f>
        <v/>
      </c>
      <c r="R768" s="58" t="s">
        <v>55</v>
      </c>
      <c r="S768" s="59" t="str">
        <f aca="false">IFERROR(VLOOKUP($A768,RA_result!$B$3:$N$62,4,0),"")</f>
        <v/>
      </c>
      <c r="T768" s="60" t="s">
        <v>56</v>
      </c>
      <c r="U768" s="59" t="str">
        <f aca="false">IFERROR(IF(VLOOKUP($A768,RA_result!$B$3:$N$62,6,0)="",S768*T768,VLOOKUP($A768,RA_result!$B$3:$N$62,6,0)),"")</f>
        <v/>
      </c>
      <c r="V768" s="61" t="s">
        <v>56</v>
      </c>
      <c r="W768" s="62" t="n">
        <f aca="false">IFERROR((S768*30%)/V768,0)</f>
        <v>0</v>
      </c>
      <c r="X768" s="63" t="n">
        <f aca="false">IFERROR(N768/W768,0)</f>
        <v>0</v>
      </c>
      <c r="Y768" s="68"/>
      <c r="Z768" s="57"/>
      <c r="AA768" s="69" t="str">
        <f aca="false">IF(OR(U768="",Y768="",Z768=""),"",IF(AND(U768&gt;Y768,-U768&lt;Z768),"Ok","Not Ok"))</f>
        <v/>
      </c>
      <c r="AB768" s="70"/>
    </row>
    <row r="769" customFormat="false" ht="12.8" hidden="false" customHeight="false" outlineLevel="0" collapsed="false">
      <c r="A769" s="48" t="n">
        <f aca="false">TB_audited!A752</f>
        <v>0</v>
      </c>
      <c r="B769" s="49"/>
      <c r="C769" s="50"/>
      <c r="D769" s="51" t="n">
        <f aca="false">TB_audited!B752</f>
        <v>0</v>
      </c>
      <c r="E769" s="52" t="n">
        <f aca="false">TB_audited!C752</f>
        <v>0</v>
      </c>
      <c r="F769" s="53" t="n">
        <f aca="false">TB_audited!D752</f>
        <v>0</v>
      </c>
      <c r="G769" s="54" t="n">
        <f aca="false">IF($D$8="Interim",TB_audited!G752,TB_audited!E752)</f>
        <v>0</v>
      </c>
      <c r="H769" s="55" t="str">
        <f aca="false">IFERROR(VLOOKUP($A769,RA_result!$B$3:$N$62,11,0),"")</f>
        <v/>
      </c>
      <c r="I769" s="55" t="str">
        <f aca="false">IFERROR(VLOOKUP($A769,RA_result!$B$3:$N$62,12,0),"")</f>
        <v/>
      </c>
      <c r="J769" s="55" t="str">
        <f aca="false">IFERROR(VLOOKUP($A769,RA_result!$B$3:$N$62,13,0),"")</f>
        <v/>
      </c>
      <c r="K769" s="56"/>
      <c r="L769" s="56"/>
      <c r="M769" s="57" t="n">
        <f aca="false">G769</f>
        <v>0</v>
      </c>
      <c r="N769" s="54" t="n">
        <f aca="false">G769-M769</f>
        <v>0</v>
      </c>
      <c r="O769" s="55" t="str">
        <f aca="false">IFERROR(VLOOKUP($A769,RA_result!$B$3:$N$62,7,0),"")</f>
        <v/>
      </c>
      <c r="P769" s="52" t="str">
        <f aca="false">IFERROR(VLOOKUP($A769,RA_result!$B$3:$N$62,9,0),"")</f>
        <v/>
      </c>
      <c r="Q769" s="52" t="str">
        <f aca="false">IFERROR(VLOOKUP($A769,RA_result!$B$3:$N$62,10,0),"")</f>
        <v/>
      </c>
      <c r="R769" s="58" t="s">
        <v>55</v>
      </c>
      <c r="S769" s="59" t="str">
        <f aca="false">IFERROR(VLOOKUP($A769,RA_result!$B$3:$N$62,4,0),"")</f>
        <v/>
      </c>
      <c r="T769" s="60" t="s">
        <v>56</v>
      </c>
      <c r="U769" s="59" t="str">
        <f aca="false">IFERROR(IF(VLOOKUP($A769,RA_result!$B$3:$N$62,6,0)="",S769*T769,VLOOKUP($A769,RA_result!$B$3:$N$62,6,0)),"")</f>
        <v/>
      </c>
      <c r="V769" s="61" t="s">
        <v>56</v>
      </c>
      <c r="W769" s="62" t="n">
        <f aca="false">IFERROR((S769*30%)/V769,0)</f>
        <v>0</v>
      </c>
      <c r="X769" s="63" t="n">
        <f aca="false">IFERROR(N769/W769,0)</f>
        <v>0</v>
      </c>
      <c r="Y769" s="68"/>
      <c r="Z769" s="57"/>
      <c r="AA769" s="69" t="str">
        <f aca="false">IF(OR(U769="",Y769="",Z769=""),"",IF(AND(U769&gt;Y769,-U769&lt;Z769),"Ok","Not Ok"))</f>
        <v/>
      </c>
      <c r="AB769" s="70"/>
    </row>
    <row r="770" customFormat="false" ht="12.8" hidden="false" customHeight="false" outlineLevel="0" collapsed="false">
      <c r="A770" s="48" t="n">
        <f aca="false">TB_audited!A753</f>
        <v>0</v>
      </c>
      <c r="B770" s="49"/>
      <c r="C770" s="50"/>
      <c r="D770" s="51" t="n">
        <f aca="false">TB_audited!B753</f>
        <v>0</v>
      </c>
      <c r="E770" s="52" t="n">
        <f aca="false">TB_audited!C753</f>
        <v>0</v>
      </c>
      <c r="F770" s="53" t="n">
        <f aca="false">TB_audited!D753</f>
        <v>0</v>
      </c>
      <c r="G770" s="54" t="n">
        <f aca="false">IF($D$8="Interim",TB_audited!G753,TB_audited!E753)</f>
        <v>0</v>
      </c>
      <c r="H770" s="55" t="str">
        <f aca="false">IFERROR(VLOOKUP($A770,RA_result!$B$3:$N$62,11,0),"")</f>
        <v/>
      </c>
      <c r="I770" s="55" t="str">
        <f aca="false">IFERROR(VLOOKUP($A770,RA_result!$B$3:$N$62,12,0),"")</f>
        <v/>
      </c>
      <c r="J770" s="55" t="str">
        <f aca="false">IFERROR(VLOOKUP($A770,RA_result!$B$3:$N$62,13,0),"")</f>
        <v/>
      </c>
      <c r="K770" s="56"/>
      <c r="L770" s="56"/>
      <c r="M770" s="57" t="n">
        <f aca="false">G770</f>
        <v>0</v>
      </c>
      <c r="N770" s="54" t="n">
        <f aca="false">G770-M770</f>
        <v>0</v>
      </c>
      <c r="O770" s="55" t="str">
        <f aca="false">IFERROR(VLOOKUP($A770,RA_result!$B$3:$N$62,7,0),"")</f>
        <v/>
      </c>
      <c r="P770" s="52" t="str">
        <f aca="false">IFERROR(VLOOKUP($A770,RA_result!$B$3:$N$62,9,0),"")</f>
        <v/>
      </c>
      <c r="Q770" s="52" t="str">
        <f aca="false">IFERROR(VLOOKUP($A770,RA_result!$B$3:$N$62,10,0),"")</f>
        <v/>
      </c>
      <c r="R770" s="58" t="s">
        <v>55</v>
      </c>
      <c r="S770" s="59" t="str">
        <f aca="false">IFERROR(VLOOKUP($A770,RA_result!$B$3:$N$62,4,0),"")</f>
        <v/>
      </c>
      <c r="T770" s="60" t="s">
        <v>56</v>
      </c>
      <c r="U770" s="59" t="str">
        <f aca="false">IFERROR(IF(VLOOKUP($A770,RA_result!$B$3:$N$62,6,0)="",S770*T770,VLOOKUP($A770,RA_result!$B$3:$N$62,6,0)),"")</f>
        <v/>
      </c>
      <c r="V770" s="61" t="s">
        <v>56</v>
      </c>
      <c r="W770" s="62" t="n">
        <f aca="false">IFERROR((S770*30%)/V770,0)</f>
        <v>0</v>
      </c>
      <c r="X770" s="63" t="n">
        <f aca="false">IFERROR(N770/W770,0)</f>
        <v>0</v>
      </c>
      <c r="Y770" s="68"/>
      <c r="Z770" s="57"/>
      <c r="AA770" s="69" t="str">
        <f aca="false">IF(OR(U770="",Y770="",Z770=""),"",IF(AND(U770&gt;Y770,-U770&lt;Z770),"Ok","Not Ok"))</f>
        <v/>
      </c>
      <c r="AB770" s="70"/>
    </row>
    <row r="771" customFormat="false" ht="12.8" hidden="false" customHeight="false" outlineLevel="0" collapsed="false">
      <c r="A771" s="48" t="n">
        <f aca="false">TB_audited!A754</f>
        <v>0</v>
      </c>
      <c r="B771" s="49"/>
      <c r="C771" s="50"/>
      <c r="D771" s="51" t="n">
        <f aca="false">TB_audited!B754</f>
        <v>0</v>
      </c>
      <c r="E771" s="52" t="n">
        <f aca="false">TB_audited!C754</f>
        <v>0</v>
      </c>
      <c r="F771" s="53" t="n">
        <f aca="false">TB_audited!D754</f>
        <v>0</v>
      </c>
      <c r="G771" s="54" t="n">
        <f aca="false">IF($D$8="Interim",TB_audited!G754,TB_audited!E754)</f>
        <v>0</v>
      </c>
      <c r="H771" s="55" t="str">
        <f aca="false">IFERROR(VLOOKUP($A771,RA_result!$B$3:$N$62,11,0),"")</f>
        <v/>
      </c>
      <c r="I771" s="55" t="str">
        <f aca="false">IFERROR(VLOOKUP($A771,RA_result!$B$3:$N$62,12,0),"")</f>
        <v/>
      </c>
      <c r="J771" s="55" t="str">
        <f aca="false">IFERROR(VLOOKUP($A771,RA_result!$B$3:$N$62,13,0),"")</f>
        <v/>
      </c>
      <c r="K771" s="56"/>
      <c r="L771" s="56"/>
      <c r="M771" s="57" t="n">
        <f aca="false">G771</f>
        <v>0</v>
      </c>
      <c r="N771" s="54" t="n">
        <f aca="false">G771-M771</f>
        <v>0</v>
      </c>
      <c r="O771" s="55" t="str">
        <f aca="false">IFERROR(VLOOKUP($A771,RA_result!$B$3:$N$62,7,0),"")</f>
        <v/>
      </c>
      <c r="P771" s="52" t="str">
        <f aca="false">IFERROR(VLOOKUP($A771,RA_result!$B$3:$N$62,9,0),"")</f>
        <v/>
      </c>
      <c r="Q771" s="52" t="str">
        <f aca="false">IFERROR(VLOOKUP($A771,RA_result!$B$3:$N$62,10,0),"")</f>
        <v/>
      </c>
      <c r="R771" s="58" t="s">
        <v>55</v>
      </c>
      <c r="S771" s="59" t="str">
        <f aca="false">IFERROR(VLOOKUP($A771,RA_result!$B$3:$N$62,4,0),"")</f>
        <v/>
      </c>
      <c r="T771" s="60" t="s">
        <v>56</v>
      </c>
      <c r="U771" s="59" t="str">
        <f aca="false">IFERROR(IF(VLOOKUP($A771,RA_result!$B$3:$N$62,6,0)="",S771*T771,VLOOKUP($A771,RA_result!$B$3:$N$62,6,0)),"")</f>
        <v/>
      </c>
      <c r="V771" s="61" t="s">
        <v>56</v>
      </c>
      <c r="W771" s="62" t="n">
        <f aca="false">IFERROR((S771*30%)/V771,0)</f>
        <v>0</v>
      </c>
      <c r="X771" s="63" t="n">
        <f aca="false">IFERROR(N771/W771,0)</f>
        <v>0</v>
      </c>
      <c r="Y771" s="68"/>
      <c r="Z771" s="57"/>
      <c r="AA771" s="69" t="str">
        <f aca="false">IF(OR(U771="",Y771="",Z771=""),"",IF(AND(U771&gt;Y771,-U771&lt;Z771),"Ok","Not Ok"))</f>
        <v/>
      </c>
      <c r="AB771" s="70"/>
    </row>
    <row r="772" customFormat="false" ht="12.8" hidden="false" customHeight="false" outlineLevel="0" collapsed="false">
      <c r="A772" s="48" t="n">
        <f aca="false">TB_audited!A755</f>
        <v>0</v>
      </c>
      <c r="B772" s="49"/>
      <c r="C772" s="50"/>
      <c r="D772" s="51" t="n">
        <f aca="false">TB_audited!B755</f>
        <v>0</v>
      </c>
      <c r="E772" s="52" t="n">
        <f aca="false">TB_audited!C755</f>
        <v>0</v>
      </c>
      <c r="F772" s="53" t="n">
        <f aca="false">TB_audited!D755</f>
        <v>0</v>
      </c>
      <c r="G772" s="54" t="n">
        <f aca="false">IF($D$8="Interim",TB_audited!G755,TB_audited!E755)</f>
        <v>0</v>
      </c>
      <c r="H772" s="55" t="str">
        <f aca="false">IFERROR(VLOOKUP($A772,RA_result!$B$3:$N$62,11,0),"")</f>
        <v/>
      </c>
      <c r="I772" s="55" t="str">
        <f aca="false">IFERROR(VLOOKUP($A772,RA_result!$B$3:$N$62,12,0),"")</f>
        <v/>
      </c>
      <c r="J772" s="55" t="str">
        <f aca="false">IFERROR(VLOOKUP($A772,RA_result!$B$3:$N$62,13,0),"")</f>
        <v/>
      </c>
      <c r="K772" s="56"/>
      <c r="L772" s="56"/>
      <c r="M772" s="57" t="n">
        <f aca="false">G772</f>
        <v>0</v>
      </c>
      <c r="N772" s="54" t="n">
        <f aca="false">G772-M772</f>
        <v>0</v>
      </c>
      <c r="O772" s="55" t="str">
        <f aca="false">IFERROR(VLOOKUP($A772,RA_result!$B$3:$N$62,7,0),"")</f>
        <v/>
      </c>
      <c r="P772" s="52" t="str">
        <f aca="false">IFERROR(VLOOKUP($A772,RA_result!$B$3:$N$62,9,0),"")</f>
        <v/>
      </c>
      <c r="Q772" s="52" t="str">
        <f aca="false">IFERROR(VLOOKUP($A772,RA_result!$B$3:$N$62,10,0),"")</f>
        <v/>
      </c>
      <c r="R772" s="58" t="s">
        <v>55</v>
      </c>
      <c r="S772" s="59" t="str">
        <f aca="false">IFERROR(VLOOKUP($A772,RA_result!$B$3:$N$62,4,0),"")</f>
        <v/>
      </c>
      <c r="T772" s="60" t="s">
        <v>56</v>
      </c>
      <c r="U772" s="59" t="str">
        <f aca="false">IFERROR(IF(VLOOKUP($A772,RA_result!$B$3:$N$62,6,0)="",S772*T772,VLOOKUP($A772,RA_result!$B$3:$N$62,6,0)),"")</f>
        <v/>
      </c>
      <c r="V772" s="61" t="s">
        <v>56</v>
      </c>
      <c r="W772" s="62" t="n">
        <f aca="false">IFERROR((S772*30%)/V772,0)</f>
        <v>0</v>
      </c>
      <c r="X772" s="63" t="n">
        <f aca="false">IFERROR(N772/W772,0)</f>
        <v>0</v>
      </c>
      <c r="Y772" s="68"/>
      <c r="Z772" s="57"/>
      <c r="AA772" s="69" t="str">
        <f aca="false">IF(OR(U772="",Y772="",Z772=""),"",IF(AND(U772&gt;Y772,-U772&lt;Z772),"Ok","Not Ok"))</f>
        <v/>
      </c>
      <c r="AB772" s="70"/>
    </row>
    <row r="773" customFormat="false" ht="12.8" hidden="false" customHeight="false" outlineLevel="0" collapsed="false">
      <c r="A773" s="48" t="n">
        <f aca="false">TB_audited!A756</f>
        <v>0</v>
      </c>
      <c r="B773" s="49"/>
      <c r="C773" s="50"/>
      <c r="D773" s="51" t="n">
        <f aca="false">TB_audited!B756</f>
        <v>0</v>
      </c>
      <c r="E773" s="52" t="n">
        <f aca="false">TB_audited!C756</f>
        <v>0</v>
      </c>
      <c r="F773" s="53" t="n">
        <f aca="false">TB_audited!D756</f>
        <v>0</v>
      </c>
      <c r="G773" s="54" t="n">
        <f aca="false">IF($D$8="Interim",TB_audited!G756,TB_audited!E756)</f>
        <v>0</v>
      </c>
      <c r="H773" s="55" t="str">
        <f aca="false">IFERROR(VLOOKUP($A773,RA_result!$B$3:$N$62,11,0),"")</f>
        <v/>
      </c>
      <c r="I773" s="55" t="str">
        <f aca="false">IFERROR(VLOOKUP($A773,RA_result!$B$3:$N$62,12,0),"")</f>
        <v/>
      </c>
      <c r="J773" s="55" t="str">
        <f aca="false">IFERROR(VLOOKUP($A773,RA_result!$B$3:$N$62,13,0),"")</f>
        <v/>
      </c>
      <c r="K773" s="56"/>
      <c r="L773" s="56"/>
      <c r="M773" s="57" t="n">
        <f aca="false">G773</f>
        <v>0</v>
      </c>
      <c r="N773" s="54" t="n">
        <f aca="false">G773-M773</f>
        <v>0</v>
      </c>
      <c r="O773" s="55" t="str">
        <f aca="false">IFERROR(VLOOKUP($A773,RA_result!$B$3:$N$62,7,0),"")</f>
        <v/>
      </c>
      <c r="P773" s="52" t="str">
        <f aca="false">IFERROR(VLOOKUP($A773,RA_result!$B$3:$N$62,9,0),"")</f>
        <v/>
      </c>
      <c r="Q773" s="52" t="str">
        <f aca="false">IFERROR(VLOOKUP($A773,RA_result!$B$3:$N$62,10,0),"")</f>
        <v/>
      </c>
      <c r="R773" s="58" t="s">
        <v>55</v>
      </c>
      <c r="S773" s="59" t="str">
        <f aca="false">IFERROR(VLOOKUP($A773,RA_result!$B$3:$N$62,4,0),"")</f>
        <v/>
      </c>
      <c r="T773" s="60" t="s">
        <v>56</v>
      </c>
      <c r="U773" s="59" t="str">
        <f aca="false">IFERROR(IF(VLOOKUP($A773,RA_result!$B$3:$N$62,6,0)="",S773*T773,VLOOKUP($A773,RA_result!$B$3:$N$62,6,0)),"")</f>
        <v/>
      </c>
      <c r="V773" s="61" t="s">
        <v>56</v>
      </c>
      <c r="W773" s="62" t="n">
        <f aca="false">IFERROR((S773*30%)/V773,0)</f>
        <v>0</v>
      </c>
      <c r="X773" s="63" t="n">
        <f aca="false">IFERROR(N773/W773,0)</f>
        <v>0</v>
      </c>
      <c r="Y773" s="68"/>
      <c r="Z773" s="57"/>
      <c r="AA773" s="69" t="str">
        <f aca="false">IF(OR(U773="",Y773="",Z773=""),"",IF(AND(U773&gt;Y773,-U773&lt;Z773),"Ok","Not Ok"))</f>
        <v/>
      </c>
      <c r="AB773" s="70"/>
    </row>
    <row r="774" customFormat="false" ht="12.8" hidden="false" customHeight="false" outlineLevel="0" collapsed="false">
      <c r="A774" s="48" t="n">
        <f aca="false">TB_audited!A757</f>
        <v>0</v>
      </c>
      <c r="B774" s="49"/>
      <c r="C774" s="50"/>
      <c r="D774" s="51" t="n">
        <f aca="false">TB_audited!B757</f>
        <v>0</v>
      </c>
      <c r="E774" s="52" t="n">
        <f aca="false">TB_audited!C757</f>
        <v>0</v>
      </c>
      <c r="F774" s="53" t="n">
        <f aca="false">TB_audited!D757</f>
        <v>0</v>
      </c>
      <c r="G774" s="54" t="n">
        <f aca="false">IF($D$8="Interim",TB_audited!G757,TB_audited!E757)</f>
        <v>0</v>
      </c>
      <c r="H774" s="55" t="str">
        <f aca="false">IFERROR(VLOOKUP($A774,RA_result!$B$3:$N$62,11,0),"")</f>
        <v/>
      </c>
      <c r="I774" s="55" t="str">
        <f aca="false">IFERROR(VLOOKUP($A774,RA_result!$B$3:$N$62,12,0),"")</f>
        <v/>
      </c>
      <c r="J774" s="55" t="str">
        <f aca="false">IFERROR(VLOOKUP($A774,RA_result!$B$3:$N$62,13,0),"")</f>
        <v/>
      </c>
      <c r="K774" s="56"/>
      <c r="L774" s="56"/>
      <c r="M774" s="57" t="n">
        <f aca="false">G774</f>
        <v>0</v>
      </c>
      <c r="N774" s="54" t="n">
        <f aca="false">G774-M774</f>
        <v>0</v>
      </c>
      <c r="O774" s="55" t="str">
        <f aca="false">IFERROR(VLOOKUP($A774,RA_result!$B$3:$N$62,7,0),"")</f>
        <v/>
      </c>
      <c r="P774" s="52" t="str">
        <f aca="false">IFERROR(VLOOKUP($A774,RA_result!$B$3:$N$62,9,0),"")</f>
        <v/>
      </c>
      <c r="Q774" s="52" t="str">
        <f aca="false">IFERROR(VLOOKUP($A774,RA_result!$B$3:$N$62,10,0),"")</f>
        <v/>
      </c>
      <c r="R774" s="58" t="s">
        <v>55</v>
      </c>
      <c r="S774" s="59" t="str">
        <f aca="false">IFERROR(VLOOKUP($A774,RA_result!$B$3:$N$62,4,0),"")</f>
        <v/>
      </c>
      <c r="T774" s="60" t="s">
        <v>56</v>
      </c>
      <c r="U774" s="59" t="str">
        <f aca="false">IFERROR(IF(VLOOKUP($A774,RA_result!$B$3:$N$62,6,0)="",S774*T774,VLOOKUP($A774,RA_result!$B$3:$N$62,6,0)),"")</f>
        <v/>
      </c>
      <c r="V774" s="61" t="s">
        <v>56</v>
      </c>
      <c r="W774" s="62" t="n">
        <f aca="false">IFERROR((S774*30%)/V774,0)</f>
        <v>0</v>
      </c>
      <c r="X774" s="63" t="n">
        <f aca="false">IFERROR(N774/W774,0)</f>
        <v>0</v>
      </c>
      <c r="Y774" s="68"/>
      <c r="Z774" s="57"/>
      <c r="AA774" s="69" t="str">
        <f aca="false">IF(OR(U774="",Y774="",Z774=""),"",IF(AND(U774&gt;Y774,-U774&lt;Z774),"Ok","Not Ok"))</f>
        <v/>
      </c>
      <c r="AB774" s="70"/>
    </row>
    <row r="775" customFormat="false" ht="12.8" hidden="false" customHeight="false" outlineLevel="0" collapsed="false">
      <c r="A775" s="48" t="n">
        <f aca="false">TB_audited!A758</f>
        <v>0</v>
      </c>
      <c r="B775" s="49"/>
      <c r="C775" s="50"/>
      <c r="D775" s="51" t="n">
        <f aca="false">TB_audited!B758</f>
        <v>0</v>
      </c>
      <c r="E775" s="52" t="n">
        <f aca="false">TB_audited!C758</f>
        <v>0</v>
      </c>
      <c r="F775" s="53" t="n">
        <f aca="false">TB_audited!D758</f>
        <v>0</v>
      </c>
      <c r="G775" s="54" t="n">
        <f aca="false">IF($D$8="Interim",TB_audited!G758,TB_audited!E758)</f>
        <v>0</v>
      </c>
      <c r="H775" s="55" t="str">
        <f aca="false">IFERROR(VLOOKUP($A775,RA_result!$B$3:$N$62,11,0),"")</f>
        <v/>
      </c>
      <c r="I775" s="55" t="str">
        <f aca="false">IFERROR(VLOOKUP($A775,RA_result!$B$3:$N$62,12,0),"")</f>
        <v/>
      </c>
      <c r="J775" s="55" t="str">
        <f aca="false">IFERROR(VLOOKUP($A775,RA_result!$B$3:$N$62,13,0),"")</f>
        <v/>
      </c>
      <c r="K775" s="56"/>
      <c r="L775" s="56"/>
      <c r="M775" s="57" t="n">
        <f aca="false">G775</f>
        <v>0</v>
      </c>
      <c r="N775" s="54" t="n">
        <f aca="false">G775-M775</f>
        <v>0</v>
      </c>
      <c r="O775" s="55" t="str">
        <f aca="false">IFERROR(VLOOKUP($A775,RA_result!$B$3:$N$62,7,0),"")</f>
        <v/>
      </c>
      <c r="P775" s="52" t="str">
        <f aca="false">IFERROR(VLOOKUP($A775,RA_result!$B$3:$N$62,9,0),"")</f>
        <v/>
      </c>
      <c r="Q775" s="52" t="str">
        <f aca="false">IFERROR(VLOOKUP($A775,RA_result!$B$3:$N$62,10,0),"")</f>
        <v/>
      </c>
      <c r="R775" s="58" t="s">
        <v>55</v>
      </c>
      <c r="S775" s="59" t="str">
        <f aca="false">IFERROR(VLOOKUP($A775,RA_result!$B$3:$N$62,4,0),"")</f>
        <v/>
      </c>
      <c r="T775" s="60" t="s">
        <v>56</v>
      </c>
      <c r="U775" s="59" t="str">
        <f aca="false">IFERROR(IF(VLOOKUP($A775,RA_result!$B$3:$N$62,6,0)="",S775*T775,VLOOKUP($A775,RA_result!$B$3:$N$62,6,0)),"")</f>
        <v/>
      </c>
      <c r="V775" s="61" t="s">
        <v>56</v>
      </c>
      <c r="W775" s="62" t="n">
        <f aca="false">IFERROR((S775*30%)/V775,0)</f>
        <v>0</v>
      </c>
      <c r="X775" s="63" t="n">
        <f aca="false">IFERROR(N775/W775,0)</f>
        <v>0</v>
      </c>
      <c r="Y775" s="68"/>
      <c r="Z775" s="57"/>
      <c r="AA775" s="69" t="str">
        <f aca="false">IF(OR(U775="",Y775="",Z775=""),"",IF(AND(U775&gt;Y775,-U775&lt;Z775),"Ok","Not Ok"))</f>
        <v/>
      </c>
      <c r="AB775" s="70"/>
    </row>
    <row r="776" customFormat="false" ht="12.8" hidden="false" customHeight="false" outlineLevel="0" collapsed="false">
      <c r="A776" s="48" t="n">
        <f aca="false">TB_audited!A759</f>
        <v>0</v>
      </c>
      <c r="B776" s="49"/>
      <c r="C776" s="50"/>
      <c r="D776" s="51" t="n">
        <f aca="false">TB_audited!B759</f>
        <v>0</v>
      </c>
      <c r="E776" s="52" t="n">
        <f aca="false">TB_audited!C759</f>
        <v>0</v>
      </c>
      <c r="F776" s="53" t="n">
        <f aca="false">TB_audited!D759</f>
        <v>0</v>
      </c>
      <c r="G776" s="54" t="n">
        <f aca="false">IF($D$8="Interim",TB_audited!G759,TB_audited!E759)</f>
        <v>0</v>
      </c>
      <c r="H776" s="55" t="str">
        <f aca="false">IFERROR(VLOOKUP($A776,RA_result!$B$3:$N$62,11,0),"")</f>
        <v/>
      </c>
      <c r="I776" s="55" t="str">
        <f aca="false">IFERROR(VLOOKUP($A776,RA_result!$B$3:$N$62,12,0),"")</f>
        <v/>
      </c>
      <c r="J776" s="55" t="str">
        <f aca="false">IFERROR(VLOOKUP($A776,RA_result!$B$3:$N$62,13,0),"")</f>
        <v/>
      </c>
      <c r="K776" s="56"/>
      <c r="L776" s="56"/>
      <c r="M776" s="57" t="n">
        <f aca="false">G776</f>
        <v>0</v>
      </c>
      <c r="N776" s="54" t="n">
        <f aca="false">G776-M776</f>
        <v>0</v>
      </c>
      <c r="O776" s="55" t="str">
        <f aca="false">IFERROR(VLOOKUP($A776,RA_result!$B$3:$N$62,7,0),"")</f>
        <v/>
      </c>
      <c r="P776" s="52" t="str">
        <f aca="false">IFERROR(VLOOKUP($A776,RA_result!$B$3:$N$62,9,0),"")</f>
        <v/>
      </c>
      <c r="Q776" s="52" t="str">
        <f aca="false">IFERROR(VLOOKUP($A776,RA_result!$B$3:$N$62,10,0),"")</f>
        <v/>
      </c>
      <c r="R776" s="58" t="s">
        <v>55</v>
      </c>
      <c r="S776" s="59" t="str">
        <f aca="false">IFERROR(VLOOKUP($A776,RA_result!$B$3:$N$62,4,0),"")</f>
        <v/>
      </c>
      <c r="T776" s="60" t="s">
        <v>56</v>
      </c>
      <c r="U776" s="59" t="str">
        <f aca="false">IFERROR(IF(VLOOKUP($A776,RA_result!$B$3:$N$62,6,0)="",S776*T776,VLOOKUP($A776,RA_result!$B$3:$N$62,6,0)),"")</f>
        <v/>
      </c>
      <c r="V776" s="61" t="s">
        <v>56</v>
      </c>
      <c r="W776" s="62" t="n">
        <f aca="false">IFERROR((S776*30%)/V776,0)</f>
        <v>0</v>
      </c>
      <c r="X776" s="63" t="n">
        <f aca="false">IFERROR(N776/W776,0)</f>
        <v>0</v>
      </c>
      <c r="Y776" s="68"/>
      <c r="Z776" s="57"/>
      <c r="AA776" s="69" t="str">
        <f aca="false">IF(OR(U776="",Y776="",Z776=""),"",IF(AND(U776&gt;Y776,-U776&lt;Z776),"Ok","Not Ok"))</f>
        <v/>
      </c>
      <c r="AB776" s="70"/>
    </row>
    <row r="777" customFormat="false" ht="12.8" hidden="false" customHeight="false" outlineLevel="0" collapsed="false">
      <c r="A777" s="48" t="n">
        <f aca="false">TB_audited!A760</f>
        <v>0</v>
      </c>
      <c r="B777" s="49"/>
      <c r="C777" s="50"/>
      <c r="D777" s="51" t="n">
        <f aca="false">TB_audited!B760</f>
        <v>0</v>
      </c>
      <c r="E777" s="52" t="n">
        <f aca="false">TB_audited!C760</f>
        <v>0</v>
      </c>
      <c r="F777" s="53" t="n">
        <f aca="false">TB_audited!D760</f>
        <v>0</v>
      </c>
      <c r="G777" s="54" t="n">
        <f aca="false">IF($D$8="Interim",TB_audited!G760,TB_audited!E760)</f>
        <v>0</v>
      </c>
      <c r="H777" s="55" t="str">
        <f aca="false">IFERROR(VLOOKUP($A777,RA_result!$B$3:$N$62,11,0),"")</f>
        <v/>
      </c>
      <c r="I777" s="55" t="str">
        <f aca="false">IFERROR(VLOOKUP($A777,RA_result!$B$3:$N$62,12,0),"")</f>
        <v/>
      </c>
      <c r="J777" s="55" t="str">
        <f aca="false">IFERROR(VLOOKUP($A777,RA_result!$B$3:$N$62,13,0),"")</f>
        <v/>
      </c>
      <c r="K777" s="56"/>
      <c r="L777" s="56"/>
      <c r="M777" s="57" t="n">
        <f aca="false">G777</f>
        <v>0</v>
      </c>
      <c r="N777" s="54" t="n">
        <f aca="false">G777-M777</f>
        <v>0</v>
      </c>
      <c r="O777" s="55" t="str">
        <f aca="false">IFERROR(VLOOKUP($A777,RA_result!$B$3:$N$62,7,0),"")</f>
        <v/>
      </c>
      <c r="P777" s="52" t="str">
        <f aca="false">IFERROR(VLOOKUP($A777,RA_result!$B$3:$N$62,9,0),"")</f>
        <v/>
      </c>
      <c r="Q777" s="52" t="str">
        <f aca="false">IFERROR(VLOOKUP($A777,RA_result!$B$3:$N$62,10,0),"")</f>
        <v/>
      </c>
      <c r="R777" s="58" t="s">
        <v>55</v>
      </c>
      <c r="S777" s="59" t="str">
        <f aca="false">IFERROR(VLOOKUP($A777,RA_result!$B$3:$N$62,4,0),"")</f>
        <v/>
      </c>
      <c r="T777" s="60" t="s">
        <v>56</v>
      </c>
      <c r="U777" s="59" t="str">
        <f aca="false">IFERROR(IF(VLOOKUP($A777,RA_result!$B$3:$N$62,6,0)="",S777*T777,VLOOKUP($A777,RA_result!$B$3:$N$62,6,0)),"")</f>
        <v/>
      </c>
      <c r="V777" s="61" t="s">
        <v>56</v>
      </c>
      <c r="W777" s="62" t="n">
        <f aca="false">IFERROR((S777*30%)/V777,0)</f>
        <v>0</v>
      </c>
      <c r="X777" s="63" t="n">
        <f aca="false">IFERROR(N777/W777,0)</f>
        <v>0</v>
      </c>
      <c r="Y777" s="68"/>
      <c r="Z777" s="57"/>
      <c r="AA777" s="69" t="str">
        <f aca="false">IF(OR(U777="",Y777="",Z777=""),"",IF(AND(U777&gt;Y777,-U777&lt;Z777),"Ok","Not Ok"))</f>
        <v/>
      </c>
      <c r="AB777" s="70"/>
    </row>
    <row r="778" customFormat="false" ht="12.8" hidden="false" customHeight="false" outlineLevel="0" collapsed="false">
      <c r="A778" s="48" t="n">
        <f aca="false">TB_audited!A761</f>
        <v>0</v>
      </c>
      <c r="B778" s="49"/>
      <c r="C778" s="50"/>
      <c r="D778" s="51" t="n">
        <f aca="false">TB_audited!B761</f>
        <v>0</v>
      </c>
      <c r="E778" s="52" t="n">
        <f aca="false">TB_audited!C761</f>
        <v>0</v>
      </c>
      <c r="F778" s="53" t="n">
        <f aca="false">TB_audited!D761</f>
        <v>0</v>
      </c>
      <c r="G778" s="54" t="n">
        <f aca="false">IF($D$8="Interim",TB_audited!G761,TB_audited!E761)</f>
        <v>0</v>
      </c>
      <c r="H778" s="55" t="str">
        <f aca="false">IFERROR(VLOOKUP($A778,RA_result!$B$3:$N$62,11,0),"")</f>
        <v/>
      </c>
      <c r="I778" s="55" t="str">
        <f aca="false">IFERROR(VLOOKUP($A778,RA_result!$B$3:$N$62,12,0),"")</f>
        <v/>
      </c>
      <c r="J778" s="55" t="str">
        <f aca="false">IFERROR(VLOOKUP($A778,RA_result!$B$3:$N$62,13,0),"")</f>
        <v/>
      </c>
      <c r="K778" s="56"/>
      <c r="L778" s="56"/>
      <c r="M778" s="57" t="n">
        <f aca="false">G778</f>
        <v>0</v>
      </c>
      <c r="N778" s="54" t="n">
        <f aca="false">G778-M778</f>
        <v>0</v>
      </c>
      <c r="O778" s="55" t="str">
        <f aca="false">IFERROR(VLOOKUP($A778,RA_result!$B$3:$N$62,7,0),"")</f>
        <v/>
      </c>
      <c r="P778" s="52" t="str">
        <f aca="false">IFERROR(VLOOKUP($A778,RA_result!$B$3:$N$62,9,0),"")</f>
        <v/>
      </c>
      <c r="Q778" s="52" t="str">
        <f aca="false">IFERROR(VLOOKUP($A778,RA_result!$B$3:$N$62,10,0),"")</f>
        <v/>
      </c>
      <c r="R778" s="58" t="s">
        <v>55</v>
      </c>
      <c r="S778" s="59" t="str">
        <f aca="false">IFERROR(VLOOKUP($A778,RA_result!$B$3:$N$62,4,0),"")</f>
        <v/>
      </c>
      <c r="T778" s="60" t="s">
        <v>56</v>
      </c>
      <c r="U778" s="59" t="str">
        <f aca="false">IFERROR(IF(VLOOKUP($A778,RA_result!$B$3:$N$62,6,0)="",S778*T778,VLOOKUP($A778,RA_result!$B$3:$N$62,6,0)),"")</f>
        <v/>
      </c>
      <c r="V778" s="61" t="s">
        <v>56</v>
      </c>
      <c r="W778" s="62" t="n">
        <f aca="false">IFERROR((S778*30%)/V778,0)</f>
        <v>0</v>
      </c>
      <c r="X778" s="63" t="n">
        <f aca="false">IFERROR(N778/W778,0)</f>
        <v>0</v>
      </c>
      <c r="Y778" s="68"/>
      <c r="Z778" s="57"/>
      <c r="AA778" s="69" t="str">
        <f aca="false">IF(OR(U778="",Y778="",Z778=""),"",IF(AND(U778&gt;Y778,-U778&lt;Z778),"Ok","Not Ok"))</f>
        <v/>
      </c>
      <c r="AB778" s="70"/>
    </row>
    <row r="779" customFormat="false" ht="12.8" hidden="false" customHeight="false" outlineLevel="0" collapsed="false">
      <c r="A779" s="48" t="n">
        <f aca="false">TB_audited!A762</f>
        <v>0</v>
      </c>
      <c r="B779" s="49"/>
      <c r="C779" s="50"/>
      <c r="D779" s="51" t="n">
        <f aca="false">TB_audited!B762</f>
        <v>0</v>
      </c>
      <c r="E779" s="52" t="n">
        <f aca="false">TB_audited!C762</f>
        <v>0</v>
      </c>
      <c r="F779" s="53" t="n">
        <f aca="false">TB_audited!D762</f>
        <v>0</v>
      </c>
      <c r="G779" s="54" t="n">
        <f aca="false">IF($D$8="Interim",TB_audited!G762,TB_audited!E762)</f>
        <v>0</v>
      </c>
      <c r="H779" s="55" t="str">
        <f aca="false">IFERROR(VLOOKUP($A779,RA_result!$B$3:$N$62,11,0),"")</f>
        <v/>
      </c>
      <c r="I779" s="55" t="str">
        <f aca="false">IFERROR(VLOOKUP($A779,RA_result!$B$3:$N$62,12,0),"")</f>
        <v/>
      </c>
      <c r="J779" s="55" t="str">
        <f aca="false">IFERROR(VLOOKUP($A779,RA_result!$B$3:$N$62,13,0),"")</f>
        <v/>
      </c>
      <c r="K779" s="56"/>
      <c r="L779" s="56"/>
      <c r="M779" s="57" t="n">
        <f aca="false">G779</f>
        <v>0</v>
      </c>
      <c r="N779" s="54" t="n">
        <f aca="false">G779-M779</f>
        <v>0</v>
      </c>
      <c r="O779" s="55" t="str">
        <f aca="false">IFERROR(VLOOKUP($A779,RA_result!$B$3:$N$62,7,0),"")</f>
        <v/>
      </c>
      <c r="P779" s="52" t="str">
        <f aca="false">IFERROR(VLOOKUP($A779,RA_result!$B$3:$N$62,9,0),"")</f>
        <v/>
      </c>
      <c r="Q779" s="52" t="str">
        <f aca="false">IFERROR(VLOOKUP($A779,RA_result!$B$3:$N$62,10,0),"")</f>
        <v/>
      </c>
      <c r="R779" s="58" t="s">
        <v>55</v>
      </c>
      <c r="S779" s="59" t="str">
        <f aca="false">IFERROR(VLOOKUP($A779,RA_result!$B$3:$N$62,4,0),"")</f>
        <v/>
      </c>
      <c r="T779" s="60" t="s">
        <v>56</v>
      </c>
      <c r="U779" s="59" t="str">
        <f aca="false">IFERROR(IF(VLOOKUP($A779,RA_result!$B$3:$N$62,6,0)="",S779*T779,VLOOKUP($A779,RA_result!$B$3:$N$62,6,0)),"")</f>
        <v/>
      </c>
      <c r="V779" s="61" t="s">
        <v>56</v>
      </c>
      <c r="W779" s="62" t="n">
        <f aca="false">IFERROR((S779*30%)/V779,0)</f>
        <v>0</v>
      </c>
      <c r="X779" s="63" t="n">
        <f aca="false">IFERROR(N779/W779,0)</f>
        <v>0</v>
      </c>
      <c r="Y779" s="68"/>
      <c r="Z779" s="57"/>
      <c r="AA779" s="69" t="str">
        <f aca="false">IF(OR(U779="",Y779="",Z779=""),"",IF(AND(U779&gt;Y779,-U779&lt;Z779),"Ok","Not Ok"))</f>
        <v/>
      </c>
      <c r="AB779" s="70"/>
    </row>
    <row r="780" customFormat="false" ht="12.8" hidden="false" customHeight="false" outlineLevel="0" collapsed="false">
      <c r="A780" s="48" t="n">
        <f aca="false">TB_audited!A763</f>
        <v>0</v>
      </c>
      <c r="B780" s="49"/>
      <c r="C780" s="50"/>
      <c r="D780" s="51" t="n">
        <f aca="false">TB_audited!B763</f>
        <v>0</v>
      </c>
      <c r="E780" s="52" t="n">
        <f aca="false">TB_audited!C763</f>
        <v>0</v>
      </c>
      <c r="F780" s="53" t="n">
        <f aca="false">TB_audited!D763</f>
        <v>0</v>
      </c>
      <c r="G780" s="54" t="n">
        <f aca="false">IF($D$8="Interim",TB_audited!G763,TB_audited!E763)</f>
        <v>0</v>
      </c>
      <c r="H780" s="55" t="str">
        <f aca="false">IFERROR(VLOOKUP($A780,RA_result!$B$3:$N$62,11,0),"")</f>
        <v/>
      </c>
      <c r="I780" s="55" t="str">
        <f aca="false">IFERROR(VLOOKUP($A780,RA_result!$B$3:$N$62,12,0),"")</f>
        <v/>
      </c>
      <c r="J780" s="55" t="str">
        <f aca="false">IFERROR(VLOOKUP($A780,RA_result!$B$3:$N$62,13,0),"")</f>
        <v/>
      </c>
      <c r="K780" s="56"/>
      <c r="L780" s="56"/>
      <c r="M780" s="57" t="n">
        <f aca="false">G780</f>
        <v>0</v>
      </c>
      <c r="N780" s="54" t="n">
        <f aca="false">G780-M780</f>
        <v>0</v>
      </c>
      <c r="O780" s="55" t="str">
        <f aca="false">IFERROR(VLOOKUP($A780,RA_result!$B$3:$N$62,7,0),"")</f>
        <v/>
      </c>
      <c r="P780" s="52" t="str">
        <f aca="false">IFERROR(VLOOKUP($A780,RA_result!$B$3:$N$62,9,0),"")</f>
        <v/>
      </c>
      <c r="Q780" s="52" t="str">
        <f aca="false">IFERROR(VLOOKUP($A780,RA_result!$B$3:$N$62,10,0),"")</f>
        <v/>
      </c>
      <c r="R780" s="58" t="s">
        <v>55</v>
      </c>
      <c r="S780" s="59" t="str">
        <f aca="false">IFERROR(VLOOKUP($A780,RA_result!$B$3:$N$62,4,0),"")</f>
        <v/>
      </c>
      <c r="T780" s="60" t="s">
        <v>56</v>
      </c>
      <c r="U780" s="59" t="str">
        <f aca="false">IFERROR(IF(VLOOKUP($A780,RA_result!$B$3:$N$62,6,0)="",S780*T780,VLOOKUP($A780,RA_result!$B$3:$N$62,6,0)),"")</f>
        <v/>
      </c>
      <c r="V780" s="61" t="s">
        <v>56</v>
      </c>
      <c r="W780" s="62" t="n">
        <f aca="false">IFERROR((S780*30%)/V780,0)</f>
        <v>0</v>
      </c>
      <c r="X780" s="63" t="n">
        <f aca="false">IFERROR(N780/W780,0)</f>
        <v>0</v>
      </c>
      <c r="Y780" s="68"/>
      <c r="Z780" s="57"/>
      <c r="AA780" s="69" t="str">
        <f aca="false">IF(OR(U780="",Y780="",Z780=""),"",IF(AND(U780&gt;Y780,-U780&lt;Z780),"Ok","Not Ok"))</f>
        <v/>
      </c>
      <c r="AB780" s="70"/>
    </row>
    <row r="781" customFormat="false" ht="12.8" hidden="false" customHeight="false" outlineLevel="0" collapsed="false">
      <c r="A781" s="48" t="n">
        <f aca="false">TB_audited!A764</f>
        <v>0</v>
      </c>
      <c r="B781" s="49"/>
      <c r="C781" s="50"/>
      <c r="D781" s="51" t="n">
        <f aca="false">TB_audited!B764</f>
        <v>0</v>
      </c>
      <c r="E781" s="52" t="n">
        <f aca="false">TB_audited!C764</f>
        <v>0</v>
      </c>
      <c r="F781" s="53" t="n">
        <f aca="false">TB_audited!D764</f>
        <v>0</v>
      </c>
      <c r="G781" s="54" t="n">
        <f aca="false">IF($D$8="Interim",TB_audited!G764,TB_audited!E764)</f>
        <v>0</v>
      </c>
      <c r="H781" s="55" t="str">
        <f aca="false">IFERROR(VLOOKUP($A781,RA_result!$B$3:$N$62,11,0),"")</f>
        <v/>
      </c>
      <c r="I781" s="55" t="str">
        <f aca="false">IFERROR(VLOOKUP($A781,RA_result!$B$3:$N$62,12,0),"")</f>
        <v/>
      </c>
      <c r="J781" s="55" t="str">
        <f aca="false">IFERROR(VLOOKUP($A781,RA_result!$B$3:$N$62,13,0),"")</f>
        <v/>
      </c>
      <c r="K781" s="56"/>
      <c r="L781" s="56"/>
      <c r="M781" s="57" t="n">
        <f aca="false">G781</f>
        <v>0</v>
      </c>
      <c r="N781" s="54" t="n">
        <f aca="false">G781-M781</f>
        <v>0</v>
      </c>
      <c r="O781" s="55" t="str">
        <f aca="false">IFERROR(VLOOKUP($A781,RA_result!$B$3:$N$62,7,0),"")</f>
        <v/>
      </c>
      <c r="P781" s="52" t="str">
        <f aca="false">IFERROR(VLOOKUP($A781,RA_result!$B$3:$N$62,9,0),"")</f>
        <v/>
      </c>
      <c r="Q781" s="52" t="str">
        <f aca="false">IFERROR(VLOOKUP($A781,RA_result!$B$3:$N$62,10,0),"")</f>
        <v/>
      </c>
      <c r="R781" s="58" t="s">
        <v>55</v>
      </c>
      <c r="S781" s="59" t="str">
        <f aca="false">IFERROR(VLOOKUP($A781,RA_result!$B$3:$N$62,4,0),"")</f>
        <v/>
      </c>
      <c r="T781" s="60" t="s">
        <v>56</v>
      </c>
      <c r="U781" s="59" t="str">
        <f aca="false">IFERROR(IF(VLOOKUP($A781,RA_result!$B$3:$N$62,6,0)="",S781*T781,VLOOKUP($A781,RA_result!$B$3:$N$62,6,0)),"")</f>
        <v/>
      </c>
      <c r="V781" s="61" t="s">
        <v>56</v>
      </c>
      <c r="W781" s="62" t="n">
        <f aca="false">IFERROR((S781*30%)/V781,0)</f>
        <v>0</v>
      </c>
      <c r="X781" s="63" t="n">
        <f aca="false">IFERROR(N781/W781,0)</f>
        <v>0</v>
      </c>
      <c r="Y781" s="68"/>
      <c r="Z781" s="57"/>
      <c r="AA781" s="69" t="str">
        <f aca="false">IF(OR(U781="",Y781="",Z781=""),"",IF(AND(U781&gt;Y781,-U781&lt;Z781),"Ok","Not Ok"))</f>
        <v/>
      </c>
      <c r="AB781" s="70"/>
    </row>
    <row r="782" customFormat="false" ht="12.8" hidden="false" customHeight="false" outlineLevel="0" collapsed="false">
      <c r="A782" s="48" t="n">
        <f aca="false">TB_audited!A765</f>
        <v>0</v>
      </c>
      <c r="B782" s="49"/>
      <c r="C782" s="50"/>
      <c r="D782" s="51" t="n">
        <f aca="false">TB_audited!B765</f>
        <v>0</v>
      </c>
      <c r="E782" s="52" t="n">
        <f aca="false">TB_audited!C765</f>
        <v>0</v>
      </c>
      <c r="F782" s="53" t="n">
        <f aca="false">TB_audited!D765</f>
        <v>0</v>
      </c>
      <c r="G782" s="54" t="n">
        <f aca="false">IF($D$8="Interim",TB_audited!G765,TB_audited!E765)</f>
        <v>0</v>
      </c>
      <c r="H782" s="55" t="str">
        <f aca="false">IFERROR(VLOOKUP($A782,RA_result!$B$3:$N$62,11,0),"")</f>
        <v/>
      </c>
      <c r="I782" s="55" t="str">
        <f aca="false">IFERROR(VLOOKUP($A782,RA_result!$B$3:$N$62,12,0),"")</f>
        <v/>
      </c>
      <c r="J782" s="55" t="str">
        <f aca="false">IFERROR(VLOOKUP($A782,RA_result!$B$3:$N$62,13,0),"")</f>
        <v/>
      </c>
      <c r="K782" s="56"/>
      <c r="L782" s="56"/>
      <c r="M782" s="57" t="n">
        <f aca="false">G782</f>
        <v>0</v>
      </c>
      <c r="N782" s="54" t="n">
        <f aca="false">G782-M782</f>
        <v>0</v>
      </c>
      <c r="O782" s="55" t="str">
        <f aca="false">IFERROR(VLOOKUP($A782,RA_result!$B$3:$N$62,7,0),"")</f>
        <v/>
      </c>
      <c r="P782" s="52" t="str">
        <f aca="false">IFERROR(VLOOKUP($A782,RA_result!$B$3:$N$62,9,0),"")</f>
        <v/>
      </c>
      <c r="Q782" s="52" t="str">
        <f aca="false">IFERROR(VLOOKUP($A782,RA_result!$B$3:$N$62,10,0),"")</f>
        <v/>
      </c>
      <c r="R782" s="58" t="s">
        <v>55</v>
      </c>
      <c r="S782" s="59" t="str">
        <f aca="false">IFERROR(VLOOKUP($A782,RA_result!$B$3:$N$62,4,0),"")</f>
        <v/>
      </c>
      <c r="T782" s="60" t="s">
        <v>56</v>
      </c>
      <c r="U782" s="59" t="str">
        <f aca="false">IFERROR(IF(VLOOKUP($A782,RA_result!$B$3:$N$62,6,0)="",S782*T782,VLOOKUP($A782,RA_result!$B$3:$N$62,6,0)),"")</f>
        <v/>
      </c>
      <c r="V782" s="61" t="s">
        <v>56</v>
      </c>
      <c r="W782" s="62" t="n">
        <f aca="false">IFERROR((S782*30%)/V782,0)</f>
        <v>0</v>
      </c>
      <c r="X782" s="63" t="n">
        <f aca="false">IFERROR(N782/W782,0)</f>
        <v>0</v>
      </c>
      <c r="Y782" s="68"/>
      <c r="Z782" s="57"/>
      <c r="AA782" s="69" t="str">
        <f aca="false">IF(OR(U782="",Y782="",Z782=""),"",IF(AND(U782&gt;Y782,-U782&lt;Z782),"Ok","Not Ok"))</f>
        <v/>
      </c>
      <c r="AB782" s="70"/>
    </row>
    <row r="783" customFormat="false" ht="12.8" hidden="false" customHeight="false" outlineLevel="0" collapsed="false">
      <c r="A783" s="48" t="n">
        <f aca="false">TB_audited!A766</f>
        <v>0</v>
      </c>
      <c r="B783" s="49"/>
      <c r="C783" s="50"/>
      <c r="D783" s="51" t="n">
        <f aca="false">TB_audited!B766</f>
        <v>0</v>
      </c>
      <c r="E783" s="52" t="n">
        <f aca="false">TB_audited!C766</f>
        <v>0</v>
      </c>
      <c r="F783" s="53" t="n">
        <f aca="false">TB_audited!D766</f>
        <v>0</v>
      </c>
      <c r="G783" s="54" t="n">
        <f aca="false">IF($D$8="Interim",TB_audited!G766,TB_audited!E766)</f>
        <v>0</v>
      </c>
      <c r="H783" s="55" t="str">
        <f aca="false">IFERROR(VLOOKUP($A783,RA_result!$B$3:$N$62,11,0),"")</f>
        <v/>
      </c>
      <c r="I783" s="55" t="str">
        <f aca="false">IFERROR(VLOOKUP($A783,RA_result!$B$3:$N$62,12,0),"")</f>
        <v/>
      </c>
      <c r="J783" s="55" t="str">
        <f aca="false">IFERROR(VLOOKUP($A783,RA_result!$B$3:$N$62,13,0),"")</f>
        <v/>
      </c>
      <c r="K783" s="56"/>
      <c r="L783" s="56"/>
      <c r="M783" s="57" t="n">
        <f aca="false">G783</f>
        <v>0</v>
      </c>
      <c r="N783" s="54" t="n">
        <f aca="false">G783-M783</f>
        <v>0</v>
      </c>
      <c r="O783" s="55" t="str">
        <f aca="false">IFERROR(VLOOKUP($A783,RA_result!$B$3:$N$62,7,0),"")</f>
        <v/>
      </c>
      <c r="P783" s="52" t="str">
        <f aca="false">IFERROR(VLOOKUP($A783,RA_result!$B$3:$N$62,9,0),"")</f>
        <v/>
      </c>
      <c r="Q783" s="52" t="str">
        <f aca="false">IFERROR(VLOOKUP($A783,RA_result!$B$3:$N$62,10,0),"")</f>
        <v/>
      </c>
      <c r="R783" s="58" t="s">
        <v>55</v>
      </c>
      <c r="S783" s="59" t="str">
        <f aca="false">IFERROR(VLOOKUP($A783,RA_result!$B$3:$N$62,4,0),"")</f>
        <v/>
      </c>
      <c r="T783" s="60" t="s">
        <v>56</v>
      </c>
      <c r="U783" s="59" t="str">
        <f aca="false">IFERROR(IF(VLOOKUP($A783,RA_result!$B$3:$N$62,6,0)="",S783*T783,VLOOKUP($A783,RA_result!$B$3:$N$62,6,0)),"")</f>
        <v/>
      </c>
      <c r="V783" s="61" t="s">
        <v>56</v>
      </c>
      <c r="W783" s="62" t="n">
        <f aca="false">IFERROR((S783*30%)/V783,0)</f>
        <v>0</v>
      </c>
      <c r="X783" s="63" t="n">
        <f aca="false">IFERROR(N783/W783,0)</f>
        <v>0</v>
      </c>
      <c r="Y783" s="68"/>
      <c r="Z783" s="57"/>
      <c r="AA783" s="69" t="str">
        <f aca="false">IF(OR(U783="",Y783="",Z783=""),"",IF(AND(U783&gt;Y783,-U783&lt;Z783),"Ok","Not Ok"))</f>
        <v/>
      </c>
      <c r="AB783" s="70"/>
    </row>
    <row r="784" customFormat="false" ht="12.8" hidden="false" customHeight="false" outlineLevel="0" collapsed="false">
      <c r="A784" s="48" t="n">
        <f aca="false">TB_audited!A767</f>
        <v>0</v>
      </c>
      <c r="B784" s="49"/>
      <c r="C784" s="50"/>
      <c r="D784" s="51" t="n">
        <f aca="false">TB_audited!B767</f>
        <v>0</v>
      </c>
      <c r="E784" s="52" t="n">
        <f aca="false">TB_audited!C767</f>
        <v>0</v>
      </c>
      <c r="F784" s="53" t="n">
        <f aca="false">TB_audited!D767</f>
        <v>0</v>
      </c>
      <c r="G784" s="54" t="n">
        <f aca="false">IF($D$8="Interim",TB_audited!G767,TB_audited!E767)</f>
        <v>0</v>
      </c>
      <c r="H784" s="55" t="str">
        <f aca="false">IFERROR(VLOOKUP($A784,RA_result!$B$3:$N$62,11,0),"")</f>
        <v/>
      </c>
      <c r="I784" s="55" t="str">
        <f aca="false">IFERROR(VLOOKUP($A784,RA_result!$B$3:$N$62,12,0),"")</f>
        <v/>
      </c>
      <c r="J784" s="55" t="str">
        <f aca="false">IFERROR(VLOOKUP($A784,RA_result!$B$3:$N$62,13,0),"")</f>
        <v/>
      </c>
      <c r="K784" s="56"/>
      <c r="L784" s="56"/>
      <c r="M784" s="57" t="n">
        <f aca="false">G784</f>
        <v>0</v>
      </c>
      <c r="N784" s="54" t="n">
        <f aca="false">G784-M784</f>
        <v>0</v>
      </c>
      <c r="O784" s="55" t="str">
        <f aca="false">IFERROR(VLOOKUP($A784,RA_result!$B$3:$N$62,7,0),"")</f>
        <v/>
      </c>
      <c r="P784" s="52" t="str">
        <f aca="false">IFERROR(VLOOKUP($A784,RA_result!$B$3:$N$62,9,0),"")</f>
        <v/>
      </c>
      <c r="Q784" s="52" t="str">
        <f aca="false">IFERROR(VLOOKUP($A784,RA_result!$B$3:$N$62,10,0),"")</f>
        <v/>
      </c>
      <c r="R784" s="58" t="s">
        <v>55</v>
      </c>
      <c r="S784" s="59" t="str">
        <f aca="false">IFERROR(VLOOKUP($A784,RA_result!$B$3:$N$62,4,0),"")</f>
        <v/>
      </c>
      <c r="T784" s="60" t="s">
        <v>56</v>
      </c>
      <c r="U784" s="59" t="str">
        <f aca="false">IFERROR(IF(VLOOKUP($A784,RA_result!$B$3:$N$62,6,0)="",S784*T784,VLOOKUP($A784,RA_result!$B$3:$N$62,6,0)),"")</f>
        <v/>
      </c>
      <c r="V784" s="61" t="s">
        <v>56</v>
      </c>
      <c r="W784" s="62" t="n">
        <f aca="false">IFERROR((S784*30%)/V784,0)</f>
        <v>0</v>
      </c>
      <c r="X784" s="63" t="n">
        <f aca="false">IFERROR(N784/W784,0)</f>
        <v>0</v>
      </c>
      <c r="Y784" s="68"/>
      <c r="Z784" s="57"/>
      <c r="AA784" s="69" t="str">
        <f aca="false">IF(OR(U784="",Y784="",Z784=""),"",IF(AND(U784&gt;Y784,-U784&lt;Z784),"Ok","Not Ok"))</f>
        <v/>
      </c>
      <c r="AB784" s="70"/>
    </row>
    <row r="785" customFormat="false" ht="12.8" hidden="false" customHeight="false" outlineLevel="0" collapsed="false">
      <c r="A785" s="48" t="n">
        <f aca="false">TB_audited!A768</f>
        <v>0</v>
      </c>
      <c r="B785" s="49"/>
      <c r="C785" s="50"/>
      <c r="D785" s="51" t="n">
        <f aca="false">TB_audited!B768</f>
        <v>0</v>
      </c>
      <c r="E785" s="52" t="n">
        <f aca="false">TB_audited!C768</f>
        <v>0</v>
      </c>
      <c r="F785" s="53" t="n">
        <f aca="false">TB_audited!D768</f>
        <v>0</v>
      </c>
      <c r="G785" s="54" t="n">
        <f aca="false">IF($D$8="Interim",TB_audited!G768,TB_audited!E768)</f>
        <v>0</v>
      </c>
      <c r="H785" s="55" t="str">
        <f aca="false">IFERROR(VLOOKUP($A785,RA_result!$B$3:$N$62,11,0),"")</f>
        <v/>
      </c>
      <c r="I785" s="55" t="str">
        <f aca="false">IFERROR(VLOOKUP($A785,RA_result!$B$3:$N$62,12,0),"")</f>
        <v/>
      </c>
      <c r="J785" s="55" t="str">
        <f aca="false">IFERROR(VLOOKUP($A785,RA_result!$B$3:$N$62,13,0),"")</f>
        <v/>
      </c>
      <c r="K785" s="56"/>
      <c r="L785" s="56"/>
      <c r="M785" s="57" t="n">
        <f aca="false">G785</f>
        <v>0</v>
      </c>
      <c r="N785" s="54" t="n">
        <f aca="false">G785-M785</f>
        <v>0</v>
      </c>
      <c r="O785" s="55" t="str">
        <f aca="false">IFERROR(VLOOKUP($A785,RA_result!$B$3:$N$62,7,0),"")</f>
        <v/>
      </c>
      <c r="P785" s="52" t="str">
        <f aca="false">IFERROR(VLOOKUP($A785,RA_result!$B$3:$N$62,9,0),"")</f>
        <v/>
      </c>
      <c r="Q785" s="52" t="str">
        <f aca="false">IFERROR(VLOOKUP($A785,RA_result!$B$3:$N$62,10,0),"")</f>
        <v/>
      </c>
      <c r="R785" s="58" t="s">
        <v>55</v>
      </c>
      <c r="S785" s="59" t="str">
        <f aca="false">IFERROR(VLOOKUP($A785,RA_result!$B$3:$N$62,4,0),"")</f>
        <v/>
      </c>
      <c r="T785" s="60" t="s">
        <v>56</v>
      </c>
      <c r="U785" s="59" t="str">
        <f aca="false">IFERROR(IF(VLOOKUP($A785,RA_result!$B$3:$N$62,6,0)="",S785*T785,VLOOKUP($A785,RA_result!$B$3:$N$62,6,0)),"")</f>
        <v/>
      </c>
      <c r="V785" s="61" t="s">
        <v>56</v>
      </c>
      <c r="W785" s="62" t="n">
        <f aca="false">IFERROR((S785*30%)/V785,0)</f>
        <v>0</v>
      </c>
      <c r="X785" s="63" t="n">
        <f aca="false">IFERROR(N785/W785,0)</f>
        <v>0</v>
      </c>
      <c r="Y785" s="68"/>
      <c r="Z785" s="57"/>
      <c r="AA785" s="69" t="str">
        <f aca="false">IF(OR(U785="",Y785="",Z785=""),"",IF(AND(U785&gt;Y785,-U785&lt;Z785),"Ok","Not Ok"))</f>
        <v/>
      </c>
      <c r="AB785" s="70"/>
    </row>
    <row r="786" customFormat="false" ht="12.8" hidden="false" customHeight="false" outlineLevel="0" collapsed="false">
      <c r="A786" s="48" t="n">
        <f aca="false">TB_audited!A769</f>
        <v>0</v>
      </c>
      <c r="B786" s="49"/>
      <c r="C786" s="50"/>
      <c r="D786" s="51" t="n">
        <f aca="false">TB_audited!B769</f>
        <v>0</v>
      </c>
      <c r="E786" s="52" t="n">
        <f aca="false">TB_audited!C769</f>
        <v>0</v>
      </c>
      <c r="F786" s="53" t="n">
        <f aca="false">TB_audited!D769</f>
        <v>0</v>
      </c>
      <c r="G786" s="54" t="n">
        <f aca="false">IF($D$8="Interim",TB_audited!G769,TB_audited!E769)</f>
        <v>0</v>
      </c>
      <c r="H786" s="55" t="str">
        <f aca="false">IFERROR(VLOOKUP($A786,RA_result!$B$3:$N$62,11,0),"")</f>
        <v/>
      </c>
      <c r="I786" s="55" t="str">
        <f aca="false">IFERROR(VLOOKUP($A786,RA_result!$B$3:$N$62,12,0),"")</f>
        <v/>
      </c>
      <c r="J786" s="55" t="str">
        <f aca="false">IFERROR(VLOOKUP($A786,RA_result!$B$3:$N$62,13,0),"")</f>
        <v/>
      </c>
      <c r="K786" s="56"/>
      <c r="L786" s="56"/>
      <c r="M786" s="57" t="n">
        <f aca="false">G786</f>
        <v>0</v>
      </c>
      <c r="N786" s="54" t="n">
        <f aca="false">G786-M786</f>
        <v>0</v>
      </c>
      <c r="O786" s="55" t="str">
        <f aca="false">IFERROR(VLOOKUP($A786,RA_result!$B$3:$N$62,7,0),"")</f>
        <v/>
      </c>
      <c r="P786" s="52" t="str">
        <f aca="false">IFERROR(VLOOKUP($A786,RA_result!$B$3:$N$62,9,0),"")</f>
        <v/>
      </c>
      <c r="Q786" s="52" t="str">
        <f aca="false">IFERROR(VLOOKUP($A786,RA_result!$B$3:$N$62,10,0),"")</f>
        <v/>
      </c>
      <c r="R786" s="58" t="s">
        <v>55</v>
      </c>
      <c r="S786" s="59" t="str">
        <f aca="false">IFERROR(VLOOKUP($A786,RA_result!$B$3:$N$62,4,0),"")</f>
        <v/>
      </c>
      <c r="T786" s="60" t="s">
        <v>56</v>
      </c>
      <c r="U786" s="59" t="str">
        <f aca="false">IFERROR(IF(VLOOKUP($A786,RA_result!$B$3:$N$62,6,0)="",S786*T786,VLOOKUP($A786,RA_result!$B$3:$N$62,6,0)),"")</f>
        <v/>
      </c>
      <c r="V786" s="61" t="s">
        <v>56</v>
      </c>
      <c r="W786" s="62" t="n">
        <f aca="false">IFERROR((S786*30%)/V786,0)</f>
        <v>0</v>
      </c>
      <c r="X786" s="63" t="n">
        <f aca="false">IFERROR(N786/W786,0)</f>
        <v>0</v>
      </c>
      <c r="Y786" s="68"/>
      <c r="Z786" s="57"/>
      <c r="AA786" s="69" t="str">
        <f aca="false">IF(OR(U786="",Y786="",Z786=""),"",IF(AND(U786&gt;Y786,-U786&lt;Z786),"Ok","Not Ok"))</f>
        <v/>
      </c>
      <c r="AB786" s="70"/>
    </row>
    <row r="787" customFormat="false" ht="12.8" hidden="false" customHeight="false" outlineLevel="0" collapsed="false">
      <c r="A787" s="48" t="n">
        <f aca="false">TB_audited!A770</f>
        <v>0</v>
      </c>
      <c r="B787" s="49"/>
      <c r="C787" s="50"/>
      <c r="D787" s="51" t="n">
        <f aca="false">TB_audited!B770</f>
        <v>0</v>
      </c>
      <c r="E787" s="52" t="n">
        <f aca="false">TB_audited!C770</f>
        <v>0</v>
      </c>
      <c r="F787" s="53" t="n">
        <f aca="false">TB_audited!D770</f>
        <v>0</v>
      </c>
      <c r="G787" s="54" t="n">
        <f aca="false">IF($D$8="Interim",TB_audited!G770,TB_audited!E770)</f>
        <v>0</v>
      </c>
      <c r="H787" s="55" t="str">
        <f aca="false">IFERROR(VLOOKUP($A787,RA_result!$B$3:$N$62,11,0),"")</f>
        <v/>
      </c>
      <c r="I787" s="55" t="str">
        <f aca="false">IFERROR(VLOOKUP($A787,RA_result!$B$3:$N$62,12,0),"")</f>
        <v/>
      </c>
      <c r="J787" s="55" t="str">
        <f aca="false">IFERROR(VLOOKUP($A787,RA_result!$B$3:$N$62,13,0),"")</f>
        <v/>
      </c>
      <c r="K787" s="56"/>
      <c r="L787" s="56"/>
      <c r="M787" s="57" t="n">
        <f aca="false">G787</f>
        <v>0</v>
      </c>
      <c r="N787" s="54" t="n">
        <f aca="false">G787-M787</f>
        <v>0</v>
      </c>
      <c r="O787" s="55" t="str">
        <f aca="false">IFERROR(VLOOKUP($A787,RA_result!$B$3:$N$62,7,0),"")</f>
        <v/>
      </c>
      <c r="P787" s="52" t="str">
        <f aca="false">IFERROR(VLOOKUP($A787,RA_result!$B$3:$N$62,9,0),"")</f>
        <v/>
      </c>
      <c r="Q787" s="52" t="str">
        <f aca="false">IFERROR(VLOOKUP($A787,RA_result!$B$3:$N$62,10,0),"")</f>
        <v/>
      </c>
      <c r="R787" s="58" t="s">
        <v>55</v>
      </c>
      <c r="S787" s="59" t="str">
        <f aca="false">IFERROR(VLOOKUP($A787,RA_result!$B$3:$N$62,4,0),"")</f>
        <v/>
      </c>
      <c r="T787" s="60" t="s">
        <v>56</v>
      </c>
      <c r="U787" s="59" t="str">
        <f aca="false">IFERROR(IF(VLOOKUP($A787,RA_result!$B$3:$N$62,6,0)="",S787*T787,VLOOKUP($A787,RA_result!$B$3:$N$62,6,0)),"")</f>
        <v/>
      </c>
      <c r="V787" s="61" t="s">
        <v>56</v>
      </c>
      <c r="W787" s="62" t="n">
        <f aca="false">IFERROR((S787*30%)/V787,0)</f>
        <v>0</v>
      </c>
      <c r="X787" s="63" t="n">
        <f aca="false">IFERROR(N787/W787,0)</f>
        <v>0</v>
      </c>
      <c r="Y787" s="68"/>
      <c r="Z787" s="57"/>
      <c r="AA787" s="69" t="str">
        <f aca="false">IF(OR(U787="",Y787="",Z787=""),"",IF(AND(U787&gt;Y787,-U787&lt;Z787),"Ok","Not Ok"))</f>
        <v/>
      </c>
      <c r="AB787" s="70"/>
    </row>
    <row r="788" customFormat="false" ht="12.8" hidden="false" customHeight="false" outlineLevel="0" collapsed="false">
      <c r="A788" s="48" t="n">
        <f aca="false">TB_audited!A771</f>
        <v>0</v>
      </c>
      <c r="B788" s="49"/>
      <c r="C788" s="50"/>
      <c r="D788" s="51" t="n">
        <f aca="false">TB_audited!B771</f>
        <v>0</v>
      </c>
      <c r="E788" s="52" t="n">
        <f aca="false">TB_audited!C771</f>
        <v>0</v>
      </c>
      <c r="F788" s="53" t="n">
        <f aca="false">TB_audited!D771</f>
        <v>0</v>
      </c>
      <c r="G788" s="54" t="n">
        <f aca="false">IF($D$8="Interim",TB_audited!G771,TB_audited!E771)</f>
        <v>0</v>
      </c>
      <c r="H788" s="55" t="str">
        <f aca="false">IFERROR(VLOOKUP($A788,RA_result!$B$3:$N$62,11,0),"")</f>
        <v/>
      </c>
      <c r="I788" s="55" t="str">
        <f aca="false">IFERROR(VLOOKUP($A788,RA_result!$B$3:$N$62,12,0),"")</f>
        <v/>
      </c>
      <c r="J788" s="55" t="str">
        <f aca="false">IFERROR(VLOOKUP($A788,RA_result!$B$3:$N$62,13,0),"")</f>
        <v/>
      </c>
      <c r="K788" s="56"/>
      <c r="L788" s="56"/>
      <c r="M788" s="57" t="n">
        <f aca="false">G788</f>
        <v>0</v>
      </c>
      <c r="N788" s="54" t="n">
        <f aca="false">G788-M788</f>
        <v>0</v>
      </c>
      <c r="O788" s="55" t="str">
        <f aca="false">IFERROR(VLOOKUP($A788,RA_result!$B$3:$N$62,7,0),"")</f>
        <v/>
      </c>
      <c r="P788" s="52" t="str">
        <f aca="false">IFERROR(VLOOKUP($A788,RA_result!$B$3:$N$62,9,0),"")</f>
        <v/>
      </c>
      <c r="Q788" s="52" t="str">
        <f aca="false">IFERROR(VLOOKUP($A788,RA_result!$B$3:$N$62,10,0),"")</f>
        <v/>
      </c>
      <c r="R788" s="58" t="s">
        <v>55</v>
      </c>
      <c r="S788" s="59" t="str">
        <f aca="false">IFERROR(VLOOKUP($A788,RA_result!$B$3:$N$62,4,0),"")</f>
        <v/>
      </c>
      <c r="T788" s="60" t="s">
        <v>56</v>
      </c>
      <c r="U788" s="59" t="str">
        <f aca="false">IFERROR(IF(VLOOKUP($A788,RA_result!$B$3:$N$62,6,0)="",S788*T788,VLOOKUP($A788,RA_result!$B$3:$N$62,6,0)),"")</f>
        <v/>
      </c>
      <c r="V788" s="61" t="s">
        <v>56</v>
      </c>
      <c r="W788" s="62" t="n">
        <f aca="false">IFERROR((S788*30%)/V788,0)</f>
        <v>0</v>
      </c>
      <c r="X788" s="63" t="n">
        <f aca="false">IFERROR(N788/W788,0)</f>
        <v>0</v>
      </c>
      <c r="Y788" s="68"/>
      <c r="Z788" s="57"/>
      <c r="AA788" s="69" t="str">
        <f aca="false">IF(OR(U788="",Y788="",Z788=""),"",IF(AND(U788&gt;Y788,-U788&lt;Z788),"Ok","Not Ok"))</f>
        <v/>
      </c>
      <c r="AB788" s="70"/>
    </row>
    <row r="789" customFormat="false" ht="12.8" hidden="false" customHeight="false" outlineLevel="0" collapsed="false">
      <c r="A789" s="48" t="n">
        <f aca="false">TB_audited!A772</f>
        <v>0</v>
      </c>
      <c r="B789" s="49"/>
      <c r="C789" s="50"/>
      <c r="D789" s="51" t="n">
        <f aca="false">TB_audited!B772</f>
        <v>0</v>
      </c>
      <c r="E789" s="52" t="n">
        <f aca="false">TB_audited!C772</f>
        <v>0</v>
      </c>
      <c r="F789" s="53" t="n">
        <f aca="false">TB_audited!D772</f>
        <v>0</v>
      </c>
      <c r="G789" s="54" t="n">
        <f aca="false">IF($D$8="Interim",TB_audited!G772,TB_audited!E772)</f>
        <v>0</v>
      </c>
      <c r="H789" s="55" t="str">
        <f aca="false">IFERROR(VLOOKUP($A789,RA_result!$B$3:$N$62,11,0),"")</f>
        <v/>
      </c>
      <c r="I789" s="55" t="str">
        <f aca="false">IFERROR(VLOOKUP($A789,RA_result!$B$3:$N$62,12,0),"")</f>
        <v/>
      </c>
      <c r="J789" s="55" t="str">
        <f aca="false">IFERROR(VLOOKUP($A789,RA_result!$B$3:$N$62,13,0),"")</f>
        <v/>
      </c>
      <c r="K789" s="56"/>
      <c r="L789" s="56"/>
      <c r="M789" s="57" t="n">
        <f aca="false">G789</f>
        <v>0</v>
      </c>
      <c r="N789" s="54" t="n">
        <f aca="false">G789-M789</f>
        <v>0</v>
      </c>
      <c r="O789" s="55" t="str">
        <f aca="false">IFERROR(VLOOKUP($A789,RA_result!$B$3:$N$62,7,0),"")</f>
        <v/>
      </c>
      <c r="P789" s="52" t="str">
        <f aca="false">IFERROR(VLOOKUP($A789,RA_result!$B$3:$N$62,9,0),"")</f>
        <v/>
      </c>
      <c r="Q789" s="52" t="str">
        <f aca="false">IFERROR(VLOOKUP($A789,RA_result!$B$3:$N$62,10,0),"")</f>
        <v/>
      </c>
      <c r="R789" s="58" t="s">
        <v>55</v>
      </c>
      <c r="S789" s="59" t="str">
        <f aca="false">IFERROR(VLOOKUP($A789,RA_result!$B$3:$N$62,4,0),"")</f>
        <v/>
      </c>
      <c r="T789" s="60" t="s">
        <v>56</v>
      </c>
      <c r="U789" s="59" t="str">
        <f aca="false">IFERROR(IF(VLOOKUP($A789,RA_result!$B$3:$N$62,6,0)="",S789*T789,VLOOKUP($A789,RA_result!$B$3:$N$62,6,0)),"")</f>
        <v/>
      </c>
      <c r="V789" s="61" t="s">
        <v>56</v>
      </c>
      <c r="W789" s="62" t="n">
        <f aca="false">IFERROR((S789*30%)/V789,0)</f>
        <v>0</v>
      </c>
      <c r="X789" s="63" t="n">
        <f aca="false">IFERROR(N789/W789,0)</f>
        <v>0</v>
      </c>
      <c r="Y789" s="68"/>
      <c r="Z789" s="57"/>
      <c r="AA789" s="69" t="str">
        <f aca="false">IF(OR(U789="",Y789="",Z789=""),"",IF(AND(U789&gt;Y789,-U789&lt;Z789),"Ok","Not Ok"))</f>
        <v/>
      </c>
      <c r="AB789" s="70"/>
    </row>
    <row r="790" customFormat="false" ht="12.8" hidden="false" customHeight="false" outlineLevel="0" collapsed="false">
      <c r="A790" s="48" t="n">
        <f aca="false">TB_audited!A773</f>
        <v>0</v>
      </c>
      <c r="B790" s="49"/>
      <c r="C790" s="50"/>
      <c r="D790" s="51" t="n">
        <f aca="false">TB_audited!B773</f>
        <v>0</v>
      </c>
      <c r="E790" s="52" t="n">
        <f aca="false">TB_audited!C773</f>
        <v>0</v>
      </c>
      <c r="F790" s="53" t="n">
        <f aca="false">TB_audited!D773</f>
        <v>0</v>
      </c>
      <c r="G790" s="54" t="n">
        <f aca="false">IF($D$8="Interim",TB_audited!G773,TB_audited!E773)</f>
        <v>0</v>
      </c>
      <c r="H790" s="55" t="str">
        <f aca="false">IFERROR(VLOOKUP($A790,RA_result!$B$3:$N$62,11,0),"")</f>
        <v/>
      </c>
      <c r="I790" s="55" t="str">
        <f aca="false">IFERROR(VLOOKUP($A790,RA_result!$B$3:$N$62,12,0),"")</f>
        <v/>
      </c>
      <c r="J790" s="55" t="str">
        <f aca="false">IFERROR(VLOOKUP($A790,RA_result!$B$3:$N$62,13,0),"")</f>
        <v/>
      </c>
      <c r="K790" s="56"/>
      <c r="L790" s="56"/>
      <c r="M790" s="57" t="n">
        <f aca="false">G790</f>
        <v>0</v>
      </c>
      <c r="N790" s="54" t="n">
        <f aca="false">G790-M790</f>
        <v>0</v>
      </c>
      <c r="O790" s="55" t="str">
        <f aca="false">IFERROR(VLOOKUP($A790,RA_result!$B$3:$N$62,7,0),"")</f>
        <v/>
      </c>
      <c r="P790" s="52" t="str">
        <f aca="false">IFERROR(VLOOKUP($A790,RA_result!$B$3:$N$62,9,0),"")</f>
        <v/>
      </c>
      <c r="Q790" s="52" t="str">
        <f aca="false">IFERROR(VLOOKUP($A790,RA_result!$B$3:$N$62,10,0),"")</f>
        <v/>
      </c>
      <c r="R790" s="58" t="s">
        <v>55</v>
      </c>
      <c r="S790" s="59" t="str">
        <f aca="false">IFERROR(VLOOKUP($A790,RA_result!$B$3:$N$62,4,0),"")</f>
        <v/>
      </c>
      <c r="T790" s="60" t="s">
        <v>56</v>
      </c>
      <c r="U790" s="59" t="str">
        <f aca="false">IFERROR(IF(VLOOKUP($A790,RA_result!$B$3:$N$62,6,0)="",S790*T790,VLOOKUP($A790,RA_result!$B$3:$N$62,6,0)),"")</f>
        <v/>
      </c>
      <c r="V790" s="61" t="s">
        <v>56</v>
      </c>
      <c r="W790" s="62" t="n">
        <f aca="false">IFERROR((S790*30%)/V790,0)</f>
        <v>0</v>
      </c>
      <c r="X790" s="63" t="n">
        <f aca="false">IFERROR(N790/W790,0)</f>
        <v>0</v>
      </c>
      <c r="Y790" s="68"/>
      <c r="Z790" s="57"/>
      <c r="AA790" s="69" t="str">
        <f aca="false">IF(OR(U790="",Y790="",Z790=""),"",IF(AND(U790&gt;Y790,-U790&lt;Z790),"Ok","Not Ok"))</f>
        <v/>
      </c>
      <c r="AB790" s="70"/>
    </row>
    <row r="791" customFormat="false" ht="12.8" hidden="false" customHeight="false" outlineLevel="0" collapsed="false">
      <c r="A791" s="48" t="n">
        <f aca="false">TB_audited!A774</f>
        <v>0</v>
      </c>
      <c r="B791" s="49"/>
      <c r="C791" s="50"/>
      <c r="D791" s="51" t="n">
        <f aca="false">TB_audited!B774</f>
        <v>0</v>
      </c>
      <c r="E791" s="52" t="n">
        <f aca="false">TB_audited!C774</f>
        <v>0</v>
      </c>
      <c r="F791" s="53" t="n">
        <f aca="false">TB_audited!D774</f>
        <v>0</v>
      </c>
      <c r="G791" s="54" t="n">
        <f aca="false">IF($D$8="Interim",TB_audited!G774,TB_audited!E774)</f>
        <v>0</v>
      </c>
      <c r="H791" s="55" t="str">
        <f aca="false">IFERROR(VLOOKUP($A791,RA_result!$B$3:$N$62,11,0),"")</f>
        <v/>
      </c>
      <c r="I791" s="55" t="str">
        <f aca="false">IFERROR(VLOOKUP($A791,RA_result!$B$3:$N$62,12,0),"")</f>
        <v/>
      </c>
      <c r="J791" s="55" t="str">
        <f aca="false">IFERROR(VLOOKUP($A791,RA_result!$B$3:$N$62,13,0),"")</f>
        <v/>
      </c>
      <c r="K791" s="56"/>
      <c r="L791" s="56"/>
      <c r="M791" s="57" t="n">
        <f aca="false">G791</f>
        <v>0</v>
      </c>
      <c r="N791" s="54" t="n">
        <f aca="false">G791-M791</f>
        <v>0</v>
      </c>
      <c r="O791" s="55" t="str">
        <f aca="false">IFERROR(VLOOKUP($A791,RA_result!$B$3:$N$62,7,0),"")</f>
        <v/>
      </c>
      <c r="P791" s="52" t="str">
        <f aca="false">IFERROR(VLOOKUP($A791,RA_result!$B$3:$N$62,9,0),"")</f>
        <v/>
      </c>
      <c r="Q791" s="52" t="str">
        <f aca="false">IFERROR(VLOOKUP($A791,RA_result!$B$3:$N$62,10,0),"")</f>
        <v/>
      </c>
      <c r="R791" s="58" t="s">
        <v>55</v>
      </c>
      <c r="S791" s="59" t="str">
        <f aca="false">IFERROR(VLOOKUP($A791,RA_result!$B$3:$N$62,4,0),"")</f>
        <v/>
      </c>
      <c r="T791" s="60" t="s">
        <v>56</v>
      </c>
      <c r="U791" s="59" t="str">
        <f aca="false">IFERROR(IF(VLOOKUP($A791,RA_result!$B$3:$N$62,6,0)="",S791*T791,VLOOKUP($A791,RA_result!$B$3:$N$62,6,0)),"")</f>
        <v/>
      </c>
      <c r="V791" s="61" t="s">
        <v>56</v>
      </c>
      <c r="W791" s="62" t="n">
        <f aca="false">IFERROR((S791*30%)/V791,0)</f>
        <v>0</v>
      </c>
      <c r="X791" s="63" t="n">
        <f aca="false">IFERROR(N791/W791,0)</f>
        <v>0</v>
      </c>
      <c r="Y791" s="68"/>
      <c r="Z791" s="57"/>
      <c r="AA791" s="69" t="str">
        <f aca="false">IF(OR(U791="",Y791="",Z791=""),"",IF(AND(U791&gt;Y791,-U791&lt;Z791),"Ok","Not Ok"))</f>
        <v/>
      </c>
      <c r="AB791" s="70"/>
    </row>
    <row r="792" customFormat="false" ht="12.8" hidden="false" customHeight="false" outlineLevel="0" collapsed="false">
      <c r="A792" s="48" t="n">
        <f aca="false">TB_audited!A775</f>
        <v>0</v>
      </c>
      <c r="B792" s="49"/>
      <c r="C792" s="50"/>
      <c r="D792" s="51" t="n">
        <f aca="false">TB_audited!B775</f>
        <v>0</v>
      </c>
      <c r="E792" s="52" t="n">
        <f aca="false">TB_audited!C775</f>
        <v>0</v>
      </c>
      <c r="F792" s="53" t="n">
        <f aca="false">TB_audited!D775</f>
        <v>0</v>
      </c>
      <c r="G792" s="54" t="n">
        <f aca="false">IF($D$8="Interim",TB_audited!G775,TB_audited!E775)</f>
        <v>0</v>
      </c>
      <c r="H792" s="55" t="str">
        <f aca="false">IFERROR(VLOOKUP($A792,RA_result!$B$3:$N$62,11,0),"")</f>
        <v/>
      </c>
      <c r="I792" s="55" t="str">
        <f aca="false">IFERROR(VLOOKUP($A792,RA_result!$B$3:$N$62,12,0),"")</f>
        <v/>
      </c>
      <c r="J792" s="55" t="str">
        <f aca="false">IFERROR(VLOOKUP($A792,RA_result!$B$3:$N$62,13,0),"")</f>
        <v/>
      </c>
      <c r="K792" s="56"/>
      <c r="L792" s="56"/>
      <c r="M792" s="57" t="n">
        <f aca="false">G792</f>
        <v>0</v>
      </c>
      <c r="N792" s="54" t="n">
        <f aca="false">G792-M792</f>
        <v>0</v>
      </c>
      <c r="O792" s="55" t="str">
        <f aca="false">IFERROR(VLOOKUP($A792,RA_result!$B$3:$N$62,7,0),"")</f>
        <v/>
      </c>
      <c r="P792" s="52" t="str">
        <f aca="false">IFERROR(VLOOKUP($A792,RA_result!$B$3:$N$62,9,0),"")</f>
        <v/>
      </c>
      <c r="Q792" s="52" t="str">
        <f aca="false">IFERROR(VLOOKUP($A792,RA_result!$B$3:$N$62,10,0),"")</f>
        <v/>
      </c>
      <c r="R792" s="58" t="s">
        <v>55</v>
      </c>
      <c r="S792" s="59" t="str">
        <f aca="false">IFERROR(VLOOKUP($A792,RA_result!$B$3:$N$62,4,0),"")</f>
        <v/>
      </c>
      <c r="T792" s="60" t="s">
        <v>56</v>
      </c>
      <c r="U792" s="59" t="str">
        <f aca="false">IFERROR(IF(VLOOKUP($A792,RA_result!$B$3:$N$62,6,0)="",S792*T792,VLOOKUP($A792,RA_result!$B$3:$N$62,6,0)),"")</f>
        <v/>
      </c>
      <c r="V792" s="61" t="s">
        <v>56</v>
      </c>
      <c r="W792" s="62" t="n">
        <f aca="false">IFERROR((S792*30%)/V792,0)</f>
        <v>0</v>
      </c>
      <c r="X792" s="63" t="n">
        <f aca="false">IFERROR(N792/W792,0)</f>
        <v>0</v>
      </c>
      <c r="Y792" s="68"/>
      <c r="Z792" s="57"/>
      <c r="AA792" s="69" t="str">
        <f aca="false">IF(OR(U792="",Y792="",Z792=""),"",IF(AND(U792&gt;Y792,-U792&lt;Z792),"Ok","Not Ok"))</f>
        <v/>
      </c>
      <c r="AB792" s="70"/>
    </row>
    <row r="793" customFormat="false" ht="12.8" hidden="false" customHeight="false" outlineLevel="0" collapsed="false">
      <c r="A793" s="48" t="n">
        <f aca="false">TB_audited!A776</f>
        <v>0</v>
      </c>
      <c r="B793" s="49"/>
      <c r="C793" s="50"/>
      <c r="D793" s="51" t="n">
        <f aca="false">TB_audited!B776</f>
        <v>0</v>
      </c>
      <c r="E793" s="52" t="n">
        <f aca="false">TB_audited!C776</f>
        <v>0</v>
      </c>
      <c r="F793" s="53" t="n">
        <f aca="false">TB_audited!D776</f>
        <v>0</v>
      </c>
      <c r="G793" s="54" t="n">
        <f aca="false">IF($D$8="Interim",TB_audited!G776,TB_audited!E776)</f>
        <v>0</v>
      </c>
      <c r="H793" s="55" t="str">
        <f aca="false">IFERROR(VLOOKUP($A793,RA_result!$B$3:$N$62,11,0),"")</f>
        <v/>
      </c>
      <c r="I793" s="55" t="str">
        <f aca="false">IFERROR(VLOOKUP($A793,RA_result!$B$3:$N$62,12,0),"")</f>
        <v/>
      </c>
      <c r="J793" s="55" t="str">
        <f aca="false">IFERROR(VLOOKUP($A793,RA_result!$B$3:$N$62,13,0),"")</f>
        <v/>
      </c>
      <c r="K793" s="56"/>
      <c r="L793" s="56"/>
      <c r="M793" s="57" t="n">
        <f aca="false">G793</f>
        <v>0</v>
      </c>
      <c r="N793" s="54" t="n">
        <f aca="false">G793-M793</f>
        <v>0</v>
      </c>
      <c r="O793" s="55" t="str">
        <f aca="false">IFERROR(VLOOKUP($A793,RA_result!$B$3:$N$62,7,0),"")</f>
        <v/>
      </c>
      <c r="P793" s="52" t="str">
        <f aca="false">IFERROR(VLOOKUP($A793,RA_result!$B$3:$N$62,9,0),"")</f>
        <v/>
      </c>
      <c r="Q793" s="52" t="str">
        <f aca="false">IFERROR(VLOOKUP($A793,RA_result!$B$3:$N$62,10,0),"")</f>
        <v/>
      </c>
      <c r="R793" s="58" t="s">
        <v>55</v>
      </c>
      <c r="S793" s="59" t="str">
        <f aca="false">IFERROR(VLOOKUP($A793,RA_result!$B$3:$N$62,4,0),"")</f>
        <v/>
      </c>
      <c r="T793" s="60" t="s">
        <v>56</v>
      </c>
      <c r="U793" s="59" t="str">
        <f aca="false">IFERROR(IF(VLOOKUP($A793,RA_result!$B$3:$N$62,6,0)="",S793*T793,VLOOKUP($A793,RA_result!$B$3:$N$62,6,0)),"")</f>
        <v/>
      </c>
      <c r="V793" s="61" t="s">
        <v>56</v>
      </c>
      <c r="W793" s="62" t="n">
        <f aca="false">IFERROR((S793*30%)/V793,0)</f>
        <v>0</v>
      </c>
      <c r="X793" s="63" t="n">
        <f aca="false">IFERROR(N793/W793,0)</f>
        <v>0</v>
      </c>
      <c r="Y793" s="68"/>
      <c r="Z793" s="57"/>
      <c r="AA793" s="69" t="str">
        <f aca="false">IF(OR(U793="",Y793="",Z793=""),"",IF(AND(U793&gt;Y793,-U793&lt;Z793),"Ok","Not Ok"))</f>
        <v/>
      </c>
      <c r="AB793" s="70"/>
    </row>
    <row r="794" customFormat="false" ht="12.8" hidden="false" customHeight="false" outlineLevel="0" collapsed="false">
      <c r="A794" s="48" t="n">
        <f aca="false">TB_audited!A777</f>
        <v>0</v>
      </c>
      <c r="B794" s="49"/>
      <c r="C794" s="50"/>
      <c r="D794" s="51" t="n">
        <f aca="false">TB_audited!B777</f>
        <v>0</v>
      </c>
      <c r="E794" s="52" t="n">
        <f aca="false">TB_audited!C777</f>
        <v>0</v>
      </c>
      <c r="F794" s="53" t="n">
        <f aca="false">TB_audited!D777</f>
        <v>0</v>
      </c>
      <c r="G794" s="54" t="n">
        <f aca="false">IF($D$8="Interim",TB_audited!G777,TB_audited!E777)</f>
        <v>0</v>
      </c>
      <c r="H794" s="55" t="str">
        <f aca="false">IFERROR(VLOOKUP($A794,RA_result!$B$3:$N$62,11,0),"")</f>
        <v/>
      </c>
      <c r="I794" s="55" t="str">
        <f aca="false">IFERROR(VLOOKUP($A794,RA_result!$B$3:$N$62,12,0),"")</f>
        <v/>
      </c>
      <c r="J794" s="55" t="str">
        <f aca="false">IFERROR(VLOOKUP($A794,RA_result!$B$3:$N$62,13,0),"")</f>
        <v/>
      </c>
      <c r="K794" s="56"/>
      <c r="L794" s="56"/>
      <c r="M794" s="57" t="n">
        <f aca="false">G794</f>
        <v>0</v>
      </c>
      <c r="N794" s="54" t="n">
        <f aca="false">G794-M794</f>
        <v>0</v>
      </c>
      <c r="O794" s="55" t="str">
        <f aca="false">IFERROR(VLOOKUP($A794,RA_result!$B$3:$N$62,7,0),"")</f>
        <v/>
      </c>
      <c r="P794" s="52" t="str">
        <f aca="false">IFERROR(VLOOKUP($A794,RA_result!$B$3:$N$62,9,0),"")</f>
        <v/>
      </c>
      <c r="Q794" s="52" t="str">
        <f aca="false">IFERROR(VLOOKUP($A794,RA_result!$B$3:$N$62,10,0),"")</f>
        <v/>
      </c>
      <c r="R794" s="58" t="s">
        <v>55</v>
      </c>
      <c r="S794" s="59" t="str">
        <f aca="false">IFERROR(VLOOKUP($A794,RA_result!$B$3:$N$62,4,0),"")</f>
        <v/>
      </c>
      <c r="T794" s="60" t="s">
        <v>56</v>
      </c>
      <c r="U794" s="59" t="str">
        <f aca="false">IFERROR(IF(VLOOKUP($A794,RA_result!$B$3:$N$62,6,0)="",S794*T794,VLOOKUP($A794,RA_result!$B$3:$N$62,6,0)),"")</f>
        <v/>
      </c>
      <c r="V794" s="61" t="s">
        <v>56</v>
      </c>
      <c r="W794" s="62" t="n">
        <f aca="false">IFERROR((S794*30%)/V794,0)</f>
        <v>0</v>
      </c>
      <c r="X794" s="63" t="n">
        <f aca="false">IFERROR(N794/W794,0)</f>
        <v>0</v>
      </c>
      <c r="Y794" s="68"/>
      <c r="Z794" s="57"/>
      <c r="AA794" s="69" t="str">
        <f aca="false">IF(OR(U794="",Y794="",Z794=""),"",IF(AND(U794&gt;Y794,-U794&lt;Z794),"Ok","Not Ok"))</f>
        <v/>
      </c>
      <c r="AB794" s="70"/>
    </row>
    <row r="795" customFormat="false" ht="12.8" hidden="false" customHeight="false" outlineLevel="0" collapsed="false">
      <c r="A795" s="48" t="n">
        <f aca="false">TB_audited!A778</f>
        <v>0</v>
      </c>
      <c r="B795" s="49"/>
      <c r="C795" s="50"/>
      <c r="D795" s="51" t="n">
        <f aca="false">TB_audited!B778</f>
        <v>0</v>
      </c>
      <c r="E795" s="52" t="n">
        <f aca="false">TB_audited!C778</f>
        <v>0</v>
      </c>
      <c r="F795" s="53" t="n">
        <f aca="false">TB_audited!D778</f>
        <v>0</v>
      </c>
      <c r="G795" s="54" t="n">
        <f aca="false">IF($D$8="Interim",TB_audited!G778,TB_audited!E778)</f>
        <v>0</v>
      </c>
      <c r="H795" s="55" t="str">
        <f aca="false">IFERROR(VLOOKUP($A795,RA_result!$B$3:$N$62,11,0),"")</f>
        <v/>
      </c>
      <c r="I795" s="55" t="str">
        <f aca="false">IFERROR(VLOOKUP($A795,RA_result!$B$3:$N$62,12,0),"")</f>
        <v/>
      </c>
      <c r="J795" s="55" t="str">
        <f aca="false">IFERROR(VLOOKUP($A795,RA_result!$B$3:$N$62,13,0),"")</f>
        <v/>
      </c>
      <c r="K795" s="56"/>
      <c r="L795" s="56"/>
      <c r="M795" s="57" t="n">
        <f aca="false">G795</f>
        <v>0</v>
      </c>
      <c r="N795" s="54" t="n">
        <f aca="false">G795-M795</f>
        <v>0</v>
      </c>
      <c r="O795" s="55" t="str">
        <f aca="false">IFERROR(VLOOKUP($A795,RA_result!$B$3:$N$62,7,0),"")</f>
        <v/>
      </c>
      <c r="P795" s="52" t="str">
        <f aca="false">IFERROR(VLOOKUP($A795,RA_result!$B$3:$N$62,9,0),"")</f>
        <v/>
      </c>
      <c r="Q795" s="52" t="str">
        <f aca="false">IFERROR(VLOOKUP($A795,RA_result!$B$3:$N$62,10,0),"")</f>
        <v/>
      </c>
      <c r="R795" s="58" t="s">
        <v>55</v>
      </c>
      <c r="S795" s="59" t="str">
        <f aca="false">IFERROR(VLOOKUP($A795,RA_result!$B$3:$N$62,4,0),"")</f>
        <v/>
      </c>
      <c r="T795" s="60" t="s">
        <v>56</v>
      </c>
      <c r="U795" s="59" t="str">
        <f aca="false">IFERROR(IF(VLOOKUP($A795,RA_result!$B$3:$N$62,6,0)="",S795*T795,VLOOKUP($A795,RA_result!$B$3:$N$62,6,0)),"")</f>
        <v/>
      </c>
      <c r="V795" s="61" t="s">
        <v>56</v>
      </c>
      <c r="W795" s="62" t="n">
        <f aca="false">IFERROR((S795*30%)/V795,0)</f>
        <v>0</v>
      </c>
      <c r="X795" s="63" t="n">
        <f aca="false">IFERROR(N795/W795,0)</f>
        <v>0</v>
      </c>
      <c r="Y795" s="68"/>
      <c r="Z795" s="57"/>
      <c r="AA795" s="69" t="str">
        <f aca="false">IF(OR(U795="",Y795="",Z795=""),"",IF(AND(U795&gt;Y795,-U795&lt;Z795),"Ok","Not Ok"))</f>
        <v/>
      </c>
      <c r="AB795" s="70"/>
    </row>
    <row r="796" customFormat="false" ht="12.8" hidden="false" customHeight="false" outlineLevel="0" collapsed="false">
      <c r="A796" s="48" t="n">
        <f aca="false">TB_audited!A779</f>
        <v>0</v>
      </c>
      <c r="B796" s="49"/>
      <c r="C796" s="50"/>
      <c r="D796" s="51" t="n">
        <f aca="false">TB_audited!B779</f>
        <v>0</v>
      </c>
      <c r="E796" s="52" t="n">
        <f aca="false">TB_audited!C779</f>
        <v>0</v>
      </c>
      <c r="F796" s="53" t="n">
        <f aca="false">TB_audited!D779</f>
        <v>0</v>
      </c>
      <c r="G796" s="54" t="n">
        <f aca="false">IF($D$8="Interim",TB_audited!G779,TB_audited!E779)</f>
        <v>0</v>
      </c>
      <c r="H796" s="55" t="str">
        <f aca="false">IFERROR(VLOOKUP($A796,RA_result!$B$3:$N$62,11,0),"")</f>
        <v/>
      </c>
      <c r="I796" s="55" t="str">
        <f aca="false">IFERROR(VLOOKUP($A796,RA_result!$B$3:$N$62,12,0),"")</f>
        <v/>
      </c>
      <c r="J796" s="55" t="str">
        <f aca="false">IFERROR(VLOOKUP($A796,RA_result!$B$3:$N$62,13,0),"")</f>
        <v/>
      </c>
      <c r="K796" s="56"/>
      <c r="L796" s="56"/>
      <c r="M796" s="57" t="n">
        <f aca="false">G796</f>
        <v>0</v>
      </c>
      <c r="N796" s="54" t="n">
        <f aca="false">G796-M796</f>
        <v>0</v>
      </c>
      <c r="O796" s="55" t="str">
        <f aca="false">IFERROR(VLOOKUP($A796,RA_result!$B$3:$N$62,7,0),"")</f>
        <v/>
      </c>
      <c r="P796" s="52" t="str">
        <f aca="false">IFERROR(VLOOKUP($A796,RA_result!$B$3:$N$62,9,0),"")</f>
        <v/>
      </c>
      <c r="Q796" s="52" t="str">
        <f aca="false">IFERROR(VLOOKUP($A796,RA_result!$B$3:$N$62,10,0),"")</f>
        <v/>
      </c>
      <c r="R796" s="58" t="s">
        <v>55</v>
      </c>
      <c r="S796" s="59" t="str">
        <f aca="false">IFERROR(VLOOKUP($A796,RA_result!$B$3:$N$62,4,0),"")</f>
        <v/>
      </c>
      <c r="T796" s="60" t="s">
        <v>56</v>
      </c>
      <c r="U796" s="59" t="str">
        <f aca="false">IFERROR(IF(VLOOKUP($A796,RA_result!$B$3:$N$62,6,0)="",S796*T796,VLOOKUP($A796,RA_result!$B$3:$N$62,6,0)),"")</f>
        <v/>
      </c>
      <c r="V796" s="61" t="s">
        <v>56</v>
      </c>
      <c r="W796" s="62" t="n">
        <f aca="false">IFERROR((S796*30%)/V796,0)</f>
        <v>0</v>
      </c>
      <c r="X796" s="63" t="n">
        <f aca="false">IFERROR(N796/W796,0)</f>
        <v>0</v>
      </c>
      <c r="Y796" s="68"/>
      <c r="Z796" s="57"/>
      <c r="AA796" s="69" t="str">
        <f aca="false">IF(OR(U796="",Y796="",Z796=""),"",IF(AND(U796&gt;Y796,-U796&lt;Z796),"Ok","Not Ok"))</f>
        <v/>
      </c>
      <c r="AB796" s="70"/>
    </row>
    <row r="797" customFormat="false" ht="12.8" hidden="false" customHeight="false" outlineLevel="0" collapsed="false">
      <c r="A797" s="48" t="n">
        <f aca="false">TB_audited!A780</f>
        <v>0</v>
      </c>
      <c r="B797" s="49"/>
      <c r="C797" s="50"/>
      <c r="D797" s="51" t="n">
        <f aca="false">TB_audited!B780</f>
        <v>0</v>
      </c>
      <c r="E797" s="52" t="n">
        <f aca="false">TB_audited!C780</f>
        <v>0</v>
      </c>
      <c r="F797" s="53" t="n">
        <f aca="false">TB_audited!D780</f>
        <v>0</v>
      </c>
      <c r="G797" s="54" t="n">
        <f aca="false">IF($D$8="Interim",TB_audited!G780,TB_audited!E780)</f>
        <v>0</v>
      </c>
      <c r="H797" s="55" t="str">
        <f aca="false">IFERROR(VLOOKUP($A797,RA_result!$B$3:$N$62,11,0),"")</f>
        <v/>
      </c>
      <c r="I797" s="55" t="str">
        <f aca="false">IFERROR(VLOOKUP($A797,RA_result!$B$3:$N$62,12,0),"")</f>
        <v/>
      </c>
      <c r="J797" s="55" t="str">
        <f aca="false">IFERROR(VLOOKUP($A797,RA_result!$B$3:$N$62,13,0),"")</f>
        <v/>
      </c>
      <c r="K797" s="56"/>
      <c r="L797" s="56"/>
      <c r="M797" s="57" t="n">
        <f aca="false">G797</f>
        <v>0</v>
      </c>
      <c r="N797" s="54" t="n">
        <f aca="false">G797-M797</f>
        <v>0</v>
      </c>
      <c r="O797" s="55" t="str">
        <f aca="false">IFERROR(VLOOKUP($A797,RA_result!$B$3:$N$62,7,0),"")</f>
        <v/>
      </c>
      <c r="P797" s="52" t="str">
        <f aca="false">IFERROR(VLOOKUP($A797,RA_result!$B$3:$N$62,9,0),"")</f>
        <v/>
      </c>
      <c r="Q797" s="52" t="str">
        <f aca="false">IFERROR(VLOOKUP($A797,RA_result!$B$3:$N$62,10,0),"")</f>
        <v/>
      </c>
      <c r="R797" s="58" t="s">
        <v>55</v>
      </c>
      <c r="S797" s="59" t="str">
        <f aca="false">IFERROR(VLOOKUP($A797,RA_result!$B$3:$N$62,4,0),"")</f>
        <v/>
      </c>
      <c r="T797" s="60" t="s">
        <v>56</v>
      </c>
      <c r="U797" s="59" t="str">
        <f aca="false">IFERROR(IF(VLOOKUP($A797,RA_result!$B$3:$N$62,6,0)="",S797*T797,VLOOKUP($A797,RA_result!$B$3:$N$62,6,0)),"")</f>
        <v/>
      </c>
      <c r="V797" s="61" t="s">
        <v>56</v>
      </c>
      <c r="W797" s="62" t="n">
        <f aca="false">IFERROR((S797*30%)/V797,0)</f>
        <v>0</v>
      </c>
      <c r="X797" s="63" t="n">
        <f aca="false">IFERROR(N797/W797,0)</f>
        <v>0</v>
      </c>
      <c r="Y797" s="68"/>
      <c r="Z797" s="57"/>
      <c r="AA797" s="69" t="str">
        <f aca="false">IF(OR(U797="",Y797="",Z797=""),"",IF(AND(U797&gt;Y797,-U797&lt;Z797),"Ok","Not Ok"))</f>
        <v/>
      </c>
      <c r="AB797" s="70"/>
    </row>
    <row r="798" customFormat="false" ht="12.8" hidden="false" customHeight="false" outlineLevel="0" collapsed="false">
      <c r="A798" s="48" t="n">
        <f aca="false">TB_audited!A781</f>
        <v>0</v>
      </c>
      <c r="B798" s="49"/>
      <c r="C798" s="50"/>
      <c r="D798" s="51" t="n">
        <f aca="false">TB_audited!B781</f>
        <v>0</v>
      </c>
      <c r="E798" s="52" t="n">
        <f aca="false">TB_audited!C781</f>
        <v>0</v>
      </c>
      <c r="F798" s="53" t="n">
        <f aca="false">TB_audited!D781</f>
        <v>0</v>
      </c>
      <c r="G798" s="54" t="n">
        <f aca="false">IF($D$8="Interim",TB_audited!G781,TB_audited!E781)</f>
        <v>0</v>
      </c>
      <c r="H798" s="55" t="str">
        <f aca="false">IFERROR(VLOOKUP($A798,RA_result!$B$3:$N$62,11,0),"")</f>
        <v/>
      </c>
      <c r="I798" s="55" t="str">
        <f aca="false">IFERROR(VLOOKUP($A798,RA_result!$B$3:$N$62,12,0),"")</f>
        <v/>
      </c>
      <c r="J798" s="55" t="str">
        <f aca="false">IFERROR(VLOOKUP($A798,RA_result!$B$3:$N$62,13,0),"")</f>
        <v/>
      </c>
      <c r="K798" s="56"/>
      <c r="L798" s="56"/>
      <c r="M798" s="57" t="n">
        <f aca="false">G798</f>
        <v>0</v>
      </c>
      <c r="N798" s="54" t="n">
        <f aca="false">G798-M798</f>
        <v>0</v>
      </c>
      <c r="O798" s="55" t="str">
        <f aca="false">IFERROR(VLOOKUP($A798,RA_result!$B$3:$N$62,7,0),"")</f>
        <v/>
      </c>
      <c r="P798" s="52" t="str">
        <f aca="false">IFERROR(VLOOKUP($A798,RA_result!$B$3:$N$62,9,0),"")</f>
        <v/>
      </c>
      <c r="Q798" s="52" t="str">
        <f aca="false">IFERROR(VLOOKUP($A798,RA_result!$B$3:$N$62,10,0),"")</f>
        <v/>
      </c>
      <c r="R798" s="58" t="s">
        <v>55</v>
      </c>
      <c r="S798" s="59" t="str">
        <f aca="false">IFERROR(VLOOKUP($A798,RA_result!$B$3:$N$62,4,0),"")</f>
        <v/>
      </c>
      <c r="T798" s="60" t="s">
        <v>56</v>
      </c>
      <c r="U798" s="59" t="str">
        <f aca="false">IFERROR(IF(VLOOKUP($A798,RA_result!$B$3:$N$62,6,0)="",S798*T798,VLOOKUP($A798,RA_result!$B$3:$N$62,6,0)),"")</f>
        <v/>
      </c>
      <c r="V798" s="61" t="s">
        <v>56</v>
      </c>
      <c r="W798" s="62" t="n">
        <f aca="false">IFERROR((S798*30%)/V798,0)</f>
        <v>0</v>
      </c>
      <c r="X798" s="63" t="n">
        <f aca="false">IFERROR(N798/W798,0)</f>
        <v>0</v>
      </c>
      <c r="Y798" s="68"/>
      <c r="Z798" s="57"/>
      <c r="AA798" s="69" t="str">
        <f aca="false">IF(OR(U798="",Y798="",Z798=""),"",IF(AND(U798&gt;Y798,-U798&lt;Z798),"Ok","Not Ok"))</f>
        <v/>
      </c>
      <c r="AB798" s="70"/>
    </row>
    <row r="799" customFormat="false" ht="12.8" hidden="false" customHeight="false" outlineLevel="0" collapsed="false">
      <c r="A799" s="48" t="n">
        <f aca="false">TB_audited!A782</f>
        <v>0</v>
      </c>
      <c r="B799" s="49"/>
      <c r="C799" s="50"/>
      <c r="D799" s="51" t="n">
        <f aca="false">TB_audited!B782</f>
        <v>0</v>
      </c>
      <c r="E799" s="52" t="n">
        <f aca="false">TB_audited!C782</f>
        <v>0</v>
      </c>
      <c r="F799" s="53" t="n">
        <f aca="false">TB_audited!D782</f>
        <v>0</v>
      </c>
      <c r="G799" s="54" t="n">
        <f aca="false">IF($D$8="Interim",TB_audited!G782,TB_audited!E782)</f>
        <v>0</v>
      </c>
      <c r="H799" s="55" t="str">
        <f aca="false">IFERROR(VLOOKUP($A799,RA_result!$B$3:$N$62,11,0),"")</f>
        <v/>
      </c>
      <c r="I799" s="55" t="str">
        <f aca="false">IFERROR(VLOOKUP($A799,RA_result!$B$3:$N$62,12,0),"")</f>
        <v/>
      </c>
      <c r="J799" s="55" t="str">
        <f aca="false">IFERROR(VLOOKUP($A799,RA_result!$B$3:$N$62,13,0),"")</f>
        <v/>
      </c>
      <c r="K799" s="56"/>
      <c r="L799" s="56"/>
      <c r="M799" s="57" t="n">
        <f aca="false">G799</f>
        <v>0</v>
      </c>
      <c r="N799" s="54" t="n">
        <f aca="false">G799-M799</f>
        <v>0</v>
      </c>
      <c r="O799" s="55" t="str">
        <f aca="false">IFERROR(VLOOKUP($A799,RA_result!$B$3:$N$62,7,0),"")</f>
        <v/>
      </c>
      <c r="P799" s="52" t="str">
        <f aca="false">IFERROR(VLOOKUP($A799,RA_result!$B$3:$N$62,9,0),"")</f>
        <v/>
      </c>
      <c r="Q799" s="52" t="str">
        <f aca="false">IFERROR(VLOOKUP($A799,RA_result!$B$3:$N$62,10,0),"")</f>
        <v/>
      </c>
      <c r="R799" s="58" t="s">
        <v>55</v>
      </c>
      <c r="S799" s="59" t="str">
        <f aca="false">IFERROR(VLOOKUP($A799,RA_result!$B$3:$N$62,4,0),"")</f>
        <v/>
      </c>
      <c r="T799" s="60" t="s">
        <v>56</v>
      </c>
      <c r="U799" s="59" t="str">
        <f aca="false">IFERROR(IF(VLOOKUP($A799,RA_result!$B$3:$N$62,6,0)="",S799*T799,VLOOKUP($A799,RA_result!$B$3:$N$62,6,0)),"")</f>
        <v/>
      </c>
      <c r="V799" s="61" t="s">
        <v>56</v>
      </c>
      <c r="W799" s="62" t="n">
        <f aca="false">IFERROR((S799*30%)/V799,0)</f>
        <v>0</v>
      </c>
      <c r="X799" s="63" t="n">
        <f aca="false">IFERROR(N799/W799,0)</f>
        <v>0</v>
      </c>
      <c r="Y799" s="68"/>
      <c r="Z799" s="57"/>
      <c r="AA799" s="69" t="str">
        <f aca="false">IF(OR(U799="",Y799="",Z799=""),"",IF(AND(U799&gt;Y799,-U799&lt;Z799),"Ok","Not Ok"))</f>
        <v/>
      </c>
      <c r="AB799" s="70"/>
    </row>
    <row r="800" customFormat="false" ht="12.8" hidden="false" customHeight="false" outlineLevel="0" collapsed="false">
      <c r="A800" s="48" t="n">
        <f aca="false">TB_audited!A783</f>
        <v>0</v>
      </c>
      <c r="B800" s="49"/>
      <c r="C800" s="50"/>
      <c r="D800" s="51" t="n">
        <f aca="false">TB_audited!B783</f>
        <v>0</v>
      </c>
      <c r="E800" s="52" t="n">
        <f aca="false">TB_audited!C783</f>
        <v>0</v>
      </c>
      <c r="F800" s="53" t="n">
        <f aca="false">TB_audited!D783</f>
        <v>0</v>
      </c>
      <c r="G800" s="54" t="n">
        <f aca="false">IF($D$8="Interim",TB_audited!G783,TB_audited!E783)</f>
        <v>0</v>
      </c>
      <c r="H800" s="55" t="str">
        <f aca="false">IFERROR(VLOOKUP($A800,RA_result!$B$3:$N$62,11,0),"")</f>
        <v/>
      </c>
      <c r="I800" s="55" t="str">
        <f aca="false">IFERROR(VLOOKUP($A800,RA_result!$B$3:$N$62,12,0),"")</f>
        <v/>
      </c>
      <c r="J800" s="55" t="str">
        <f aca="false">IFERROR(VLOOKUP($A800,RA_result!$B$3:$N$62,13,0),"")</f>
        <v/>
      </c>
      <c r="K800" s="56"/>
      <c r="L800" s="56"/>
      <c r="M800" s="57" t="n">
        <f aca="false">G800</f>
        <v>0</v>
      </c>
      <c r="N800" s="54" t="n">
        <f aca="false">G800-M800</f>
        <v>0</v>
      </c>
      <c r="O800" s="55" t="str">
        <f aca="false">IFERROR(VLOOKUP($A800,RA_result!$B$3:$N$62,7,0),"")</f>
        <v/>
      </c>
      <c r="P800" s="52" t="str">
        <f aca="false">IFERROR(VLOOKUP($A800,RA_result!$B$3:$N$62,9,0),"")</f>
        <v/>
      </c>
      <c r="Q800" s="52" t="str">
        <f aca="false">IFERROR(VLOOKUP($A800,RA_result!$B$3:$N$62,10,0),"")</f>
        <v/>
      </c>
      <c r="R800" s="58" t="s">
        <v>55</v>
      </c>
      <c r="S800" s="59" t="str">
        <f aca="false">IFERROR(VLOOKUP($A800,RA_result!$B$3:$N$62,4,0),"")</f>
        <v/>
      </c>
      <c r="T800" s="60" t="s">
        <v>56</v>
      </c>
      <c r="U800" s="59" t="str">
        <f aca="false">IFERROR(IF(VLOOKUP($A800,RA_result!$B$3:$N$62,6,0)="",S800*T800,VLOOKUP($A800,RA_result!$B$3:$N$62,6,0)),"")</f>
        <v/>
      </c>
      <c r="V800" s="61" t="s">
        <v>56</v>
      </c>
      <c r="W800" s="62" t="n">
        <f aca="false">IFERROR((S800*30%)/V800,0)</f>
        <v>0</v>
      </c>
      <c r="X800" s="63" t="n">
        <f aca="false">IFERROR(N800/W800,0)</f>
        <v>0</v>
      </c>
      <c r="Y800" s="68"/>
      <c r="Z800" s="57"/>
      <c r="AA800" s="69" t="str">
        <f aca="false">IF(OR(U800="",Y800="",Z800=""),"",IF(AND(U800&gt;Y800,-U800&lt;Z800),"Ok","Not Ok"))</f>
        <v/>
      </c>
      <c r="AB800" s="70"/>
    </row>
    <row r="801" customFormat="false" ht="12.8" hidden="false" customHeight="false" outlineLevel="0" collapsed="false">
      <c r="A801" s="48" t="n">
        <f aca="false">TB_audited!A784</f>
        <v>0</v>
      </c>
      <c r="B801" s="49"/>
      <c r="C801" s="50"/>
      <c r="D801" s="51" t="n">
        <f aca="false">TB_audited!B784</f>
        <v>0</v>
      </c>
      <c r="E801" s="52" t="n">
        <f aca="false">TB_audited!C784</f>
        <v>0</v>
      </c>
      <c r="F801" s="53" t="n">
        <f aca="false">TB_audited!D784</f>
        <v>0</v>
      </c>
      <c r="G801" s="54" t="n">
        <f aca="false">IF($D$8="Interim",TB_audited!G784,TB_audited!E784)</f>
        <v>0</v>
      </c>
      <c r="H801" s="55" t="str">
        <f aca="false">IFERROR(VLOOKUP($A801,RA_result!$B$3:$N$62,11,0),"")</f>
        <v/>
      </c>
      <c r="I801" s="55" t="str">
        <f aca="false">IFERROR(VLOOKUP($A801,RA_result!$B$3:$N$62,12,0),"")</f>
        <v/>
      </c>
      <c r="J801" s="55" t="str">
        <f aca="false">IFERROR(VLOOKUP($A801,RA_result!$B$3:$N$62,13,0),"")</f>
        <v/>
      </c>
      <c r="K801" s="56"/>
      <c r="L801" s="56"/>
      <c r="M801" s="57" t="n">
        <f aca="false">G801</f>
        <v>0</v>
      </c>
      <c r="N801" s="54" t="n">
        <f aca="false">G801-M801</f>
        <v>0</v>
      </c>
      <c r="O801" s="55" t="str">
        <f aca="false">IFERROR(VLOOKUP($A801,RA_result!$B$3:$N$62,7,0),"")</f>
        <v/>
      </c>
      <c r="P801" s="52" t="str">
        <f aca="false">IFERROR(VLOOKUP($A801,RA_result!$B$3:$N$62,9,0),"")</f>
        <v/>
      </c>
      <c r="Q801" s="52" t="str">
        <f aca="false">IFERROR(VLOOKUP($A801,RA_result!$B$3:$N$62,10,0),"")</f>
        <v/>
      </c>
      <c r="R801" s="58" t="s">
        <v>55</v>
      </c>
      <c r="S801" s="59" t="str">
        <f aca="false">IFERROR(VLOOKUP($A801,RA_result!$B$3:$N$62,4,0),"")</f>
        <v/>
      </c>
      <c r="T801" s="60" t="s">
        <v>56</v>
      </c>
      <c r="U801" s="59" t="str">
        <f aca="false">IFERROR(IF(VLOOKUP($A801,RA_result!$B$3:$N$62,6,0)="",S801*T801,VLOOKUP($A801,RA_result!$B$3:$N$62,6,0)),"")</f>
        <v/>
      </c>
      <c r="V801" s="61" t="s">
        <v>56</v>
      </c>
      <c r="W801" s="62" t="n">
        <f aca="false">IFERROR((S801*30%)/V801,0)</f>
        <v>0</v>
      </c>
      <c r="X801" s="63" t="n">
        <f aca="false">IFERROR(N801/W801,0)</f>
        <v>0</v>
      </c>
      <c r="Y801" s="68"/>
      <c r="Z801" s="57"/>
      <c r="AA801" s="69" t="str">
        <f aca="false">IF(OR(U801="",Y801="",Z801=""),"",IF(AND(U801&gt;Y801,-U801&lt;Z801),"Ok","Not Ok"))</f>
        <v/>
      </c>
      <c r="AB801" s="70"/>
    </row>
    <row r="802" customFormat="false" ht="12.8" hidden="false" customHeight="false" outlineLevel="0" collapsed="false">
      <c r="A802" s="48" t="n">
        <f aca="false">TB_audited!A785</f>
        <v>0</v>
      </c>
      <c r="B802" s="49"/>
      <c r="C802" s="50"/>
      <c r="D802" s="51" t="n">
        <f aca="false">TB_audited!B785</f>
        <v>0</v>
      </c>
      <c r="E802" s="52" t="n">
        <f aca="false">TB_audited!C785</f>
        <v>0</v>
      </c>
      <c r="F802" s="53" t="n">
        <f aca="false">TB_audited!D785</f>
        <v>0</v>
      </c>
      <c r="G802" s="54" t="n">
        <f aca="false">IF($D$8="Interim",TB_audited!G785,TB_audited!E785)</f>
        <v>0</v>
      </c>
      <c r="H802" s="55" t="str">
        <f aca="false">IFERROR(VLOOKUP($A802,RA_result!$B$3:$N$62,11,0),"")</f>
        <v/>
      </c>
      <c r="I802" s="55" t="str">
        <f aca="false">IFERROR(VLOOKUP($A802,RA_result!$B$3:$N$62,12,0),"")</f>
        <v/>
      </c>
      <c r="J802" s="55" t="str">
        <f aca="false">IFERROR(VLOOKUP($A802,RA_result!$B$3:$N$62,13,0),"")</f>
        <v/>
      </c>
      <c r="K802" s="56"/>
      <c r="L802" s="56"/>
      <c r="M802" s="57" t="n">
        <f aca="false">G802</f>
        <v>0</v>
      </c>
      <c r="N802" s="54" t="n">
        <f aca="false">G802-M802</f>
        <v>0</v>
      </c>
      <c r="O802" s="55" t="str">
        <f aca="false">IFERROR(VLOOKUP($A802,RA_result!$B$3:$N$62,7,0),"")</f>
        <v/>
      </c>
      <c r="P802" s="52" t="str">
        <f aca="false">IFERROR(VLOOKUP($A802,RA_result!$B$3:$N$62,9,0),"")</f>
        <v/>
      </c>
      <c r="Q802" s="52" t="str">
        <f aca="false">IFERROR(VLOOKUP($A802,RA_result!$B$3:$N$62,10,0),"")</f>
        <v/>
      </c>
      <c r="R802" s="58" t="s">
        <v>55</v>
      </c>
      <c r="S802" s="59" t="str">
        <f aca="false">IFERROR(VLOOKUP($A802,RA_result!$B$3:$N$62,4,0),"")</f>
        <v/>
      </c>
      <c r="T802" s="60" t="s">
        <v>56</v>
      </c>
      <c r="U802" s="59" t="str">
        <f aca="false">IFERROR(IF(VLOOKUP($A802,RA_result!$B$3:$N$62,6,0)="",S802*T802,VLOOKUP($A802,RA_result!$B$3:$N$62,6,0)),"")</f>
        <v/>
      </c>
      <c r="V802" s="61" t="s">
        <v>56</v>
      </c>
      <c r="W802" s="62" t="n">
        <f aca="false">IFERROR((S802*30%)/V802,0)</f>
        <v>0</v>
      </c>
      <c r="X802" s="63" t="n">
        <f aca="false">IFERROR(N802/W802,0)</f>
        <v>0</v>
      </c>
      <c r="Y802" s="68"/>
      <c r="Z802" s="57"/>
      <c r="AA802" s="69" t="str">
        <f aca="false">IF(OR(U802="",Y802="",Z802=""),"",IF(AND(U802&gt;Y802,-U802&lt;Z802),"Ok","Not Ok"))</f>
        <v/>
      </c>
      <c r="AB802" s="70"/>
    </row>
    <row r="803" customFormat="false" ht="12.8" hidden="false" customHeight="false" outlineLevel="0" collapsed="false">
      <c r="A803" s="48" t="n">
        <f aca="false">TB_audited!A786</f>
        <v>0</v>
      </c>
      <c r="B803" s="49"/>
      <c r="C803" s="50"/>
      <c r="D803" s="51" t="n">
        <f aca="false">TB_audited!B786</f>
        <v>0</v>
      </c>
      <c r="E803" s="52" t="n">
        <f aca="false">TB_audited!C786</f>
        <v>0</v>
      </c>
      <c r="F803" s="53" t="n">
        <f aca="false">TB_audited!D786</f>
        <v>0</v>
      </c>
      <c r="G803" s="54" t="n">
        <f aca="false">IF($D$8="Interim",TB_audited!G786,TB_audited!E786)</f>
        <v>0</v>
      </c>
      <c r="H803" s="55" t="str">
        <f aca="false">IFERROR(VLOOKUP($A803,RA_result!$B$3:$N$62,11,0),"")</f>
        <v/>
      </c>
      <c r="I803" s="55" t="str">
        <f aca="false">IFERROR(VLOOKUP($A803,RA_result!$B$3:$N$62,12,0),"")</f>
        <v/>
      </c>
      <c r="J803" s="55" t="str">
        <f aca="false">IFERROR(VLOOKUP($A803,RA_result!$B$3:$N$62,13,0),"")</f>
        <v/>
      </c>
      <c r="K803" s="56"/>
      <c r="L803" s="56"/>
      <c r="M803" s="57" t="n">
        <f aca="false">G803</f>
        <v>0</v>
      </c>
      <c r="N803" s="54" t="n">
        <f aca="false">G803-M803</f>
        <v>0</v>
      </c>
      <c r="O803" s="55" t="str">
        <f aca="false">IFERROR(VLOOKUP($A803,RA_result!$B$3:$N$62,7,0),"")</f>
        <v/>
      </c>
      <c r="P803" s="52" t="str">
        <f aca="false">IFERROR(VLOOKUP($A803,RA_result!$B$3:$N$62,9,0),"")</f>
        <v/>
      </c>
      <c r="Q803" s="52" t="str">
        <f aca="false">IFERROR(VLOOKUP($A803,RA_result!$B$3:$N$62,10,0),"")</f>
        <v/>
      </c>
      <c r="R803" s="58" t="s">
        <v>55</v>
      </c>
      <c r="S803" s="59" t="str">
        <f aca="false">IFERROR(VLOOKUP($A803,RA_result!$B$3:$N$62,4,0),"")</f>
        <v/>
      </c>
      <c r="T803" s="60" t="s">
        <v>56</v>
      </c>
      <c r="U803" s="59" t="str">
        <f aca="false">IFERROR(IF(VLOOKUP($A803,RA_result!$B$3:$N$62,6,0)="",S803*T803,VLOOKUP($A803,RA_result!$B$3:$N$62,6,0)),"")</f>
        <v/>
      </c>
      <c r="V803" s="61" t="s">
        <v>56</v>
      </c>
      <c r="W803" s="62" t="n">
        <f aca="false">IFERROR((S803*30%)/V803,0)</f>
        <v>0</v>
      </c>
      <c r="X803" s="63" t="n">
        <f aca="false">IFERROR(N803/W803,0)</f>
        <v>0</v>
      </c>
      <c r="Y803" s="68"/>
      <c r="Z803" s="57"/>
      <c r="AA803" s="69" t="str">
        <f aca="false">IF(OR(U803="",Y803="",Z803=""),"",IF(AND(U803&gt;Y803,-U803&lt;Z803),"Ok","Not Ok"))</f>
        <v/>
      </c>
      <c r="AB803" s="70"/>
    </row>
    <row r="804" customFormat="false" ht="12.8" hidden="false" customHeight="false" outlineLevel="0" collapsed="false">
      <c r="A804" s="48" t="n">
        <f aca="false">TB_audited!A787</f>
        <v>0</v>
      </c>
      <c r="B804" s="49"/>
      <c r="C804" s="50"/>
      <c r="D804" s="51" t="n">
        <f aca="false">TB_audited!B787</f>
        <v>0</v>
      </c>
      <c r="E804" s="52" t="n">
        <f aca="false">TB_audited!C787</f>
        <v>0</v>
      </c>
      <c r="F804" s="53" t="n">
        <f aca="false">TB_audited!D787</f>
        <v>0</v>
      </c>
      <c r="G804" s="54" t="n">
        <f aca="false">IF($D$8="Interim",TB_audited!G787,TB_audited!E787)</f>
        <v>0</v>
      </c>
      <c r="H804" s="55" t="str">
        <f aca="false">IFERROR(VLOOKUP($A804,RA_result!$B$3:$N$62,11,0),"")</f>
        <v/>
      </c>
      <c r="I804" s="55" t="str">
        <f aca="false">IFERROR(VLOOKUP($A804,RA_result!$B$3:$N$62,12,0),"")</f>
        <v/>
      </c>
      <c r="J804" s="55" t="str">
        <f aca="false">IFERROR(VLOOKUP($A804,RA_result!$B$3:$N$62,13,0),"")</f>
        <v/>
      </c>
      <c r="K804" s="56"/>
      <c r="L804" s="56"/>
      <c r="M804" s="57" t="n">
        <f aca="false">G804</f>
        <v>0</v>
      </c>
      <c r="N804" s="54" t="n">
        <f aca="false">G804-M804</f>
        <v>0</v>
      </c>
      <c r="O804" s="55" t="str">
        <f aca="false">IFERROR(VLOOKUP($A804,RA_result!$B$3:$N$62,7,0),"")</f>
        <v/>
      </c>
      <c r="P804" s="52" t="str">
        <f aca="false">IFERROR(VLOOKUP($A804,RA_result!$B$3:$N$62,9,0),"")</f>
        <v/>
      </c>
      <c r="Q804" s="52" t="str">
        <f aca="false">IFERROR(VLOOKUP($A804,RA_result!$B$3:$N$62,10,0),"")</f>
        <v/>
      </c>
      <c r="R804" s="58" t="s">
        <v>55</v>
      </c>
      <c r="S804" s="59" t="str">
        <f aca="false">IFERROR(VLOOKUP($A804,RA_result!$B$3:$N$62,4,0),"")</f>
        <v/>
      </c>
      <c r="T804" s="60" t="s">
        <v>56</v>
      </c>
      <c r="U804" s="59" t="str">
        <f aca="false">IFERROR(IF(VLOOKUP($A804,RA_result!$B$3:$N$62,6,0)="",S804*T804,VLOOKUP($A804,RA_result!$B$3:$N$62,6,0)),"")</f>
        <v/>
      </c>
      <c r="V804" s="61" t="s">
        <v>56</v>
      </c>
      <c r="W804" s="62" t="n">
        <f aca="false">IFERROR((S804*30%)/V804,0)</f>
        <v>0</v>
      </c>
      <c r="X804" s="63" t="n">
        <f aca="false">IFERROR(N804/W804,0)</f>
        <v>0</v>
      </c>
      <c r="Y804" s="68"/>
      <c r="Z804" s="57"/>
      <c r="AA804" s="69" t="str">
        <f aca="false">IF(OR(U804="",Y804="",Z804=""),"",IF(AND(U804&gt;Y804,-U804&lt;Z804),"Ok","Not Ok"))</f>
        <v/>
      </c>
      <c r="AB804" s="70"/>
    </row>
    <row r="805" customFormat="false" ht="12.8" hidden="false" customHeight="false" outlineLevel="0" collapsed="false">
      <c r="A805" s="48" t="n">
        <f aca="false">TB_audited!A788</f>
        <v>0</v>
      </c>
      <c r="B805" s="49"/>
      <c r="C805" s="50"/>
      <c r="D805" s="51" t="n">
        <f aca="false">TB_audited!B788</f>
        <v>0</v>
      </c>
      <c r="E805" s="52" t="n">
        <f aca="false">TB_audited!C788</f>
        <v>0</v>
      </c>
      <c r="F805" s="53" t="n">
        <f aca="false">TB_audited!D788</f>
        <v>0</v>
      </c>
      <c r="G805" s="54" t="n">
        <f aca="false">IF($D$8="Interim",TB_audited!G788,TB_audited!E788)</f>
        <v>0</v>
      </c>
      <c r="H805" s="55" t="str">
        <f aca="false">IFERROR(VLOOKUP($A805,RA_result!$B$3:$N$62,11,0),"")</f>
        <v/>
      </c>
      <c r="I805" s="55" t="str">
        <f aca="false">IFERROR(VLOOKUP($A805,RA_result!$B$3:$N$62,12,0),"")</f>
        <v/>
      </c>
      <c r="J805" s="55" t="str">
        <f aca="false">IFERROR(VLOOKUP($A805,RA_result!$B$3:$N$62,13,0),"")</f>
        <v/>
      </c>
      <c r="K805" s="56"/>
      <c r="L805" s="56"/>
      <c r="M805" s="57" t="n">
        <f aca="false">G805</f>
        <v>0</v>
      </c>
      <c r="N805" s="54" t="n">
        <f aca="false">G805-M805</f>
        <v>0</v>
      </c>
      <c r="O805" s="55" t="str">
        <f aca="false">IFERROR(VLOOKUP($A805,RA_result!$B$3:$N$62,7,0),"")</f>
        <v/>
      </c>
      <c r="P805" s="52" t="str">
        <f aca="false">IFERROR(VLOOKUP($A805,RA_result!$B$3:$N$62,9,0),"")</f>
        <v/>
      </c>
      <c r="Q805" s="52" t="str">
        <f aca="false">IFERROR(VLOOKUP($A805,RA_result!$B$3:$N$62,10,0),"")</f>
        <v/>
      </c>
      <c r="R805" s="58" t="s">
        <v>55</v>
      </c>
      <c r="S805" s="59" t="str">
        <f aca="false">IFERROR(VLOOKUP($A805,RA_result!$B$3:$N$62,4,0),"")</f>
        <v/>
      </c>
      <c r="T805" s="60" t="s">
        <v>56</v>
      </c>
      <c r="U805" s="59" t="str">
        <f aca="false">IFERROR(IF(VLOOKUP($A805,RA_result!$B$3:$N$62,6,0)="",S805*T805,VLOOKUP($A805,RA_result!$B$3:$N$62,6,0)),"")</f>
        <v/>
      </c>
      <c r="V805" s="61" t="s">
        <v>56</v>
      </c>
      <c r="W805" s="62" t="n">
        <f aca="false">IFERROR((S805*30%)/V805,0)</f>
        <v>0</v>
      </c>
      <c r="X805" s="63" t="n">
        <f aca="false">IFERROR(N805/W805,0)</f>
        <v>0</v>
      </c>
      <c r="Y805" s="68"/>
      <c r="Z805" s="57"/>
      <c r="AA805" s="69" t="str">
        <f aca="false">IF(OR(U805="",Y805="",Z805=""),"",IF(AND(U805&gt;Y805,-U805&lt;Z805),"Ok","Not Ok"))</f>
        <v/>
      </c>
      <c r="AB805" s="70"/>
    </row>
    <row r="806" customFormat="false" ht="12.8" hidden="false" customHeight="false" outlineLevel="0" collapsed="false">
      <c r="A806" s="48" t="n">
        <f aca="false">TB_audited!A789</f>
        <v>0</v>
      </c>
      <c r="B806" s="49"/>
      <c r="C806" s="50"/>
      <c r="D806" s="51" t="n">
        <f aca="false">TB_audited!B789</f>
        <v>0</v>
      </c>
      <c r="E806" s="52" t="n">
        <f aca="false">TB_audited!C789</f>
        <v>0</v>
      </c>
      <c r="F806" s="53" t="n">
        <f aca="false">TB_audited!D789</f>
        <v>0</v>
      </c>
      <c r="G806" s="54" t="n">
        <f aca="false">IF($D$8="Interim",TB_audited!G789,TB_audited!E789)</f>
        <v>0</v>
      </c>
      <c r="H806" s="55" t="str">
        <f aca="false">IFERROR(VLOOKUP($A806,RA_result!$B$3:$N$62,11,0),"")</f>
        <v/>
      </c>
      <c r="I806" s="55" t="str">
        <f aca="false">IFERROR(VLOOKUP($A806,RA_result!$B$3:$N$62,12,0),"")</f>
        <v/>
      </c>
      <c r="J806" s="55" t="str">
        <f aca="false">IFERROR(VLOOKUP($A806,RA_result!$B$3:$N$62,13,0),"")</f>
        <v/>
      </c>
      <c r="K806" s="56"/>
      <c r="L806" s="56"/>
      <c r="M806" s="57" t="n">
        <f aca="false">G806</f>
        <v>0</v>
      </c>
      <c r="N806" s="54" t="n">
        <f aca="false">G806-M806</f>
        <v>0</v>
      </c>
      <c r="O806" s="55" t="str">
        <f aca="false">IFERROR(VLOOKUP($A806,RA_result!$B$3:$N$62,7,0),"")</f>
        <v/>
      </c>
      <c r="P806" s="52" t="str">
        <f aca="false">IFERROR(VLOOKUP($A806,RA_result!$B$3:$N$62,9,0),"")</f>
        <v/>
      </c>
      <c r="Q806" s="52" t="str">
        <f aca="false">IFERROR(VLOOKUP($A806,RA_result!$B$3:$N$62,10,0),"")</f>
        <v/>
      </c>
      <c r="R806" s="58" t="s">
        <v>55</v>
      </c>
      <c r="S806" s="59" t="str">
        <f aca="false">IFERROR(VLOOKUP($A806,RA_result!$B$3:$N$62,4,0),"")</f>
        <v/>
      </c>
      <c r="T806" s="60" t="s">
        <v>56</v>
      </c>
      <c r="U806" s="59" t="str">
        <f aca="false">IFERROR(IF(VLOOKUP($A806,RA_result!$B$3:$N$62,6,0)="",S806*T806,VLOOKUP($A806,RA_result!$B$3:$N$62,6,0)),"")</f>
        <v/>
      </c>
      <c r="V806" s="61" t="s">
        <v>56</v>
      </c>
      <c r="W806" s="62" t="n">
        <f aca="false">IFERROR((S806*30%)/V806,0)</f>
        <v>0</v>
      </c>
      <c r="X806" s="63" t="n">
        <f aca="false">IFERROR(N806/W806,0)</f>
        <v>0</v>
      </c>
      <c r="Y806" s="68"/>
      <c r="Z806" s="57"/>
      <c r="AA806" s="69" t="str">
        <f aca="false">IF(OR(U806="",Y806="",Z806=""),"",IF(AND(U806&gt;Y806,-U806&lt;Z806),"Ok","Not Ok"))</f>
        <v/>
      </c>
      <c r="AB806" s="70"/>
    </row>
    <row r="807" customFormat="false" ht="12.8" hidden="false" customHeight="false" outlineLevel="0" collapsed="false">
      <c r="A807" s="48" t="n">
        <f aca="false">TB_audited!A790</f>
        <v>0</v>
      </c>
      <c r="B807" s="49"/>
      <c r="C807" s="50"/>
      <c r="D807" s="51" t="n">
        <f aca="false">TB_audited!B790</f>
        <v>0</v>
      </c>
      <c r="E807" s="52" t="n">
        <f aca="false">TB_audited!C790</f>
        <v>0</v>
      </c>
      <c r="F807" s="53" t="n">
        <f aca="false">TB_audited!D790</f>
        <v>0</v>
      </c>
      <c r="G807" s="54" t="n">
        <f aca="false">IF($D$8="Interim",TB_audited!G790,TB_audited!E790)</f>
        <v>0</v>
      </c>
      <c r="H807" s="55" t="str">
        <f aca="false">IFERROR(VLOOKUP($A807,RA_result!$B$3:$N$62,11,0),"")</f>
        <v/>
      </c>
      <c r="I807" s="55" t="str">
        <f aca="false">IFERROR(VLOOKUP($A807,RA_result!$B$3:$N$62,12,0),"")</f>
        <v/>
      </c>
      <c r="J807" s="55" t="str">
        <f aca="false">IFERROR(VLOOKUP($A807,RA_result!$B$3:$N$62,13,0),"")</f>
        <v/>
      </c>
      <c r="K807" s="56"/>
      <c r="L807" s="56"/>
      <c r="M807" s="57" t="n">
        <f aca="false">G807</f>
        <v>0</v>
      </c>
      <c r="N807" s="54" t="n">
        <f aca="false">G807-M807</f>
        <v>0</v>
      </c>
      <c r="O807" s="55" t="str">
        <f aca="false">IFERROR(VLOOKUP($A807,RA_result!$B$3:$N$62,7,0),"")</f>
        <v/>
      </c>
      <c r="P807" s="52" t="str">
        <f aca="false">IFERROR(VLOOKUP($A807,RA_result!$B$3:$N$62,9,0),"")</f>
        <v/>
      </c>
      <c r="Q807" s="52" t="str">
        <f aca="false">IFERROR(VLOOKUP($A807,RA_result!$B$3:$N$62,10,0),"")</f>
        <v/>
      </c>
      <c r="R807" s="58" t="s">
        <v>55</v>
      </c>
      <c r="S807" s="59" t="str">
        <f aca="false">IFERROR(VLOOKUP($A807,RA_result!$B$3:$N$62,4,0),"")</f>
        <v/>
      </c>
      <c r="T807" s="60" t="s">
        <v>56</v>
      </c>
      <c r="U807" s="59" t="str">
        <f aca="false">IFERROR(IF(VLOOKUP($A807,RA_result!$B$3:$N$62,6,0)="",S807*T807,VLOOKUP($A807,RA_result!$B$3:$N$62,6,0)),"")</f>
        <v/>
      </c>
      <c r="V807" s="61" t="s">
        <v>56</v>
      </c>
      <c r="W807" s="62" t="n">
        <f aca="false">IFERROR((S807*30%)/V807,0)</f>
        <v>0</v>
      </c>
      <c r="X807" s="63" t="n">
        <f aca="false">IFERROR(N807/W807,0)</f>
        <v>0</v>
      </c>
      <c r="Y807" s="68"/>
      <c r="Z807" s="57"/>
      <c r="AA807" s="69" t="str">
        <f aca="false">IF(OR(U807="",Y807="",Z807=""),"",IF(AND(U807&gt;Y807,-U807&lt;Z807),"Ok","Not Ok"))</f>
        <v/>
      </c>
      <c r="AB807" s="70"/>
    </row>
    <row r="808" customFormat="false" ht="12.8" hidden="false" customHeight="false" outlineLevel="0" collapsed="false">
      <c r="A808" s="48" t="n">
        <f aca="false">TB_audited!A791</f>
        <v>0</v>
      </c>
      <c r="B808" s="49"/>
      <c r="C808" s="50"/>
      <c r="D808" s="51" t="n">
        <f aca="false">TB_audited!B791</f>
        <v>0</v>
      </c>
      <c r="E808" s="52" t="n">
        <f aca="false">TB_audited!C791</f>
        <v>0</v>
      </c>
      <c r="F808" s="53" t="n">
        <f aca="false">TB_audited!D791</f>
        <v>0</v>
      </c>
      <c r="G808" s="54" t="n">
        <f aca="false">IF($D$8="Interim",TB_audited!G791,TB_audited!E791)</f>
        <v>0</v>
      </c>
      <c r="H808" s="55" t="str">
        <f aca="false">IFERROR(VLOOKUP($A808,RA_result!$B$3:$N$62,11,0),"")</f>
        <v/>
      </c>
      <c r="I808" s="55" t="str">
        <f aca="false">IFERROR(VLOOKUP($A808,RA_result!$B$3:$N$62,12,0),"")</f>
        <v/>
      </c>
      <c r="J808" s="55" t="str">
        <f aca="false">IFERROR(VLOOKUP($A808,RA_result!$B$3:$N$62,13,0),"")</f>
        <v/>
      </c>
      <c r="K808" s="56"/>
      <c r="L808" s="56"/>
      <c r="M808" s="57" t="n">
        <f aca="false">G808</f>
        <v>0</v>
      </c>
      <c r="N808" s="54" t="n">
        <f aca="false">G808-M808</f>
        <v>0</v>
      </c>
      <c r="O808" s="55" t="str">
        <f aca="false">IFERROR(VLOOKUP($A808,RA_result!$B$3:$N$62,7,0),"")</f>
        <v/>
      </c>
      <c r="P808" s="52" t="str">
        <f aca="false">IFERROR(VLOOKUP($A808,RA_result!$B$3:$N$62,9,0),"")</f>
        <v/>
      </c>
      <c r="Q808" s="52" t="str">
        <f aca="false">IFERROR(VLOOKUP($A808,RA_result!$B$3:$N$62,10,0),"")</f>
        <v/>
      </c>
      <c r="R808" s="58" t="s">
        <v>55</v>
      </c>
      <c r="S808" s="59" t="str">
        <f aca="false">IFERROR(VLOOKUP($A808,RA_result!$B$3:$N$62,4,0),"")</f>
        <v/>
      </c>
      <c r="T808" s="60" t="s">
        <v>56</v>
      </c>
      <c r="U808" s="59" t="str">
        <f aca="false">IFERROR(IF(VLOOKUP($A808,RA_result!$B$3:$N$62,6,0)="",S808*T808,VLOOKUP($A808,RA_result!$B$3:$N$62,6,0)),"")</f>
        <v/>
      </c>
      <c r="V808" s="61" t="s">
        <v>56</v>
      </c>
      <c r="W808" s="62" t="n">
        <f aca="false">IFERROR((S808*30%)/V808,0)</f>
        <v>0</v>
      </c>
      <c r="X808" s="63" t="n">
        <f aca="false">IFERROR(N808/W808,0)</f>
        <v>0</v>
      </c>
      <c r="Y808" s="68"/>
      <c r="Z808" s="57"/>
      <c r="AA808" s="69" t="str">
        <f aca="false">IF(OR(U808="",Y808="",Z808=""),"",IF(AND(U808&gt;Y808,-U808&lt;Z808),"Ok","Not Ok"))</f>
        <v/>
      </c>
      <c r="AB808" s="70"/>
    </row>
    <row r="809" customFormat="false" ht="12.8" hidden="false" customHeight="false" outlineLevel="0" collapsed="false">
      <c r="A809" s="48" t="n">
        <f aca="false">TB_audited!A792</f>
        <v>0</v>
      </c>
      <c r="B809" s="49"/>
      <c r="C809" s="50"/>
      <c r="D809" s="51" t="n">
        <f aca="false">TB_audited!B792</f>
        <v>0</v>
      </c>
      <c r="E809" s="52" t="n">
        <f aca="false">TB_audited!C792</f>
        <v>0</v>
      </c>
      <c r="F809" s="53" t="n">
        <f aca="false">TB_audited!D792</f>
        <v>0</v>
      </c>
      <c r="G809" s="54" t="n">
        <f aca="false">IF($D$8="Interim",TB_audited!G792,TB_audited!E792)</f>
        <v>0</v>
      </c>
      <c r="H809" s="55" t="str">
        <f aca="false">IFERROR(VLOOKUP($A809,RA_result!$B$3:$N$62,11,0),"")</f>
        <v/>
      </c>
      <c r="I809" s="55" t="str">
        <f aca="false">IFERROR(VLOOKUP($A809,RA_result!$B$3:$N$62,12,0),"")</f>
        <v/>
      </c>
      <c r="J809" s="55" t="str">
        <f aca="false">IFERROR(VLOOKUP($A809,RA_result!$B$3:$N$62,13,0),"")</f>
        <v/>
      </c>
      <c r="K809" s="56"/>
      <c r="L809" s="56"/>
      <c r="M809" s="57" t="n">
        <f aca="false">G809</f>
        <v>0</v>
      </c>
      <c r="N809" s="54" t="n">
        <f aca="false">G809-M809</f>
        <v>0</v>
      </c>
      <c r="O809" s="55" t="str">
        <f aca="false">IFERROR(VLOOKUP($A809,RA_result!$B$3:$N$62,7,0),"")</f>
        <v/>
      </c>
      <c r="P809" s="52" t="str">
        <f aca="false">IFERROR(VLOOKUP($A809,RA_result!$B$3:$N$62,9,0),"")</f>
        <v/>
      </c>
      <c r="Q809" s="52" t="str">
        <f aca="false">IFERROR(VLOOKUP($A809,RA_result!$B$3:$N$62,10,0),"")</f>
        <v/>
      </c>
      <c r="R809" s="58" t="s">
        <v>55</v>
      </c>
      <c r="S809" s="59" t="str">
        <f aca="false">IFERROR(VLOOKUP($A809,RA_result!$B$3:$N$62,4,0),"")</f>
        <v/>
      </c>
      <c r="T809" s="60" t="s">
        <v>56</v>
      </c>
      <c r="U809" s="59" t="str">
        <f aca="false">IFERROR(IF(VLOOKUP($A809,RA_result!$B$3:$N$62,6,0)="",S809*T809,VLOOKUP($A809,RA_result!$B$3:$N$62,6,0)),"")</f>
        <v/>
      </c>
      <c r="V809" s="61" t="s">
        <v>56</v>
      </c>
      <c r="W809" s="62" t="n">
        <f aca="false">IFERROR((S809*30%)/V809,0)</f>
        <v>0</v>
      </c>
      <c r="X809" s="63" t="n">
        <f aca="false">IFERROR(N809/W809,0)</f>
        <v>0</v>
      </c>
      <c r="Y809" s="68"/>
      <c r="Z809" s="57"/>
      <c r="AA809" s="69" t="str">
        <f aca="false">IF(OR(U809="",Y809="",Z809=""),"",IF(AND(U809&gt;Y809,-U809&lt;Z809),"Ok","Not Ok"))</f>
        <v/>
      </c>
      <c r="AB809" s="70"/>
    </row>
    <row r="810" customFormat="false" ht="12.8" hidden="false" customHeight="false" outlineLevel="0" collapsed="false">
      <c r="A810" s="48" t="n">
        <f aca="false">TB_audited!A793</f>
        <v>0</v>
      </c>
      <c r="B810" s="49"/>
      <c r="C810" s="50"/>
      <c r="D810" s="51" t="n">
        <f aca="false">TB_audited!B793</f>
        <v>0</v>
      </c>
      <c r="E810" s="52" t="n">
        <f aca="false">TB_audited!C793</f>
        <v>0</v>
      </c>
      <c r="F810" s="53" t="n">
        <f aca="false">TB_audited!D793</f>
        <v>0</v>
      </c>
      <c r="G810" s="54" t="n">
        <f aca="false">IF($D$8="Interim",TB_audited!G793,TB_audited!E793)</f>
        <v>0</v>
      </c>
      <c r="H810" s="55" t="str">
        <f aca="false">IFERROR(VLOOKUP($A810,RA_result!$B$3:$N$62,11,0),"")</f>
        <v/>
      </c>
      <c r="I810" s="55" t="str">
        <f aca="false">IFERROR(VLOOKUP($A810,RA_result!$B$3:$N$62,12,0),"")</f>
        <v/>
      </c>
      <c r="J810" s="55" t="str">
        <f aca="false">IFERROR(VLOOKUP($A810,RA_result!$B$3:$N$62,13,0),"")</f>
        <v/>
      </c>
      <c r="K810" s="56"/>
      <c r="L810" s="56"/>
      <c r="M810" s="57" t="n">
        <f aca="false">G810</f>
        <v>0</v>
      </c>
      <c r="N810" s="54" t="n">
        <f aca="false">G810-M810</f>
        <v>0</v>
      </c>
      <c r="O810" s="55" t="str">
        <f aca="false">IFERROR(VLOOKUP($A810,RA_result!$B$3:$N$62,7,0),"")</f>
        <v/>
      </c>
      <c r="P810" s="52" t="str">
        <f aca="false">IFERROR(VLOOKUP($A810,RA_result!$B$3:$N$62,9,0),"")</f>
        <v/>
      </c>
      <c r="Q810" s="52" t="str">
        <f aca="false">IFERROR(VLOOKUP($A810,RA_result!$B$3:$N$62,10,0),"")</f>
        <v/>
      </c>
      <c r="R810" s="58" t="s">
        <v>55</v>
      </c>
      <c r="S810" s="59" t="str">
        <f aca="false">IFERROR(VLOOKUP($A810,RA_result!$B$3:$N$62,4,0),"")</f>
        <v/>
      </c>
      <c r="T810" s="60" t="s">
        <v>56</v>
      </c>
      <c r="U810" s="59" t="str">
        <f aca="false">IFERROR(IF(VLOOKUP($A810,RA_result!$B$3:$N$62,6,0)="",S810*T810,VLOOKUP($A810,RA_result!$B$3:$N$62,6,0)),"")</f>
        <v/>
      </c>
      <c r="V810" s="61" t="s">
        <v>56</v>
      </c>
      <c r="W810" s="62" t="n">
        <f aca="false">IFERROR((S810*30%)/V810,0)</f>
        <v>0</v>
      </c>
      <c r="X810" s="63" t="n">
        <f aca="false">IFERROR(N810/W810,0)</f>
        <v>0</v>
      </c>
      <c r="Y810" s="68"/>
      <c r="Z810" s="57"/>
      <c r="AA810" s="69" t="str">
        <f aca="false">IF(OR(U810="",Y810="",Z810=""),"",IF(AND(U810&gt;Y810,-U810&lt;Z810),"Ok","Not Ok"))</f>
        <v/>
      </c>
      <c r="AB810" s="70"/>
    </row>
    <row r="811" customFormat="false" ht="12.8" hidden="false" customHeight="false" outlineLevel="0" collapsed="false">
      <c r="A811" s="48" t="n">
        <f aca="false">TB_audited!A794</f>
        <v>0</v>
      </c>
      <c r="B811" s="49"/>
      <c r="C811" s="50"/>
      <c r="D811" s="51" t="n">
        <f aca="false">TB_audited!B794</f>
        <v>0</v>
      </c>
      <c r="E811" s="52" t="n">
        <f aca="false">TB_audited!C794</f>
        <v>0</v>
      </c>
      <c r="F811" s="53" t="n">
        <f aca="false">TB_audited!D794</f>
        <v>0</v>
      </c>
      <c r="G811" s="54" t="n">
        <f aca="false">IF($D$8="Interim",TB_audited!G794,TB_audited!E794)</f>
        <v>0</v>
      </c>
      <c r="H811" s="55" t="str">
        <f aca="false">IFERROR(VLOOKUP($A811,RA_result!$B$3:$N$62,11,0),"")</f>
        <v/>
      </c>
      <c r="I811" s="55" t="str">
        <f aca="false">IFERROR(VLOOKUP($A811,RA_result!$B$3:$N$62,12,0),"")</f>
        <v/>
      </c>
      <c r="J811" s="55" t="str">
        <f aca="false">IFERROR(VLOOKUP($A811,RA_result!$B$3:$N$62,13,0),"")</f>
        <v/>
      </c>
      <c r="K811" s="56"/>
      <c r="L811" s="56"/>
      <c r="M811" s="57" t="n">
        <f aca="false">G811</f>
        <v>0</v>
      </c>
      <c r="N811" s="54" t="n">
        <f aca="false">G811-M811</f>
        <v>0</v>
      </c>
      <c r="O811" s="55" t="str">
        <f aca="false">IFERROR(VLOOKUP($A811,RA_result!$B$3:$N$62,7,0),"")</f>
        <v/>
      </c>
      <c r="P811" s="52" t="str">
        <f aca="false">IFERROR(VLOOKUP($A811,RA_result!$B$3:$N$62,9,0),"")</f>
        <v/>
      </c>
      <c r="Q811" s="52" t="str">
        <f aca="false">IFERROR(VLOOKUP($A811,RA_result!$B$3:$N$62,10,0),"")</f>
        <v/>
      </c>
      <c r="R811" s="58" t="s">
        <v>55</v>
      </c>
      <c r="S811" s="59" t="str">
        <f aca="false">IFERROR(VLOOKUP($A811,RA_result!$B$3:$N$62,4,0),"")</f>
        <v/>
      </c>
      <c r="T811" s="60" t="s">
        <v>56</v>
      </c>
      <c r="U811" s="59" t="str">
        <f aca="false">IFERROR(IF(VLOOKUP($A811,RA_result!$B$3:$N$62,6,0)="",S811*T811,VLOOKUP($A811,RA_result!$B$3:$N$62,6,0)),"")</f>
        <v/>
      </c>
      <c r="V811" s="61" t="s">
        <v>56</v>
      </c>
      <c r="W811" s="62" t="n">
        <f aca="false">IFERROR((S811*30%)/V811,0)</f>
        <v>0</v>
      </c>
      <c r="X811" s="63" t="n">
        <f aca="false">IFERROR(N811/W811,0)</f>
        <v>0</v>
      </c>
      <c r="Y811" s="68"/>
      <c r="Z811" s="57"/>
      <c r="AA811" s="69" t="str">
        <f aca="false">IF(OR(U811="",Y811="",Z811=""),"",IF(AND(U811&gt;Y811,-U811&lt;Z811),"Ok","Not Ok"))</f>
        <v/>
      </c>
      <c r="AB811" s="70"/>
    </row>
    <row r="812" customFormat="false" ht="12.8" hidden="false" customHeight="false" outlineLevel="0" collapsed="false">
      <c r="A812" s="48" t="n">
        <f aca="false">TB_audited!A795</f>
        <v>0</v>
      </c>
      <c r="B812" s="49"/>
      <c r="C812" s="50"/>
      <c r="D812" s="51" t="n">
        <f aca="false">TB_audited!B795</f>
        <v>0</v>
      </c>
      <c r="E812" s="52" t="n">
        <f aca="false">TB_audited!C795</f>
        <v>0</v>
      </c>
      <c r="F812" s="53" t="n">
        <f aca="false">TB_audited!D795</f>
        <v>0</v>
      </c>
      <c r="G812" s="54" t="n">
        <f aca="false">IF($D$8="Interim",TB_audited!G795,TB_audited!E795)</f>
        <v>0</v>
      </c>
      <c r="H812" s="55" t="str">
        <f aca="false">IFERROR(VLOOKUP($A812,RA_result!$B$3:$N$62,11,0),"")</f>
        <v/>
      </c>
      <c r="I812" s="55" t="str">
        <f aca="false">IFERROR(VLOOKUP($A812,RA_result!$B$3:$N$62,12,0),"")</f>
        <v/>
      </c>
      <c r="J812" s="55" t="str">
        <f aca="false">IFERROR(VLOOKUP($A812,RA_result!$B$3:$N$62,13,0),"")</f>
        <v/>
      </c>
      <c r="K812" s="56"/>
      <c r="L812" s="56"/>
      <c r="M812" s="57" t="n">
        <f aca="false">G812</f>
        <v>0</v>
      </c>
      <c r="N812" s="54" t="n">
        <f aca="false">G812-M812</f>
        <v>0</v>
      </c>
      <c r="O812" s="55" t="str">
        <f aca="false">IFERROR(VLOOKUP($A812,RA_result!$B$3:$N$62,7,0),"")</f>
        <v/>
      </c>
      <c r="P812" s="52" t="str">
        <f aca="false">IFERROR(VLOOKUP($A812,RA_result!$B$3:$N$62,9,0),"")</f>
        <v/>
      </c>
      <c r="Q812" s="52" t="str">
        <f aca="false">IFERROR(VLOOKUP($A812,RA_result!$B$3:$N$62,10,0),"")</f>
        <v/>
      </c>
      <c r="R812" s="58" t="s">
        <v>55</v>
      </c>
      <c r="S812" s="59" t="str">
        <f aca="false">IFERROR(VLOOKUP($A812,RA_result!$B$3:$N$62,4,0),"")</f>
        <v/>
      </c>
      <c r="T812" s="60" t="s">
        <v>56</v>
      </c>
      <c r="U812" s="59" t="str">
        <f aca="false">IFERROR(IF(VLOOKUP($A812,RA_result!$B$3:$N$62,6,0)="",S812*T812,VLOOKUP($A812,RA_result!$B$3:$N$62,6,0)),"")</f>
        <v/>
      </c>
      <c r="V812" s="61" t="s">
        <v>56</v>
      </c>
      <c r="W812" s="62" t="n">
        <f aca="false">IFERROR((S812*30%)/V812,0)</f>
        <v>0</v>
      </c>
      <c r="X812" s="63" t="n">
        <f aca="false">IFERROR(N812/W812,0)</f>
        <v>0</v>
      </c>
      <c r="Y812" s="68"/>
      <c r="Z812" s="57"/>
      <c r="AA812" s="69" t="str">
        <f aca="false">IF(OR(U812="",Y812="",Z812=""),"",IF(AND(U812&gt;Y812,-U812&lt;Z812),"Ok","Not Ok"))</f>
        <v/>
      </c>
      <c r="AB812" s="70"/>
    </row>
    <row r="813" customFormat="false" ht="12.8" hidden="false" customHeight="false" outlineLevel="0" collapsed="false">
      <c r="A813" s="48" t="n">
        <f aca="false">TB_audited!A796</f>
        <v>0</v>
      </c>
      <c r="B813" s="49"/>
      <c r="C813" s="50"/>
      <c r="D813" s="51" t="n">
        <f aca="false">TB_audited!B796</f>
        <v>0</v>
      </c>
      <c r="E813" s="52" t="n">
        <f aca="false">TB_audited!C796</f>
        <v>0</v>
      </c>
      <c r="F813" s="53" t="n">
        <f aca="false">TB_audited!D796</f>
        <v>0</v>
      </c>
      <c r="G813" s="54" t="n">
        <f aca="false">IF($D$8="Interim",TB_audited!G796,TB_audited!E796)</f>
        <v>0</v>
      </c>
      <c r="H813" s="55" t="str">
        <f aca="false">IFERROR(VLOOKUP($A813,RA_result!$B$3:$N$62,11,0),"")</f>
        <v/>
      </c>
      <c r="I813" s="55" t="str">
        <f aca="false">IFERROR(VLOOKUP($A813,RA_result!$B$3:$N$62,12,0),"")</f>
        <v/>
      </c>
      <c r="J813" s="55" t="str">
        <f aca="false">IFERROR(VLOOKUP($A813,RA_result!$B$3:$N$62,13,0),"")</f>
        <v/>
      </c>
      <c r="K813" s="56"/>
      <c r="L813" s="56"/>
      <c r="M813" s="57" t="n">
        <f aca="false">G813</f>
        <v>0</v>
      </c>
      <c r="N813" s="54" t="n">
        <f aca="false">G813-M813</f>
        <v>0</v>
      </c>
      <c r="O813" s="55" t="str">
        <f aca="false">IFERROR(VLOOKUP($A813,RA_result!$B$3:$N$62,7,0),"")</f>
        <v/>
      </c>
      <c r="P813" s="52" t="str">
        <f aca="false">IFERROR(VLOOKUP($A813,RA_result!$B$3:$N$62,9,0),"")</f>
        <v/>
      </c>
      <c r="Q813" s="52" t="str">
        <f aca="false">IFERROR(VLOOKUP($A813,RA_result!$B$3:$N$62,10,0),"")</f>
        <v/>
      </c>
      <c r="R813" s="58" t="s">
        <v>55</v>
      </c>
      <c r="S813" s="59" t="str">
        <f aca="false">IFERROR(VLOOKUP($A813,RA_result!$B$3:$N$62,4,0),"")</f>
        <v/>
      </c>
      <c r="T813" s="60" t="s">
        <v>56</v>
      </c>
      <c r="U813" s="59" t="str">
        <f aca="false">IFERROR(IF(VLOOKUP($A813,RA_result!$B$3:$N$62,6,0)="",S813*T813,VLOOKUP($A813,RA_result!$B$3:$N$62,6,0)),"")</f>
        <v/>
      </c>
      <c r="V813" s="61" t="s">
        <v>56</v>
      </c>
      <c r="W813" s="62" t="n">
        <f aca="false">IFERROR((S813*30%)/V813,0)</f>
        <v>0</v>
      </c>
      <c r="X813" s="63" t="n">
        <f aca="false">IFERROR(N813/W813,0)</f>
        <v>0</v>
      </c>
      <c r="Y813" s="68"/>
      <c r="Z813" s="57"/>
      <c r="AA813" s="69" t="str">
        <f aca="false">IF(OR(U813="",Y813="",Z813=""),"",IF(AND(U813&gt;Y813,-U813&lt;Z813),"Ok","Not Ok"))</f>
        <v/>
      </c>
      <c r="AB813" s="70"/>
    </row>
    <row r="814" customFormat="false" ht="12.8" hidden="false" customHeight="false" outlineLevel="0" collapsed="false">
      <c r="A814" s="48" t="n">
        <f aca="false">TB_audited!A797</f>
        <v>0</v>
      </c>
      <c r="B814" s="49"/>
      <c r="C814" s="50"/>
      <c r="D814" s="51" t="n">
        <f aca="false">TB_audited!B797</f>
        <v>0</v>
      </c>
      <c r="E814" s="52" t="n">
        <f aca="false">TB_audited!C797</f>
        <v>0</v>
      </c>
      <c r="F814" s="53" t="n">
        <f aca="false">TB_audited!D797</f>
        <v>0</v>
      </c>
      <c r="G814" s="54" t="n">
        <f aca="false">IF($D$8="Interim",TB_audited!G797,TB_audited!E797)</f>
        <v>0</v>
      </c>
      <c r="H814" s="55" t="str">
        <f aca="false">IFERROR(VLOOKUP($A814,RA_result!$B$3:$N$62,11,0),"")</f>
        <v/>
      </c>
      <c r="I814" s="55" t="str">
        <f aca="false">IFERROR(VLOOKUP($A814,RA_result!$B$3:$N$62,12,0),"")</f>
        <v/>
      </c>
      <c r="J814" s="55" t="str">
        <f aca="false">IFERROR(VLOOKUP($A814,RA_result!$B$3:$N$62,13,0),"")</f>
        <v/>
      </c>
      <c r="K814" s="56"/>
      <c r="L814" s="56"/>
      <c r="M814" s="57" t="n">
        <f aca="false">G814</f>
        <v>0</v>
      </c>
      <c r="N814" s="54" t="n">
        <f aca="false">G814-M814</f>
        <v>0</v>
      </c>
      <c r="O814" s="55" t="str">
        <f aca="false">IFERROR(VLOOKUP($A814,RA_result!$B$3:$N$62,7,0),"")</f>
        <v/>
      </c>
      <c r="P814" s="52" t="str">
        <f aca="false">IFERROR(VLOOKUP($A814,RA_result!$B$3:$N$62,9,0),"")</f>
        <v/>
      </c>
      <c r="Q814" s="52" t="str">
        <f aca="false">IFERROR(VLOOKUP($A814,RA_result!$B$3:$N$62,10,0),"")</f>
        <v/>
      </c>
      <c r="R814" s="58" t="s">
        <v>55</v>
      </c>
      <c r="S814" s="59" t="str">
        <f aca="false">IFERROR(VLOOKUP($A814,RA_result!$B$3:$N$62,4,0),"")</f>
        <v/>
      </c>
      <c r="T814" s="60" t="s">
        <v>56</v>
      </c>
      <c r="U814" s="59" t="str">
        <f aca="false">IFERROR(IF(VLOOKUP($A814,RA_result!$B$3:$N$62,6,0)="",S814*T814,VLOOKUP($A814,RA_result!$B$3:$N$62,6,0)),"")</f>
        <v/>
      </c>
      <c r="V814" s="61" t="s">
        <v>56</v>
      </c>
      <c r="W814" s="62" t="n">
        <f aca="false">IFERROR((S814*30%)/V814,0)</f>
        <v>0</v>
      </c>
      <c r="X814" s="63" t="n">
        <f aca="false">IFERROR(N814/W814,0)</f>
        <v>0</v>
      </c>
      <c r="Y814" s="68"/>
      <c r="Z814" s="57"/>
      <c r="AA814" s="69" t="str">
        <f aca="false">IF(OR(U814="",Y814="",Z814=""),"",IF(AND(U814&gt;Y814,-U814&lt;Z814),"Ok","Not Ok"))</f>
        <v/>
      </c>
      <c r="AB814" s="70"/>
    </row>
    <row r="815" customFormat="false" ht="12.8" hidden="false" customHeight="false" outlineLevel="0" collapsed="false">
      <c r="A815" s="48" t="n">
        <f aca="false">TB_audited!A798</f>
        <v>0</v>
      </c>
      <c r="B815" s="49"/>
      <c r="C815" s="50"/>
      <c r="D815" s="51" t="n">
        <f aca="false">TB_audited!B798</f>
        <v>0</v>
      </c>
      <c r="E815" s="52" t="n">
        <f aca="false">TB_audited!C798</f>
        <v>0</v>
      </c>
      <c r="F815" s="53" t="n">
        <f aca="false">TB_audited!D798</f>
        <v>0</v>
      </c>
      <c r="G815" s="54" t="n">
        <f aca="false">IF($D$8="Interim",TB_audited!G798,TB_audited!E798)</f>
        <v>0</v>
      </c>
      <c r="H815" s="55" t="str">
        <f aca="false">IFERROR(VLOOKUP($A815,RA_result!$B$3:$N$62,11,0),"")</f>
        <v/>
      </c>
      <c r="I815" s="55" t="str">
        <f aca="false">IFERROR(VLOOKUP($A815,RA_result!$B$3:$N$62,12,0),"")</f>
        <v/>
      </c>
      <c r="J815" s="55" t="str">
        <f aca="false">IFERROR(VLOOKUP($A815,RA_result!$B$3:$N$62,13,0),"")</f>
        <v/>
      </c>
      <c r="K815" s="56"/>
      <c r="L815" s="56"/>
      <c r="M815" s="57" t="n">
        <f aca="false">G815</f>
        <v>0</v>
      </c>
      <c r="N815" s="54" t="n">
        <f aca="false">G815-M815</f>
        <v>0</v>
      </c>
      <c r="O815" s="55" t="str">
        <f aca="false">IFERROR(VLOOKUP($A815,RA_result!$B$3:$N$62,7,0),"")</f>
        <v/>
      </c>
      <c r="P815" s="52" t="str">
        <f aca="false">IFERROR(VLOOKUP($A815,RA_result!$B$3:$N$62,9,0),"")</f>
        <v/>
      </c>
      <c r="Q815" s="52" t="str">
        <f aca="false">IFERROR(VLOOKUP($A815,RA_result!$B$3:$N$62,10,0),"")</f>
        <v/>
      </c>
      <c r="R815" s="58" t="s">
        <v>55</v>
      </c>
      <c r="S815" s="59" t="str">
        <f aca="false">IFERROR(VLOOKUP($A815,RA_result!$B$3:$N$62,4,0),"")</f>
        <v/>
      </c>
      <c r="T815" s="60" t="s">
        <v>56</v>
      </c>
      <c r="U815" s="59" t="str">
        <f aca="false">IFERROR(IF(VLOOKUP($A815,RA_result!$B$3:$N$62,6,0)="",S815*T815,VLOOKUP($A815,RA_result!$B$3:$N$62,6,0)),"")</f>
        <v/>
      </c>
      <c r="V815" s="61" t="s">
        <v>56</v>
      </c>
      <c r="W815" s="62" t="n">
        <f aca="false">IFERROR((S815*30%)/V815,0)</f>
        <v>0</v>
      </c>
      <c r="X815" s="63" t="n">
        <f aca="false">IFERROR(N815/W815,0)</f>
        <v>0</v>
      </c>
      <c r="Y815" s="68"/>
      <c r="Z815" s="57"/>
      <c r="AA815" s="69" t="str">
        <f aca="false">IF(OR(U815="",Y815="",Z815=""),"",IF(AND(U815&gt;Y815,-U815&lt;Z815),"Ok","Not Ok"))</f>
        <v/>
      </c>
      <c r="AB815" s="70"/>
    </row>
    <row r="816" customFormat="false" ht="12.8" hidden="false" customHeight="false" outlineLevel="0" collapsed="false">
      <c r="A816" s="48" t="n">
        <f aca="false">TB_audited!A799</f>
        <v>0</v>
      </c>
      <c r="B816" s="49"/>
      <c r="C816" s="50"/>
      <c r="D816" s="51" t="n">
        <f aca="false">TB_audited!B799</f>
        <v>0</v>
      </c>
      <c r="E816" s="52" t="n">
        <f aca="false">TB_audited!C799</f>
        <v>0</v>
      </c>
      <c r="F816" s="53" t="n">
        <f aca="false">TB_audited!D799</f>
        <v>0</v>
      </c>
      <c r="G816" s="54" t="n">
        <f aca="false">IF($D$8="Interim",TB_audited!G799,TB_audited!E799)</f>
        <v>0</v>
      </c>
      <c r="H816" s="55" t="str">
        <f aca="false">IFERROR(VLOOKUP($A816,RA_result!$B$3:$N$62,11,0),"")</f>
        <v/>
      </c>
      <c r="I816" s="55" t="str">
        <f aca="false">IFERROR(VLOOKUP($A816,RA_result!$B$3:$N$62,12,0),"")</f>
        <v/>
      </c>
      <c r="J816" s="55" t="str">
        <f aca="false">IFERROR(VLOOKUP($A816,RA_result!$B$3:$N$62,13,0),"")</f>
        <v/>
      </c>
      <c r="K816" s="56"/>
      <c r="L816" s="56"/>
      <c r="M816" s="57" t="n">
        <f aca="false">G816</f>
        <v>0</v>
      </c>
      <c r="N816" s="54" t="n">
        <f aca="false">G816-M816</f>
        <v>0</v>
      </c>
      <c r="O816" s="55" t="str">
        <f aca="false">IFERROR(VLOOKUP($A816,RA_result!$B$3:$N$62,7,0),"")</f>
        <v/>
      </c>
      <c r="P816" s="52" t="str">
        <f aca="false">IFERROR(VLOOKUP($A816,RA_result!$B$3:$N$62,9,0),"")</f>
        <v/>
      </c>
      <c r="Q816" s="52" t="str">
        <f aca="false">IFERROR(VLOOKUP($A816,RA_result!$B$3:$N$62,10,0),"")</f>
        <v/>
      </c>
      <c r="R816" s="58" t="s">
        <v>55</v>
      </c>
      <c r="S816" s="59" t="str">
        <f aca="false">IFERROR(VLOOKUP($A816,RA_result!$B$3:$N$62,4,0),"")</f>
        <v/>
      </c>
      <c r="T816" s="60" t="s">
        <v>56</v>
      </c>
      <c r="U816" s="59" t="str">
        <f aca="false">IFERROR(IF(VLOOKUP($A816,RA_result!$B$3:$N$62,6,0)="",S816*T816,VLOOKUP($A816,RA_result!$B$3:$N$62,6,0)),"")</f>
        <v/>
      </c>
      <c r="V816" s="61" t="s">
        <v>56</v>
      </c>
      <c r="W816" s="62" t="n">
        <f aca="false">IFERROR((S816*30%)/V816,0)</f>
        <v>0</v>
      </c>
      <c r="X816" s="63" t="n">
        <f aca="false">IFERROR(N816/W816,0)</f>
        <v>0</v>
      </c>
      <c r="Y816" s="68"/>
      <c r="Z816" s="57"/>
      <c r="AA816" s="69" t="str">
        <f aca="false">IF(OR(U816="",Y816="",Z816=""),"",IF(AND(U816&gt;Y816,-U816&lt;Z816),"Ok","Not Ok"))</f>
        <v/>
      </c>
      <c r="AB816" s="70"/>
    </row>
    <row r="817" customFormat="false" ht="12.8" hidden="false" customHeight="false" outlineLevel="0" collapsed="false">
      <c r="A817" s="48" t="n">
        <f aca="false">TB_audited!A800</f>
        <v>0</v>
      </c>
      <c r="B817" s="49"/>
      <c r="C817" s="50"/>
      <c r="D817" s="51" t="n">
        <f aca="false">TB_audited!B800</f>
        <v>0</v>
      </c>
      <c r="E817" s="52" t="n">
        <f aca="false">TB_audited!C800</f>
        <v>0</v>
      </c>
      <c r="F817" s="53" t="n">
        <f aca="false">TB_audited!D800</f>
        <v>0</v>
      </c>
      <c r="G817" s="54" t="n">
        <f aca="false">IF($D$8="Interim",TB_audited!G800,TB_audited!E800)</f>
        <v>0</v>
      </c>
      <c r="H817" s="55" t="str">
        <f aca="false">IFERROR(VLOOKUP($A817,RA_result!$B$3:$N$62,11,0),"")</f>
        <v/>
      </c>
      <c r="I817" s="55" t="str">
        <f aca="false">IFERROR(VLOOKUP($A817,RA_result!$B$3:$N$62,12,0),"")</f>
        <v/>
      </c>
      <c r="J817" s="55" t="str">
        <f aca="false">IFERROR(VLOOKUP($A817,RA_result!$B$3:$N$62,13,0),"")</f>
        <v/>
      </c>
      <c r="K817" s="56"/>
      <c r="L817" s="56"/>
      <c r="M817" s="57" t="n">
        <f aca="false">G817</f>
        <v>0</v>
      </c>
      <c r="N817" s="54" t="n">
        <f aca="false">G817-M817</f>
        <v>0</v>
      </c>
      <c r="O817" s="55" t="str">
        <f aca="false">IFERROR(VLOOKUP($A817,RA_result!$B$3:$N$62,7,0),"")</f>
        <v/>
      </c>
      <c r="P817" s="52" t="str">
        <f aca="false">IFERROR(VLOOKUP($A817,RA_result!$B$3:$N$62,9,0),"")</f>
        <v/>
      </c>
      <c r="Q817" s="52" t="str">
        <f aca="false">IFERROR(VLOOKUP($A817,RA_result!$B$3:$N$62,10,0),"")</f>
        <v/>
      </c>
      <c r="R817" s="58" t="s">
        <v>55</v>
      </c>
      <c r="S817" s="59" t="str">
        <f aca="false">IFERROR(VLOOKUP($A817,RA_result!$B$3:$N$62,4,0),"")</f>
        <v/>
      </c>
      <c r="T817" s="60" t="s">
        <v>56</v>
      </c>
      <c r="U817" s="59" t="str">
        <f aca="false">IFERROR(IF(VLOOKUP($A817,RA_result!$B$3:$N$62,6,0)="",S817*T817,VLOOKUP($A817,RA_result!$B$3:$N$62,6,0)),"")</f>
        <v/>
      </c>
      <c r="V817" s="61" t="s">
        <v>56</v>
      </c>
      <c r="W817" s="62" t="n">
        <f aca="false">IFERROR((S817*30%)/V817,0)</f>
        <v>0</v>
      </c>
      <c r="X817" s="63" t="n">
        <f aca="false">IFERROR(N817/W817,0)</f>
        <v>0</v>
      </c>
      <c r="Y817" s="68"/>
      <c r="Z817" s="57"/>
      <c r="AA817" s="69" t="str">
        <f aca="false">IF(OR(U817="",Y817="",Z817=""),"",IF(AND(U817&gt;Y817,-U817&lt;Z817),"Ok","Not Ok"))</f>
        <v/>
      </c>
      <c r="AB817" s="70"/>
    </row>
    <row r="818" customFormat="false" ht="12.8" hidden="false" customHeight="false" outlineLevel="0" collapsed="false">
      <c r="A818" s="48" t="n">
        <f aca="false">TB_audited!A801</f>
        <v>0</v>
      </c>
      <c r="B818" s="49"/>
      <c r="C818" s="50"/>
      <c r="D818" s="51" t="n">
        <f aca="false">TB_audited!B801</f>
        <v>0</v>
      </c>
      <c r="E818" s="52" t="n">
        <f aca="false">TB_audited!C801</f>
        <v>0</v>
      </c>
      <c r="F818" s="53" t="n">
        <f aca="false">TB_audited!D801</f>
        <v>0</v>
      </c>
      <c r="G818" s="54" t="n">
        <f aca="false">IF($D$8="Interim",TB_audited!G801,TB_audited!E801)</f>
        <v>0</v>
      </c>
      <c r="H818" s="55" t="str">
        <f aca="false">IFERROR(VLOOKUP($A818,RA_result!$B$3:$N$62,11,0),"")</f>
        <v/>
      </c>
      <c r="I818" s="55" t="str">
        <f aca="false">IFERROR(VLOOKUP($A818,RA_result!$B$3:$N$62,12,0),"")</f>
        <v/>
      </c>
      <c r="J818" s="55" t="str">
        <f aca="false">IFERROR(VLOOKUP($A818,RA_result!$B$3:$N$62,13,0),"")</f>
        <v/>
      </c>
      <c r="K818" s="56"/>
      <c r="L818" s="56"/>
      <c r="M818" s="57" t="n">
        <f aca="false">G818</f>
        <v>0</v>
      </c>
      <c r="N818" s="54" t="n">
        <f aca="false">G818-M818</f>
        <v>0</v>
      </c>
      <c r="O818" s="55" t="str">
        <f aca="false">IFERROR(VLOOKUP($A818,RA_result!$B$3:$N$62,7,0),"")</f>
        <v/>
      </c>
      <c r="P818" s="52" t="str">
        <f aca="false">IFERROR(VLOOKUP($A818,RA_result!$B$3:$N$62,9,0),"")</f>
        <v/>
      </c>
      <c r="Q818" s="52" t="str">
        <f aca="false">IFERROR(VLOOKUP($A818,RA_result!$B$3:$N$62,10,0),"")</f>
        <v/>
      </c>
      <c r="R818" s="58" t="s">
        <v>55</v>
      </c>
      <c r="S818" s="59" t="str">
        <f aca="false">IFERROR(VLOOKUP($A818,RA_result!$B$3:$N$62,4,0),"")</f>
        <v/>
      </c>
      <c r="T818" s="60" t="s">
        <v>56</v>
      </c>
      <c r="U818" s="59" t="str">
        <f aca="false">IFERROR(IF(VLOOKUP($A818,RA_result!$B$3:$N$62,6,0)="",S818*T818,VLOOKUP($A818,RA_result!$B$3:$N$62,6,0)),"")</f>
        <v/>
      </c>
      <c r="V818" s="61" t="s">
        <v>56</v>
      </c>
      <c r="W818" s="62" t="n">
        <f aca="false">IFERROR((S818*30%)/V818,0)</f>
        <v>0</v>
      </c>
      <c r="X818" s="63" t="n">
        <f aca="false">IFERROR(N818/W818,0)</f>
        <v>0</v>
      </c>
      <c r="Y818" s="68"/>
      <c r="Z818" s="57"/>
      <c r="AA818" s="69" t="str">
        <f aca="false">IF(OR(U818="",Y818="",Z818=""),"",IF(AND(U818&gt;Y818,-U818&lt;Z818),"Ok","Not Ok"))</f>
        <v/>
      </c>
      <c r="AB818" s="70"/>
    </row>
    <row r="819" customFormat="false" ht="12.8" hidden="false" customHeight="false" outlineLevel="0" collapsed="false">
      <c r="A819" s="48" t="n">
        <f aca="false">TB_audited!A802</f>
        <v>0</v>
      </c>
      <c r="B819" s="49"/>
      <c r="C819" s="50"/>
      <c r="D819" s="51" t="n">
        <f aca="false">TB_audited!B802</f>
        <v>0</v>
      </c>
      <c r="E819" s="52" t="n">
        <f aca="false">TB_audited!C802</f>
        <v>0</v>
      </c>
      <c r="F819" s="53" t="n">
        <f aca="false">TB_audited!D802</f>
        <v>0</v>
      </c>
      <c r="G819" s="54" t="n">
        <f aca="false">IF($D$8="Interim",TB_audited!G802,TB_audited!E802)</f>
        <v>0</v>
      </c>
      <c r="H819" s="55" t="str">
        <f aca="false">IFERROR(VLOOKUP($A819,RA_result!$B$3:$N$62,11,0),"")</f>
        <v/>
      </c>
      <c r="I819" s="55" t="str">
        <f aca="false">IFERROR(VLOOKUP($A819,RA_result!$B$3:$N$62,12,0),"")</f>
        <v/>
      </c>
      <c r="J819" s="55" t="str">
        <f aca="false">IFERROR(VLOOKUP($A819,RA_result!$B$3:$N$62,13,0),"")</f>
        <v/>
      </c>
      <c r="K819" s="56"/>
      <c r="L819" s="56"/>
      <c r="M819" s="57" t="n">
        <f aca="false">G819</f>
        <v>0</v>
      </c>
      <c r="N819" s="54" t="n">
        <f aca="false">G819-M819</f>
        <v>0</v>
      </c>
      <c r="O819" s="55" t="str">
        <f aca="false">IFERROR(VLOOKUP($A819,RA_result!$B$3:$N$62,7,0),"")</f>
        <v/>
      </c>
      <c r="P819" s="52" t="str">
        <f aca="false">IFERROR(VLOOKUP($A819,RA_result!$B$3:$N$62,9,0),"")</f>
        <v/>
      </c>
      <c r="Q819" s="52" t="str">
        <f aca="false">IFERROR(VLOOKUP($A819,RA_result!$B$3:$N$62,10,0),"")</f>
        <v/>
      </c>
      <c r="R819" s="58" t="s">
        <v>55</v>
      </c>
      <c r="S819" s="59" t="str">
        <f aca="false">IFERROR(VLOOKUP($A819,RA_result!$B$3:$N$62,4,0),"")</f>
        <v/>
      </c>
      <c r="T819" s="60" t="s">
        <v>56</v>
      </c>
      <c r="U819" s="59" t="str">
        <f aca="false">IFERROR(IF(VLOOKUP($A819,RA_result!$B$3:$N$62,6,0)="",S819*T819,VLOOKUP($A819,RA_result!$B$3:$N$62,6,0)),"")</f>
        <v/>
      </c>
      <c r="V819" s="61" t="s">
        <v>56</v>
      </c>
      <c r="W819" s="62" t="n">
        <f aca="false">IFERROR((S819*30%)/V819,0)</f>
        <v>0</v>
      </c>
      <c r="X819" s="63" t="n">
        <f aca="false">IFERROR(N819/W819,0)</f>
        <v>0</v>
      </c>
      <c r="Y819" s="68"/>
      <c r="Z819" s="57"/>
      <c r="AA819" s="69" t="str">
        <f aca="false">IF(OR(U819="",Y819="",Z819=""),"",IF(AND(U819&gt;Y819,-U819&lt;Z819),"Ok","Not Ok"))</f>
        <v/>
      </c>
      <c r="AB819" s="70"/>
    </row>
    <row r="820" customFormat="false" ht="12.8" hidden="false" customHeight="false" outlineLevel="0" collapsed="false">
      <c r="A820" s="48" t="n">
        <f aca="false">TB_audited!A803</f>
        <v>0</v>
      </c>
      <c r="B820" s="49"/>
      <c r="C820" s="50"/>
      <c r="D820" s="51" t="n">
        <f aca="false">TB_audited!B803</f>
        <v>0</v>
      </c>
      <c r="E820" s="52" t="n">
        <f aca="false">TB_audited!C803</f>
        <v>0</v>
      </c>
      <c r="F820" s="53" t="n">
        <f aca="false">TB_audited!D803</f>
        <v>0</v>
      </c>
      <c r="G820" s="54" t="n">
        <f aca="false">IF($D$8="Interim",TB_audited!G803,TB_audited!E803)</f>
        <v>0</v>
      </c>
      <c r="H820" s="55" t="str">
        <f aca="false">IFERROR(VLOOKUP($A820,RA_result!$B$3:$N$62,11,0),"")</f>
        <v/>
      </c>
      <c r="I820" s="55" t="str">
        <f aca="false">IFERROR(VLOOKUP($A820,RA_result!$B$3:$N$62,12,0),"")</f>
        <v/>
      </c>
      <c r="J820" s="55" t="str">
        <f aca="false">IFERROR(VLOOKUP($A820,RA_result!$B$3:$N$62,13,0),"")</f>
        <v/>
      </c>
      <c r="K820" s="56"/>
      <c r="L820" s="56"/>
      <c r="M820" s="57" t="n">
        <f aca="false">G820</f>
        <v>0</v>
      </c>
      <c r="N820" s="54" t="n">
        <f aca="false">G820-M820</f>
        <v>0</v>
      </c>
      <c r="O820" s="55" t="str">
        <f aca="false">IFERROR(VLOOKUP($A820,RA_result!$B$3:$N$62,7,0),"")</f>
        <v/>
      </c>
      <c r="P820" s="52" t="str">
        <f aca="false">IFERROR(VLOOKUP($A820,RA_result!$B$3:$N$62,9,0),"")</f>
        <v/>
      </c>
      <c r="Q820" s="52" t="str">
        <f aca="false">IFERROR(VLOOKUP($A820,RA_result!$B$3:$N$62,10,0),"")</f>
        <v/>
      </c>
      <c r="R820" s="58" t="s">
        <v>55</v>
      </c>
      <c r="S820" s="59" t="str">
        <f aca="false">IFERROR(VLOOKUP($A820,RA_result!$B$3:$N$62,4,0),"")</f>
        <v/>
      </c>
      <c r="T820" s="60" t="s">
        <v>56</v>
      </c>
      <c r="U820" s="59" t="str">
        <f aca="false">IFERROR(IF(VLOOKUP($A820,RA_result!$B$3:$N$62,6,0)="",S820*T820,VLOOKUP($A820,RA_result!$B$3:$N$62,6,0)),"")</f>
        <v/>
      </c>
      <c r="V820" s="61" t="s">
        <v>56</v>
      </c>
      <c r="W820" s="62" t="n">
        <f aca="false">IFERROR((S820*30%)/V820,0)</f>
        <v>0</v>
      </c>
      <c r="X820" s="63" t="n">
        <f aca="false">IFERROR(N820/W820,0)</f>
        <v>0</v>
      </c>
      <c r="Y820" s="68"/>
      <c r="Z820" s="57"/>
      <c r="AA820" s="69" t="str">
        <f aca="false">IF(OR(U820="",Y820="",Z820=""),"",IF(AND(U820&gt;Y820,-U820&lt;Z820),"Ok","Not Ok"))</f>
        <v/>
      </c>
      <c r="AB820" s="70"/>
    </row>
    <row r="821" customFormat="false" ht="12.8" hidden="false" customHeight="false" outlineLevel="0" collapsed="false">
      <c r="A821" s="48" t="n">
        <f aca="false">TB_audited!A804</f>
        <v>0</v>
      </c>
      <c r="B821" s="49"/>
      <c r="C821" s="50"/>
      <c r="D821" s="51" t="n">
        <f aca="false">TB_audited!B804</f>
        <v>0</v>
      </c>
      <c r="E821" s="52" t="n">
        <f aca="false">TB_audited!C804</f>
        <v>0</v>
      </c>
      <c r="F821" s="53" t="n">
        <f aca="false">TB_audited!D804</f>
        <v>0</v>
      </c>
      <c r="G821" s="54" t="n">
        <f aca="false">IF($D$8="Interim",TB_audited!G804,TB_audited!E804)</f>
        <v>0</v>
      </c>
      <c r="H821" s="55" t="str">
        <f aca="false">IFERROR(VLOOKUP($A821,RA_result!$B$3:$N$62,11,0),"")</f>
        <v/>
      </c>
      <c r="I821" s="55" t="str">
        <f aca="false">IFERROR(VLOOKUP($A821,RA_result!$B$3:$N$62,12,0),"")</f>
        <v/>
      </c>
      <c r="J821" s="55" t="str">
        <f aca="false">IFERROR(VLOOKUP($A821,RA_result!$B$3:$N$62,13,0),"")</f>
        <v/>
      </c>
      <c r="K821" s="56"/>
      <c r="L821" s="56"/>
      <c r="M821" s="57" t="n">
        <f aca="false">G821</f>
        <v>0</v>
      </c>
      <c r="N821" s="54" t="n">
        <f aca="false">G821-M821</f>
        <v>0</v>
      </c>
      <c r="O821" s="55" t="str">
        <f aca="false">IFERROR(VLOOKUP($A821,RA_result!$B$3:$N$62,7,0),"")</f>
        <v/>
      </c>
      <c r="P821" s="52" t="str">
        <f aca="false">IFERROR(VLOOKUP($A821,RA_result!$B$3:$N$62,9,0),"")</f>
        <v/>
      </c>
      <c r="Q821" s="52" t="str">
        <f aca="false">IFERROR(VLOOKUP($A821,RA_result!$B$3:$N$62,10,0),"")</f>
        <v/>
      </c>
      <c r="R821" s="58" t="s">
        <v>55</v>
      </c>
      <c r="S821" s="59" t="str">
        <f aca="false">IFERROR(VLOOKUP($A821,RA_result!$B$3:$N$62,4,0),"")</f>
        <v/>
      </c>
      <c r="T821" s="60" t="s">
        <v>56</v>
      </c>
      <c r="U821" s="59" t="str">
        <f aca="false">IFERROR(IF(VLOOKUP($A821,RA_result!$B$3:$N$62,6,0)="",S821*T821,VLOOKUP($A821,RA_result!$B$3:$N$62,6,0)),"")</f>
        <v/>
      </c>
      <c r="V821" s="61" t="s">
        <v>56</v>
      </c>
      <c r="W821" s="62" t="n">
        <f aca="false">IFERROR((S821*30%)/V821,0)</f>
        <v>0</v>
      </c>
      <c r="X821" s="63" t="n">
        <f aca="false">IFERROR(N821/W821,0)</f>
        <v>0</v>
      </c>
      <c r="Y821" s="68"/>
      <c r="Z821" s="57"/>
      <c r="AA821" s="69" t="str">
        <f aca="false">IF(OR(U821="",Y821="",Z821=""),"",IF(AND(U821&gt;Y821,-U821&lt;Z821),"Ok","Not Ok"))</f>
        <v/>
      </c>
      <c r="AB821" s="70"/>
    </row>
    <row r="822" customFormat="false" ht="12.8" hidden="false" customHeight="false" outlineLevel="0" collapsed="false">
      <c r="A822" s="48" t="n">
        <f aca="false">TB_audited!A805</f>
        <v>0</v>
      </c>
      <c r="B822" s="49"/>
      <c r="C822" s="50"/>
      <c r="D822" s="51" t="n">
        <f aca="false">TB_audited!B805</f>
        <v>0</v>
      </c>
      <c r="E822" s="52" t="n">
        <f aca="false">TB_audited!C805</f>
        <v>0</v>
      </c>
      <c r="F822" s="53" t="n">
        <f aca="false">TB_audited!D805</f>
        <v>0</v>
      </c>
      <c r="G822" s="54" t="n">
        <f aca="false">IF($D$8="Interim",TB_audited!G805,TB_audited!E805)</f>
        <v>0</v>
      </c>
      <c r="H822" s="55" t="str">
        <f aca="false">IFERROR(VLOOKUP($A822,RA_result!$B$3:$N$62,11,0),"")</f>
        <v/>
      </c>
      <c r="I822" s="55" t="str">
        <f aca="false">IFERROR(VLOOKUP($A822,RA_result!$B$3:$N$62,12,0),"")</f>
        <v/>
      </c>
      <c r="J822" s="55" t="str">
        <f aca="false">IFERROR(VLOOKUP($A822,RA_result!$B$3:$N$62,13,0),"")</f>
        <v/>
      </c>
      <c r="K822" s="56"/>
      <c r="L822" s="56"/>
      <c r="M822" s="57" t="n">
        <f aca="false">G822</f>
        <v>0</v>
      </c>
      <c r="N822" s="54" t="n">
        <f aca="false">G822-M822</f>
        <v>0</v>
      </c>
      <c r="O822" s="55" t="str">
        <f aca="false">IFERROR(VLOOKUP($A822,RA_result!$B$3:$N$62,7,0),"")</f>
        <v/>
      </c>
      <c r="P822" s="52" t="str">
        <f aca="false">IFERROR(VLOOKUP($A822,RA_result!$B$3:$N$62,9,0),"")</f>
        <v/>
      </c>
      <c r="Q822" s="52" t="str">
        <f aca="false">IFERROR(VLOOKUP($A822,RA_result!$B$3:$N$62,10,0),"")</f>
        <v/>
      </c>
      <c r="R822" s="58" t="s">
        <v>55</v>
      </c>
      <c r="S822" s="59" t="str">
        <f aca="false">IFERROR(VLOOKUP($A822,RA_result!$B$3:$N$62,4,0),"")</f>
        <v/>
      </c>
      <c r="T822" s="60" t="s">
        <v>56</v>
      </c>
      <c r="U822" s="59" t="str">
        <f aca="false">IFERROR(IF(VLOOKUP($A822,RA_result!$B$3:$N$62,6,0)="",S822*T822,VLOOKUP($A822,RA_result!$B$3:$N$62,6,0)),"")</f>
        <v/>
      </c>
      <c r="V822" s="61" t="s">
        <v>56</v>
      </c>
      <c r="W822" s="62" t="n">
        <f aca="false">IFERROR((S822*30%)/V822,0)</f>
        <v>0</v>
      </c>
      <c r="X822" s="63" t="n">
        <f aca="false">IFERROR(N822/W822,0)</f>
        <v>0</v>
      </c>
      <c r="Y822" s="68"/>
      <c r="Z822" s="57"/>
      <c r="AA822" s="69" t="str">
        <f aca="false">IF(OR(U822="",Y822="",Z822=""),"",IF(AND(U822&gt;Y822,-U822&lt;Z822),"Ok","Not Ok"))</f>
        <v/>
      </c>
      <c r="AB822" s="70"/>
    </row>
    <row r="823" customFormat="false" ht="12.8" hidden="false" customHeight="false" outlineLevel="0" collapsed="false">
      <c r="A823" s="48" t="n">
        <f aca="false">TB_audited!A806</f>
        <v>0</v>
      </c>
      <c r="B823" s="49"/>
      <c r="C823" s="50"/>
      <c r="D823" s="51" t="n">
        <f aca="false">TB_audited!B806</f>
        <v>0</v>
      </c>
      <c r="E823" s="52" t="n">
        <f aca="false">TB_audited!C806</f>
        <v>0</v>
      </c>
      <c r="F823" s="53" t="n">
        <f aca="false">TB_audited!D806</f>
        <v>0</v>
      </c>
      <c r="G823" s="54" t="n">
        <f aca="false">IF($D$8="Interim",TB_audited!G806,TB_audited!E806)</f>
        <v>0</v>
      </c>
      <c r="H823" s="55" t="str">
        <f aca="false">IFERROR(VLOOKUP($A823,RA_result!$B$3:$N$62,11,0),"")</f>
        <v/>
      </c>
      <c r="I823" s="55" t="str">
        <f aca="false">IFERROR(VLOOKUP($A823,RA_result!$B$3:$N$62,12,0),"")</f>
        <v/>
      </c>
      <c r="J823" s="55" t="str">
        <f aca="false">IFERROR(VLOOKUP($A823,RA_result!$B$3:$N$62,13,0),"")</f>
        <v/>
      </c>
      <c r="K823" s="56"/>
      <c r="L823" s="56"/>
      <c r="M823" s="57" t="n">
        <f aca="false">G823</f>
        <v>0</v>
      </c>
      <c r="N823" s="54" t="n">
        <f aca="false">G823-M823</f>
        <v>0</v>
      </c>
      <c r="O823" s="55" t="str">
        <f aca="false">IFERROR(VLOOKUP($A823,RA_result!$B$3:$N$62,7,0),"")</f>
        <v/>
      </c>
      <c r="P823" s="52" t="str">
        <f aca="false">IFERROR(VLOOKUP($A823,RA_result!$B$3:$N$62,9,0),"")</f>
        <v/>
      </c>
      <c r="Q823" s="52" t="str">
        <f aca="false">IFERROR(VLOOKUP($A823,RA_result!$B$3:$N$62,10,0),"")</f>
        <v/>
      </c>
      <c r="R823" s="58" t="s">
        <v>55</v>
      </c>
      <c r="S823" s="59" t="str">
        <f aca="false">IFERROR(VLOOKUP($A823,RA_result!$B$3:$N$62,4,0),"")</f>
        <v/>
      </c>
      <c r="T823" s="60" t="s">
        <v>56</v>
      </c>
      <c r="U823" s="59" t="str">
        <f aca="false">IFERROR(IF(VLOOKUP($A823,RA_result!$B$3:$N$62,6,0)="",S823*T823,VLOOKUP($A823,RA_result!$B$3:$N$62,6,0)),"")</f>
        <v/>
      </c>
      <c r="V823" s="61" t="s">
        <v>56</v>
      </c>
      <c r="W823" s="62" t="n">
        <f aca="false">IFERROR((S823*30%)/V823,0)</f>
        <v>0</v>
      </c>
      <c r="X823" s="63" t="n">
        <f aca="false">IFERROR(N823/W823,0)</f>
        <v>0</v>
      </c>
      <c r="Y823" s="68"/>
      <c r="Z823" s="57"/>
      <c r="AA823" s="69" t="str">
        <f aca="false">IF(OR(U823="",Y823="",Z823=""),"",IF(AND(U823&gt;Y823,-U823&lt;Z823),"Ok","Not Ok"))</f>
        <v/>
      </c>
      <c r="AB823" s="70"/>
    </row>
    <row r="824" customFormat="false" ht="12.8" hidden="false" customHeight="false" outlineLevel="0" collapsed="false">
      <c r="A824" s="48" t="n">
        <f aca="false">TB_audited!A807</f>
        <v>0</v>
      </c>
      <c r="B824" s="49"/>
      <c r="C824" s="50"/>
      <c r="D824" s="51" t="n">
        <f aca="false">TB_audited!B807</f>
        <v>0</v>
      </c>
      <c r="E824" s="52" t="n">
        <f aca="false">TB_audited!C807</f>
        <v>0</v>
      </c>
      <c r="F824" s="53" t="n">
        <f aca="false">TB_audited!D807</f>
        <v>0</v>
      </c>
      <c r="G824" s="54" t="n">
        <f aca="false">IF($D$8="Interim",TB_audited!G807,TB_audited!E807)</f>
        <v>0</v>
      </c>
      <c r="H824" s="55" t="str">
        <f aca="false">IFERROR(VLOOKUP($A824,RA_result!$B$3:$N$62,11,0),"")</f>
        <v/>
      </c>
      <c r="I824" s="55" t="str">
        <f aca="false">IFERROR(VLOOKUP($A824,RA_result!$B$3:$N$62,12,0),"")</f>
        <v/>
      </c>
      <c r="J824" s="55" t="str">
        <f aca="false">IFERROR(VLOOKUP($A824,RA_result!$B$3:$N$62,13,0),"")</f>
        <v/>
      </c>
      <c r="K824" s="56"/>
      <c r="L824" s="56"/>
      <c r="M824" s="57" t="n">
        <f aca="false">G824</f>
        <v>0</v>
      </c>
      <c r="N824" s="54" t="n">
        <f aca="false">G824-M824</f>
        <v>0</v>
      </c>
      <c r="O824" s="55" t="str">
        <f aca="false">IFERROR(VLOOKUP($A824,RA_result!$B$3:$N$62,7,0),"")</f>
        <v/>
      </c>
      <c r="P824" s="52" t="str">
        <f aca="false">IFERROR(VLOOKUP($A824,RA_result!$B$3:$N$62,9,0),"")</f>
        <v/>
      </c>
      <c r="Q824" s="52" t="str">
        <f aca="false">IFERROR(VLOOKUP($A824,RA_result!$B$3:$N$62,10,0),"")</f>
        <v/>
      </c>
      <c r="R824" s="58" t="s">
        <v>55</v>
      </c>
      <c r="S824" s="59" t="str">
        <f aca="false">IFERROR(VLOOKUP($A824,RA_result!$B$3:$N$62,4,0),"")</f>
        <v/>
      </c>
      <c r="T824" s="60" t="s">
        <v>56</v>
      </c>
      <c r="U824" s="59" t="str">
        <f aca="false">IFERROR(IF(VLOOKUP($A824,RA_result!$B$3:$N$62,6,0)="",S824*T824,VLOOKUP($A824,RA_result!$B$3:$N$62,6,0)),"")</f>
        <v/>
      </c>
      <c r="V824" s="61" t="s">
        <v>56</v>
      </c>
      <c r="W824" s="62" t="n">
        <f aca="false">IFERROR((S824*30%)/V824,0)</f>
        <v>0</v>
      </c>
      <c r="X824" s="63" t="n">
        <f aca="false">IFERROR(N824/W824,0)</f>
        <v>0</v>
      </c>
      <c r="Y824" s="68"/>
      <c r="Z824" s="57"/>
      <c r="AA824" s="69" t="str">
        <f aca="false">IF(OR(U824="",Y824="",Z824=""),"",IF(AND(U824&gt;Y824,-U824&lt;Z824),"Ok","Not Ok"))</f>
        <v/>
      </c>
      <c r="AB824" s="70"/>
    </row>
    <row r="825" customFormat="false" ht="12.8" hidden="false" customHeight="false" outlineLevel="0" collapsed="false">
      <c r="A825" s="48" t="n">
        <f aca="false">TB_audited!A808</f>
        <v>0</v>
      </c>
      <c r="B825" s="49"/>
      <c r="C825" s="50"/>
      <c r="D825" s="51" t="n">
        <f aca="false">TB_audited!B808</f>
        <v>0</v>
      </c>
      <c r="E825" s="52" t="n">
        <f aca="false">TB_audited!C808</f>
        <v>0</v>
      </c>
      <c r="F825" s="53" t="n">
        <f aca="false">TB_audited!D808</f>
        <v>0</v>
      </c>
      <c r="G825" s="54" t="n">
        <f aca="false">IF($D$8="Interim",TB_audited!G808,TB_audited!E808)</f>
        <v>0</v>
      </c>
      <c r="H825" s="55" t="str">
        <f aca="false">IFERROR(VLOOKUP($A825,RA_result!$B$3:$N$62,11,0),"")</f>
        <v/>
      </c>
      <c r="I825" s="55" t="str">
        <f aca="false">IFERROR(VLOOKUP($A825,RA_result!$B$3:$N$62,12,0),"")</f>
        <v/>
      </c>
      <c r="J825" s="55" t="str">
        <f aca="false">IFERROR(VLOOKUP($A825,RA_result!$B$3:$N$62,13,0),"")</f>
        <v/>
      </c>
      <c r="K825" s="56"/>
      <c r="L825" s="56"/>
      <c r="M825" s="57" t="n">
        <f aca="false">G825</f>
        <v>0</v>
      </c>
      <c r="N825" s="54" t="n">
        <f aca="false">G825-M825</f>
        <v>0</v>
      </c>
      <c r="O825" s="55" t="str">
        <f aca="false">IFERROR(VLOOKUP($A825,RA_result!$B$3:$N$62,7,0),"")</f>
        <v/>
      </c>
      <c r="P825" s="52" t="str">
        <f aca="false">IFERROR(VLOOKUP($A825,RA_result!$B$3:$N$62,9,0),"")</f>
        <v/>
      </c>
      <c r="Q825" s="52" t="str">
        <f aca="false">IFERROR(VLOOKUP($A825,RA_result!$B$3:$N$62,10,0),"")</f>
        <v/>
      </c>
      <c r="R825" s="58" t="s">
        <v>55</v>
      </c>
      <c r="S825" s="59" t="str">
        <f aca="false">IFERROR(VLOOKUP($A825,RA_result!$B$3:$N$62,4,0),"")</f>
        <v/>
      </c>
      <c r="T825" s="60" t="s">
        <v>56</v>
      </c>
      <c r="U825" s="59" t="str">
        <f aca="false">IFERROR(IF(VLOOKUP($A825,RA_result!$B$3:$N$62,6,0)="",S825*T825,VLOOKUP($A825,RA_result!$B$3:$N$62,6,0)),"")</f>
        <v/>
      </c>
      <c r="V825" s="61" t="s">
        <v>56</v>
      </c>
      <c r="W825" s="62" t="n">
        <f aca="false">IFERROR((S825*30%)/V825,0)</f>
        <v>0</v>
      </c>
      <c r="X825" s="63" t="n">
        <f aca="false">IFERROR(N825/W825,0)</f>
        <v>0</v>
      </c>
      <c r="Y825" s="68"/>
      <c r="Z825" s="57"/>
      <c r="AA825" s="69" t="str">
        <f aca="false">IF(OR(U825="",Y825="",Z825=""),"",IF(AND(U825&gt;Y825,-U825&lt;Z825),"Ok","Not Ok"))</f>
        <v/>
      </c>
      <c r="AB825" s="70"/>
    </row>
    <row r="826" customFormat="false" ht="12.8" hidden="false" customHeight="false" outlineLevel="0" collapsed="false">
      <c r="A826" s="48" t="n">
        <f aca="false">TB_audited!A809</f>
        <v>0</v>
      </c>
      <c r="B826" s="49"/>
      <c r="C826" s="50"/>
      <c r="D826" s="51" t="n">
        <f aca="false">TB_audited!B809</f>
        <v>0</v>
      </c>
      <c r="E826" s="52" t="n">
        <f aca="false">TB_audited!C809</f>
        <v>0</v>
      </c>
      <c r="F826" s="53" t="n">
        <f aca="false">TB_audited!D809</f>
        <v>0</v>
      </c>
      <c r="G826" s="54" t="n">
        <f aca="false">IF($D$8="Interim",TB_audited!G809,TB_audited!E809)</f>
        <v>0</v>
      </c>
      <c r="H826" s="55" t="str">
        <f aca="false">IFERROR(VLOOKUP($A826,RA_result!$B$3:$N$62,11,0),"")</f>
        <v/>
      </c>
      <c r="I826" s="55" t="str">
        <f aca="false">IFERROR(VLOOKUP($A826,RA_result!$B$3:$N$62,12,0),"")</f>
        <v/>
      </c>
      <c r="J826" s="55" t="str">
        <f aca="false">IFERROR(VLOOKUP($A826,RA_result!$B$3:$N$62,13,0),"")</f>
        <v/>
      </c>
      <c r="K826" s="56"/>
      <c r="L826" s="56"/>
      <c r="M826" s="57" t="n">
        <f aca="false">G826</f>
        <v>0</v>
      </c>
      <c r="N826" s="54" t="n">
        <f aca="false">G826-M826</f>
        <v>0</v>
      </c>
      <c r="O826" s="55" t="str">
        <f aca="false">IFERROR(VLOOKUP($A826,RA_result!$B$3:$N$62,7,0),"")</f>
        <v/>
      </c>
      <c r="P826" s="52" t="str">
        <f aca="false">IFERROR(VLOOKUP($A826,RA_result!$B$3:$N$62,9,0),"")</f>
        <v/>
      </c>
      <c r="Q826" s="52" t="str">
        <f aca="false">IFERROR(VLOOKUP($A826,RA_result!$B$3:$N$62,10,0),"")</f>
        <v/>
      </c>
      <c r="R826" s="58" t="s">
        <v>55</v>
      </c>
      <c r="S826" s="59" t="str">
        <f aca="false">IFERROR(VLOOKUP($A826,RA_result!$B$3:$N$62,4,0),"")</f>
        <v/>
      </c>
      <c r="T826" s="60" t="s">
        <v>56</v>
      </c>
      <c r="U826" s="59" t="str">
        <f aca="false">IFERROR(IF(VLOOKUP($A826,RA_result!$B$3:$N$62,6,0)="",S826*T826,VLOOKUP($A826,RA_result!$B$3:$N$62,6,0)),"")</f>
        <v/>
      </c>
      <c r="V826" s="61" t="s">
        <v>56</v>
      </c>
      <c r="W826" s="62" t="n">
        <f aca="false">IFERROR((S826*30%)/V826,0)</f>
        <v>0</v>
      </c>
      <c r="X826" s="63" t="n">
        <f aca="false">IFERROR(N826/W826,0)</f>
        <v>0</v>
      </c>
      <c r="Y826" s="68"/>
      <c r="Z826" s="57"/>
      <c r="AA826" s="69" t="str">
        <f aca="false">IF(OR(U826="",Y826="",Z826=""),"",IF(AND(U826&gt;Y826,-U826&lt;Z826),"Ok","Not Ok"))</f>
        <v/>
      </c>
      <c r="AB826" s="70"/>
    </row>
    <row r="827" customFormat="false" ht="12.8" hidden="false" customHeight="false" outlineLevel="0" collapsed="false">
      <c r="A827" s="48" t="n">
        <f aca="false">TB_audited!A810</f>
        <v>0</v>
      </c>
      <c r="B827" s="49"/>
      <c r="C827" s="50"/>
      <c r="D827" s="51" t="n">
        <f aca="false">TB_audited!B810</f>
        <v>0</v>
      </c>
      <c r="E827" s="52" t="n">
        <f aca="false">TB_audited!C810</f>
        <v>0</v>
      </c>
      <c r="F827" s="53" t="n">
        <f aca="false">TB_audited!D810</f>
        <v>0</v>
      </c>
      <c r="G827" s="54" t="n">
        <f aca="false">IF($D$8="Interim",TB_audited!G810,TB_audited!E810)</f>
        <v>0</v>
      </c>
      <c r="H827" s="55" t="str">
        <f aca="false">IFERROR(VLOOKUP($A827,RA_result!$B$3:$N$62,11,0),"")</f>
        <v/>
      </c>
      <c r="I827" s="55" t="str">
        <f aca="false">IFERROR(VLOOKUP($A827,RA_result!$B$3:$N$62,12,0),"")</f>
        <v/>
      </c>
      <c r="J827" s="55" t="str">
        <f aca="false">IFERROR(VLOOKUP($A827,RA_result!$B$3:$N$62,13,0),"")</f>
        <v/>
      </c>
      <c r="K827" s="56"/>
      <c r="L827" s="56"/>
      <c r="M827" s="57" t="n">
        <f aca="false">G827</f>
        <v>0</v>
      </c>
      <c r="N827" s="54" t="n">
        <f aca="false">G827-M827</f>
        <v>0</v>
      </c>
      <c r="O827" s="55" t="str">
        <f aca="false">IFERROR(VLOOKUP($A827,RA_result!$B$3:$N$62,7,0),"")</f>
        <v/>
      </c>
      <c r="P827" s="52" t="str">
        <f aca="false">IFERROR(VLOOKUP($A827,RA_result!$B$3:$N$62,9,0),"")</f>
        <v/>
      </c>
      <c r="Q827" s="52" t="str">
        <f aca="false">IFERROR(VLOOKUP($A827,RA_result!$B$3:$N$62,10,0),"")</f>
        <v/>
      </c>
      <c r="R827" s="58" t="s">
        <v>55</v>
      </c>
      <c r="S827" s="59" t="str">
        <f aca="false">IFERROR(VLOOKUP($A827,RA_result!$B$3:$N$62,4,0),"")</f>
        <v/>
      </c>
      <c r="T827" s="60" t="s">
        <v>56</v>
      </c>
      <c r="U827" s="59" t="str">
        <f aca="false">IFERROR(IF(VLOOKUP($A827,RA_result!$B$3:$N$62,6,0)="",S827*T827,VLOOKUP($A827,RA_result!$B$3:$N$62,6,0)),"")</f>
        <v/>
      </c>
      <c r="V827" s="61" t="s">
        <v>56</v>
      </c>
      <c r="W827" s="62" t="n">
        <f aca="false">IFERROR((S827*30%)/V827,0)</f>
        <v>0</v>
      </c>
      <c r="X827" s="63" t="n">
        <f aca="false">IFERROR(N827/W827,0)</f>
        <v>0</v>
      </c>
      <c r="Y827" s="68"/>
      <c r="Z827" s="57"/>
      <c r="AA827" s="69" t="str">
        <f aca="false">IF(OR(U827="",Y827="",Z827=""),"",IF(AND(U827&gt;Y827,-U827&lt;Z827),"Ok","Not Ok"))</f>
        <v/>
      </c>
      <c r="AB827" s="70"/>
    </row>
    <row r="828" customFormat="false" ht="12.8" hidden="false" customHeight="false" outlineLevel="0" collapsed="false">
      <c r="A828" s="48" t="n">
        <f aca="false">TB_audited!A811</f>
        <v>0</v>
      </c>
      <c r="B828" s="49"/>
      <c r="C828" s="50"/>
      <c r="D828" s="51" t="n">
        <f aca="false">TB_audited!B811</f>
        <v>0</v>
      </c>
      <c r="E828" s="52" t="n">
        <f aca="false">TB_audited!C811</f>
        <v>0</v>
      </c>
      <c r="F828" s="53" t="n">
        <f aca="false">TB_audited!D811</f>
        <v>0</v>
      </c>
      <c r="G828" s="54" t="n">
        <f aca="false">IF($D$8="Interim",TB_audited!G811,TB_audited!E811)</f>
        <v>0</v>
      </c>
      <c r="H828" s="55" t="str">
        <f aca="false">IFERROR(VLOOKUP($A828,RA_result!$B$3:$N$62,11,0),"")</f>
        <v/>
      </c>
      <c r="I828" s="55" t="str">
        <f aca="false">IFERROR(VLOOKUP($A828,RA_result!$B$3:$N$62,12,0),"")</f>
        <v/>
      </c>
      <c r="J828" s="55" t="str">
        <f aca="false">IFERROR(VLOOKUP($A828,RA_result!$B$3:$N$62,13,0),"")</f>
        <v/>
      </c>
      <c r="K828" s="56"/>
      <c r="L828" s="56"/>
      <c r="M828" s="57" t="n">
        <f aca="false">G828</f>
        <v>0</v>
      </c>
      <c r="N828" s="54" t="n">
        <f aca="false">G828-M828</f>
        <v>0</v>
      </c>
      <c r="O828" s="55" t="str">
        <f aca="false">IFERROR(VLOOKUP($A828,RA_result!$B$3:$N$62,7,0),"")</f>
        <v/>
      </c>
      <c r="P828" s="52" t="str">
        <f aca="false">IFERROR(VLOOKUP($A828,RA_result!$B$3:$N$62,9,0),"")</f>
        <v/>
      </c>
      <c r="Q828" s="52" t="str">
        <f aca="false">IFERROR(VLOOKUP($A828,RA_result!$B$3:$N$62,10,0),"")</f>
        <v/>
      </c>
      <c r="R828" s="58" t="s">
        <v>55</v>
      </c>
      <c r="S828" s="59" t="str">
        <f aca="false">IFERROR(VLOOKUP($A828,RA_result!$B$3:$N$62,4,0),"")</f>
        <v/>
      </c>
      <c r="T828" s="60" t="s">
        <v>56</v>
      </c>
      <c r="U828" s="59" t="str">
        <f aca="false">IFERROR(IF(VLOOKUP($A828,RA_result!$B$3:$N$62,6,0)="",S828*T828,VLOOKUP($A828,RA_result!$B$3:$N$62,6,0)),"")</f>
        <v/>
      </c>
      <c r="V828" s="61" t="s">
        <v>56</v>
      </c>
      <c r="W828" s="62" t="n">
        <f aca="false">IFERROR((S828*30%)/V828,0)</f>
        <v>0</v>
      </c>
      <c r="X828" s="63" t="n">
        <f aca="false">IFERROR(N828/W828,0)</f>
        <v>0</v>
      </c>
      <c r="Y828" s="68"/>
      <c r="Z828" s="57"/>
      <c r="AA828" s="69" t="str">
        <f aca="false">IF(OR(U828="",Y828="",Z828=""),"",IF(AND(U828&gt;Y828,-U828&lt;Z828),"Ok","Not Ok"))</f>
        <v/>
      </c>
      <c r="AB828" s="70"/>
    </row>
    <row r="829" customFormat="false" ht="12.8" hidden="false" customHeight="false" outlineLevel="0" collapsed="false">
      <c r="A829" s="48" t="n">
        <f aca="false">TB_audited!A812</f>
        <v>0</v>
      </c>
      <c r="B829" s="49"/>
      <c r="C829" s="50"/>
      <c r="D829" s="51" t="n">
        <f aca="false">TB_audited!B812</f>
        <v>0</v>
      </c>
      <c r="E829" s="52" t="n">
        <f aca="false">TB_audited!C812</f>
        <v>0</v>
      </c>
      <c r="F829" s="53" t="n">
        <f aca="false">TB_audited!D812</f>
        <v>0</v>
      </c>
      <c r="G829" s="54" t="n">
        <f aca="false">IF($D$8="Interim",TB_audited!G812,TB_audited!E812)</f>
        <v>0</v>
      </c>
      <c r="H829" s="55" t="str">
        <f aca="false">IFERROR(VLOOKUP($A829,RA_result!$B$3:$N$62,11,0),"")</f>
        <v/>
      </c>
      <c r="I829" s="55" t="str">
        <f aca="false">IFERROR(VLOOKUP($A829,RA_result!$B$3:$N$62,12,0),"")</f>
        <v/>
      </c>
      <c r="J829" s="55" t="str">
        <f aca="false">IFERROR(VLOOKUP($A829,RA_result!$B$3:$N$62,13,0),"")</f>
        <v/>
      </c>
      <c r="K829" s="56"/>
      <c r="L829" s="56"/>
      <c r="M829" s="57" t="n">
        <f aca="false">G829</f>
        <v>0</v>
      </c>
      <c r="N829" s="54" t="n">
        <f aca="false">G829-M829</f>
        <v>0</v>
      </c>
      <c r="O829" s="55" t="str">
        <f aca="false">IFERROR(VLOOKUP($A829,RA_result!$B$3:$N$62,7,0),"")</f>
        <v/>
      </c>
      <c r="P829" s="52" t="str">
        <f aca="false">IFERROR(VLOOKUP($A829,RA_result!$B$3:$N$62,9,0),"")</f>
        <v/>
      </c>
      <c r="Q829" s="52" t="str">
        <f aca="false">IFERROR(VLOOKUP($A829,RA_result!$B$3:$N$62,10,0),"")</f>
        <v/>
      </c>
      <c r="R829" s="58" t="s">
        <v>55</v>
      </c>
      <c r="S829" s="59" t="str">
        <f aca="false">IFERROR(VLOOKUP($A829,RA_result!$B$3:$N$62,4,0),"")</f>
        <v/>
      </c>
      <c r="T829" s="60" t="s">
        <v>56</v>
      </c>
      <c r="U829" s="59" t="str">
        <f aca="false">IFERROR(IF(VLOOKUP($A829,RA_result!$B$3:$N$62,6,0)="",S829*T829,VLOOKUP($A829,RA_result!$B$3:$N$62,6,0)),"")</f>
        <v/>
      </c>
      <c r="V829" s="61" t="s">
        <v>56</v>
      </c>
      <c r="W829" s="62" t="n">
        <f aca="false">IFERROR((S829*30%)/V829,0)</f>
        <v>0</v>
      </c>
      <c r="X829" s="63" t="n">
        <f aca="false">IFERROR(N829/W829,0)</f>
        <v>0</v>
      </c>
      <c r="Y829" s="68"/>
      <c r="Z829" s="57"/>
      <c r="AA829" s="69" t="str">
        <f aca="false">IF(OR(U829="",Y829="",Z829=""),"",IF(AND(U829&gt;Y829,-U829&lt;Z829),"Ok","Not Ok"))</f>
        <v/>
      </c>
      <c r="AB829" s="70"/>
    </row>
    <row r="830" customFormat="false" ht="12.8" hidden="false" customHeight="false" outlineLevel="0" collapsed="false">
      <c r="A830" s="48" t="n">
        <f aca="false">TB_audited!A813</f>
        <v>0</v>
      </c>
      <c r="B830" s="49"/>
      <c r="C830" s="50"/>
      <c r="D830" s="51" t="n">
        <f aca="false">TB_audited!B813</f>
        <v>0</v>
      </c>
      <c r="E830" s="52" t="n">
        <f aca="false">TB_audited!C813</f>
        <v>0</v>
      </c>
      <c r="F830" s="53" t="n">
        <f aca="false">TB_audited!D813</f>
        <v>0</v>
      </c>
      <c r="G830" s="54" t="n">
        <f aca="false">IF($D$8="Interim",TB_audited!G813,TB_audited!E813)</f>
        <v>0</v>
      </c>
      <c r="H830" s="55" t="str">
        <f aca="false">IFERROR(VLOOKUP($A830,RA_result!$B$3:$N$62,11,0),"")</f>
        <v/>
      </c>
      <c r="I830" s="55" t="str">
        <f aca="false">IFERROR(VLOOKUP($A830,RA_result!$B$3:$N$62,12,0),"")</f>
        <v/>
      </c>
      <c r="J830" s="55" t="str">
        <f aca="false">IFERROR(VLOOKUP($A830,RA_result!$B$3:$N$62,13,0),"")</f>
        <v/>
      </c>
      <c r="K830" s="56"/>
      <c r="L830" s="56"/>
      <c r="M830" s="57" t="n">
        <f aca="false">G830</f>
        <v>0</v>
      </c>
      <c r="N830" s="54" t="n">
        <f aca="false">G830-M830</f>
        <v>0</v>
      </c>
      <c r="O830" s="55" t="str">
        <f aca="false">IFERROR(VLOOKUP($A830,RA_result!$B$3:$N$62,7,0),"")</f>
        <v/>
      </c>
      <c r="P830" s="52" t="str">
        <f aca="false">IFERROR(VLOOKUP($A830,RA_result!$B$3:$N$62,9,0),"")</f>
        <v/>
      </c>
      <c r="Q830" s="52" t="str">
        <f aca="false">IFERROR(VLOOKUP($A830,RA_result!$B$3:$N$62,10,0),"")</f>
        <v/>
      </c>
      <c r="R830" s="58" t="s">
        <v>55</v>
      </c>
      <c r="S830" s="59" t="str">
        <f aca="false">IFERROR(VLOOKUP($A830,RA_result!$B$3:$N$62,4,0),"")</f>
        <v/>
      </c>
      <c r="T830" s="60" t="s">
        <v>56</v>
      </c>
      <c r="U830" s="59" t="str">
        <f aca="false">IFERROR(IF(VLOOKUP($A830,RA_result!$B$3:$N$62,6,0)="",S830*T830,VLOOKUP($A830,RA_result!$B$3:$N$62,6,0)),"")</f>
        <v/>
      </c>
      <c r="V830" s="61" t="s">
        <v>56</v>
      </c>
      <c r="W830" s="62" t="n">
        <f aca="false">IFERROR((S830*30%)/V830,0)</f>
        <v>0</v>
      </c>
      <c r="X830" s="63" t="n">
        <f aca="false">IFERROR(N830/W830,0)</f>
        <v>0</v>
      </c>
      <c r="Y830" s="68"/>
      <c r="Z830" s="57"/>
      <c r="AA830" s="69" t="str">
        <f aca="false">IF(OR(U830="",Y830="",Z830=""),"",IF(AND(U830&gt;Y830,-U830&lt;Z830),"Ok","Not Ok"))</f>
        <v/>
      </c>
      <c r="AB830" s="70"/>
    </row>
    <row r="831" customFormat="false" ht="12.8" hidden="false" customHeight="false" outlineLevel="0" collapsed="false">
      <c r="A831" s="48" t="n">
        <f aca="false">TB_audited!A814</f>
        <v>0</v>
      </c>
      <c r="B831" s="49"/>
      <c r="C831" s="50"/>
      <c r="D831" s="51" t="n">
        <f aca="false">TB_audited!B814</f>
        <v>0</v>
      </c>
      <c r="E831" s="52" t="n">
        <f aca="false">TB_audited!C814</f>
        <v>0</v>
      </c>
      <c r="F831" s="53" t="n">
        <f aca="false">TB_audited!D814</f>
        <v>0</v>
      </c>
      <c r="G831" s="54" t="n">
        <f aca="false">IF($D$8="Interim",TB_audited!G814,TB_audited!E814)</f>
        <v>0</v>
      </c>
      <c r="H831" s="55" t="str">
        <f aca="false">IFERROR(VLOOKUP($A831,RA_result!$B$3:$N$62,11,0),"")</f>
        <v/>
      </c>
      <c r="I831" s="55" t="str">
        <f aca="false">IFERROR(VLOOKUP($A831,RA_result!$B$3:$N$62,12,0),"")</f>
        <v/>
      </c>
      <c r="J831" s="55" t="str">
        <f aca="false">IFERROR(VLOOKUP($A831,RA_result!$B$3:$N$62,13,0),"")</f>
        <v/>
      </c>
      <c r="K831" s="56"/>
      <c r="L831" s="56"/>
      <c r="M831" s="57" t="n">
        <f aca="false">G831</f>
        <v>0</v>
      </c>
      <c r="N831" s="54" t="n">
        <f aca="false">G831-M831</f>
        <v>0</v>
      </c>
      <c r="O831" s="55" t="str">
        <f aca="false">IFERROR(VLOOKUP($A831,RA_result!$B$3:$N$62,7,0),"")</f>
        <v/>
      </c>
      <c r="P831" s="52" t="str">
        <f aca="false">IFERROR(VLOOKUP($A831,RA_result!$B$3:$N$62,9,0),"")</f>
        <v/>
      </c>
      <c r="Q831" s="52" t="str">
        <f aca="false">IFERROR(VLOOKUP($A831,RA_result!$B$3:$N$62,10,0),"")</f>
        <v/>
      </c>
      <c r="R831" s="58" t="s">
        <v>55</v>
      </c>
      <c r="S831" s="59" t="str">
        <f aca="false">IFERROR(VLOOKUP($A831,RA_result!$B$3:$N$62,4,0),"")</f>
        <v/>
      </c>
      <c r="T831" s="60" t="s">
        <v>56</v>
      </c>
      <c r="U831" s="59" t="str">
        <f aca="false">IFERROR(IF(VLOOKUP($A831,RA_result!$B$3:$N$62,6,0)="",S831*T831,VLOOKUP($A831,RA_result!$B$3:$N$62,6,0)),"")</f>
        <v/>
      </c>
      <c r="V831" s="61" t="s">
        <v>56</v>
      </c>
      <c r="W831" s="62" t="n">
        <f aca="false">IFERROR((S831*30%)/V831,0)</f>
        <v>0</v>
      </c>
      <c r="X831" s="63" t="n">
        <f aca="false">IFERROR(N831/W831,0)</f>
        <v>0</v>
      </c>
      <c r="Y831" s="68"/>
      <c r="Z831" s="57"/>
      <c r="AA831" s="69" t="str">
        <f aca="false">IF(OR(U831="",Y831="",Z831=""),"",IF(AND(U831&gt;Y831,-U831&lt;Z831),"Ok","Not Ok"))</f>
        <v/>
      </c>
      <c r="AB831" s="70"/>
    </row>
    <row r="832" customFormat="false" ht="12.8" hidden="false" customHeight="false" outlineLevel="0" collapsed="false">
      <c r="A832" s="48" t="n">
        <f aca="false">TB_audited!A815</f>
        <v>0</v>
      </c>
      <c r="B832" s="49"/>
      <c r="C832" s="50"/>
      <c r="D832" s="51" t="n">
        <f aca="false">TB_audited!B815</f>
        <v>0</v>
      </c>
      <c r="E832" s="52" t="n">
        <f aca="false">TB_audited!C815</f>
        <v>0</v>
      </c>
      <c r="F832" s="53" t="n">
        <f aca="false">TB_audited!D815</f>
        <v>0</v>
      </c>
      <c r="G832" s="54" t="n">
        <f aca="false">IF($D$8="Interim",TB_audited!G815,TB_audited!E815)</f>
        <v>0</v>
      </c>
      <c r="H832" s="55" t="str">
        <f aca="false">IFERROR(VLOOKUP($A832,RA_result!$B$3:$N$62,11,0),"")</f>
        <v/>
      </c>
      <c r="I832" s="55" t="str">
        <f aca="false">IFERROR(VLOOKUP($A832,RA_result!$B$3:$N$62,12,0),"")</f>
        <v/>
      </c>
      <c r="J832" s="55" t="str">
        <f aca="false">IFERROR(VLOOKUP($A832,RA_result!$B$3:$N$62,13,0),"")</f>
        <v/>
      </c>
      <c r="K832" s="56"/>
      <c r="L832" s="56"/>
      <c r="M832" s="57" t="n">
        <f aca="false">G832</f>
        <v>0</v>
      </c>
      <c r="N832" s="54" t="n">
        <f aca="false">G832-M832</f>
        <v>0</v>
      </c>
      <c r="O832" s="55" t="str">
        <f aca="false">IFERROR(VLOOKUP($A832,RA_result!$B$3:$N$62,7,0),"")</f>
        <v/>
      </c>
      <c r="P832" s="52" t="str">
        <f aca="false">IFERROR(VLOOKUP($A832,RA_result!$B$3:$N$62,9,0),"")</f>
        <v/>
      </c>
      <c r="Q832" s="52" t="str">
        <f aca="false">IFERROR(VLOOKUP($A832,RA_result!$B$3:$N$62,10,0),"")</f>
        <v/>
      </c>
      <c r="R832" s="58" t="s">
        <v>55</v>
      </c>
      <c r="S832" s="59" t="str">
        <f aca="false">IFERROR(VLOOKUP($A832,RA_result!$B$3:$N$62,4,0),"")</f>
        <v/>
      </c>
      <c r="T832" s="60" t="s">
        <v>56</v>
      </c>
      <c r="U832" s="59" t="str">
        <f aca="false">IFERROR(IF(VLOOKUP($A832,RA_result!$B$3:$N$62,6,0)="",S832*T832,VLOOKUP($A832,RA_result!$B$3:$N$62,6,0)),"")</f>
        <v/>
      </c>
      <c r="V832" s="61" t="s">
        <v>56</v>
      </c>
      <c r="W832" s="62" t="n">
        <f aca="false">IFERROR((S832*30%)/V832,0)</f>
        <v>0</v>
      </c>
      <c r="X832" s="63" t="n">
        <f aca="false">IFERROR(N832/W832,0)</f>
        <v>0</v>
      </c>
      <c r="Y832" s="68"/>
      <c r="Z832" s="57"/>
      <c r="AA832" s="69" t="str">
        <f aca="false">IF(OR(U832="",Y832="",Z832=""),"",IF(AND(U832&gt;Y832,-U832&lt;Z832),"Ok","Not Ok"))</f>
        <v/>
      </c>
      <c r="AB832" s="70"/>
    </row>
    <row r="833" customFormat="false" ht="12.8" hidden="false" customHeight="false" outlineLevel="0" collapsed="false">
      <c r="A833" s="48" t="n">
        <f aca="false">TB_audited!A816</f>
        <v>0</v>
      </c>
      <c r="B833" s="49"/>
      <c r="C833" s="50"/>
      <c r="D833" s="51" t="n">
        <f aca="false">TB_audited!B816</f>
        <v>0</v>
      </c>
      <c r="E833" s="52" t="n">
        <f aca="false">TB_audited!C816</f>
        <v>0</v>
      </c>
      <c r="F833" s="53" t="n">
        <f aca="false">TB_audited!D816</f>
        <v>0</v>
      </c>
      <c r="G833" s="54" t="n">
        <f aca="false">IF($D$8="Interim",TB_audited!G816,TB_audited!E816)</f>
        <v>0</v>
      </c>
      <c r="H833" s="55" t="str">
        <f aca="false">IFERROR(VLOOKUP($A833,RA_result!$B$3:$N$62,11,0),"")</f>
        <v/>
      </c>
      <c r="I833" s="55" t="str">
        <f aca="false">IFERROR(VLOOKUP($A833,RA_result!$B$3:$N$62,12,0),"")</f>
        <v/>
      </c>
      <c r="J833" s="55" t="str">
        <f aca="false">IFERROR(VLOOKUP($A833,RA_result!$B$3:$N$62,13,0),"")</f>
        <v/>
      </c>
      <c r="K833" s="56"/>
      <c r="L833" s="56"/>
      <c r="M833" s="57" t="n">
        <f aca="false">G833</f>
        <v>0</v>
      </c>
      <c r="N833" s="54" t="n">
        <f aca="false">G833-M833</f>
        <v>0</v>
      </c>
      <c r="O833" s="55" t="str">
        <f aca="false">IFERROR(VLOOKUP($A833,RA_result!$B$3:$N$62,7,0),"")</f>
        <v/>
      </c>
      <c r="P833" s="52" t="str">
        <f aca="false">IFERROR(VLOOKUP($A833,RA_result!$B$3:$N$62,9,0),"")</f>
        <v/>
      </c>
      <c r="Q833" s="52" t="str">
        <f aca="false">IFERROR(VLOOKUP($A833,RA_result!$B$3:$N$62,10,0),"")</f>
        <v/>
      </c>
      <c r="R833" s="58" t="s">
        <v>55</v>
      </c>
      <c r="S833" s="59" t="str">
        <f aca="false">IFERROR(VLOOKUP($A833,RA_result!$B$3:$N$62,4,0),"")</f>
        <v/>
      </c>
      <c r="T833" s="60" t="s">
        <v>56</v>
      </c>
      <c r="U833" s="59" t="str">
        <f aca="false">IFERROR(IF(VLOOKUP($A833,RA_result!$B$3:$N$62,6,0)="",S833*T833,VLOOKUP($A833,RA_result!$B$3:$N$62,6,0)),"")</f>
        <v/>
      </c>
      <c r="V833" s="61" t="s">
        <v>56</v>
      </c>
      <c r="W833" s="62" t="n">
        <f aca="false">IFERROR((S833*30%)/V833,0)</f>
        <v>0</v>
      </c>
      <c r="X833" s="63" t="n">
        <f aca="false">IFERROR(N833/W833,0)</f>
        <v>0</v>
      </c>
      <c r="Y833" s="68"/>
      <c r="Z833" s="57"/>
      <c r="AA833" s="69" t="str">
        <f aca="false">IF(OR(U833="",Y833="",Z833=""),"",IF(AND(U833&gt;Y833,-U833&lt;Z833),"Ok","Not Ok"))</f>
        <v/>
      </c>
      <c r="AB833" s="70"/>
    </row>
    <row r="834" customFormat="false" ht="12.8" hidden="false" customHeight="false" outlineLevel="0" collapsed="false">
      <c r="A834" s="48" t="n">
        <f aca="false">TB_audited!A817</f>
        <v>0</v>
      </c>
      <c r="B834" s="49"/>
      <c r="C834" s="50"/>
      <c r="D834" s="51" t="n">
        <f aca="false">TB_audited!B817</f>
        <v>0</v>
      </c>
      <c r="E834" s="52" t="n">
        <f aca="false">TB_audited!C817</f>
        <v>0</v>
      </c>
      <c r="F834" s="53" t="n">
        <f aca="false">TB_audited!D817</f>
        <v>0</v>
      </c>
      <c r="G834" s="54" t="n">
        <f aca="false">IF($D$8="Interim",TB_audited!G817,TB_audited!E817)</f>
        <v>0</v>
      </c>
      <c r="H834" s="55" t="str">
        <f aca="false">IFERROR(VLOOKUP($A834,RA_result!$B$3:$N$62,11,0),"")</f>
        <v/>
      </c>
      <c r="I834" s="55" t="str">
        <f aca="false">IFERROR(VLOOKUP($A834,RA_result!$B$3:$N$62,12,0),"")</f>
        <v/>
      </c>
      <c r="J834" s="55" t="str">
        <f aca="false">IFERROR(VLOOKUP($A834,RA_result!$B$3:$N$62,13,0),"")</f>
        <v/>
      </c>
      <c r="K834" s="56"/>
      <c r="L834" s="56"/>
      <c r="M834" s="57" t="n">
        <f aca="false">G834</f>
        <v>0</v>
      </c>
      <c r="N834" s="54" t="n">
        <f aca="false">G834-M834</f>
        <v>0</v>
      </c>
      <c r="O834" s="55" t="str">
        <f aca="false">IFERROR(VLOOKUP($A834,RA_result!$B$3:$N$62,7,0),"")</f>
        <v/>
      </c>
      <c r="P834" s="52" t="str">
        <f aca="false">IFERROR(VLOOKUP($A834,RA_result!$B$3:$N$62,9,0),"")</f>
        <v/>
      </c>
      <c r="Q834" s="52" t="str">
        <f aca="false">IFERROR(VLOOKUP($A834,RA_result!$B$3:$N$62,10,0),"")</f>
        <v/>
      </c>
      <c r="R834" s="58" t="s">
        <v>55</v>
      </c>
      <c r="S834" s="59" t="str">
        <f aca="false">IFERROR(VLOOKUP($A834,RA_result!$B$3:$N$62,4,0),"")</f>
        <v/>
      </c>
      <c r="T834" s="60" t="s">
        <v>56</v>
      </c>
      <c r="U834" s="59" t="str">
        <f aca="false">IFERROR(IF(VLOOKUP($A834,RA_result!$B$3:$N$62,6,0)="",S834*T834,VLOOKUP($A834,RA_result!$B$3:$N$62,6,0)),"")</f>
        <v/>
      </c>
      <c r="V834" s="61" t="s">
        <v>56</v>
      </c>
      <c r="W834" s="62" t="n">
        <f aca="false">IFERROR((S834*30%)/V834,0)</f>
        <v>0</v>
      </c>
      <c r="X834" s="63" t="n">
        <f aca="false">IFERROR(N834/W834,0)</f>
        <v>0</v>
      </c>
      <c r="Y834" s="68"/>
      <c r="Z834" s="57"/>
      <c r="AA834" s="69" t="str">
        <f aca="false">IF(OR(U834="",Y834="",Z834=""),"",IF(AND(U834&gt;Y834,-U834&lt;Z834),"Ok","Not Ok"))</f>
        <v/>
      </c>
      <c r="AB834" s="70"/>
    </row>
    <row r="835" customFormat="false" ht="12.8" hidden="false" customHeight="false" outlineLevel="0" collapsed="false">
      <c r="A835" s="48" t="n">
        <f aca="false">TB_audited!A818</f>
        <v>0</v>
      </c>
      <c r="B835" s="49"/>
      <c r="C835" s="50"/>
      <c r="D835" s="51" t="n">
        <f aca="false">TB_audited!B818</f>
        <v>0</v>
      </c>
      <c r="E835" s="52" t="n">
        <f aca="false">TB_audited!C818</f>
        <v>0</v>
      </c>
      <c r="F835" s="53" t="n">
        <f aca="false">TB_audited!D818</f>
        <v>0</v>
      </c>
      <c r="G835" s="54" t="n">
        <f aca="false">IF($D$8="Interim",TB_audited!G818,TB_audited!E818)</f>
        <v>0</v>
      </c>
      <c r="H835" s="55" t="str">
        <f aca="false">IFERROR(VLOOKUP($A835,RA_result!$B$3:$N$62,11,0),"")</f>
        <v/>
      </c>
      <c r="I835" s="55" t="str">
        <f aca="false">IFERROR(VLOOKUP($A835,RA_result!$B$3:$N$62,12,0),"")</f>
        <v/>
      </c>
      <c r="J835" s="55" t="str">
        <f aca="false">IFERROR(VLOOKUP($A835,RA_result!$B$3:$N$62,13,0),"")</f>
        <v/>
      </c>
      <c r="K835" s="56"/>
      <c r="L835" s="56"/>
      <c r="M835" s="57" t="n">
        <f aca="false">G835</f>
        <v>0</v>
      </c>
      <c r="N835" s="54" t="n">
        <f aca="false">G835-M835</f>
        <v>0</v>
      </c>
      <c r="O835" s="55" t="str">
        <f aca="false">IFERROR(VLOOKUP($A835,RA_result!$B$3:$N$62,7,0),"")</f>
        <v/>
      </c>
      <c r="P835" s="52" t="str">
        <f aca="false">IFERROR(VLOOKUP($A835,RA_result!$B$3:$N$62,9,0),"")</f>
        <v/>
      </c>
      <c r="Q835" s="52" t="str">
        <f aca="false">IFERROR(VLOOKUP($A835,RA_result!$B$3:$N$62,10,0),"")</f>
        <v/>
      </c>
      <c r="R835" s="58" t="s">
        <v>55</v>
      </c>
      <c r="S835" s="59" t="str">
        <f aca="false">IFERROR(VLOOKUP($A835,RA_result!$B$3:$N$62,4,0),"")</f>
        <v/>
      </c>
      <c r="T835" s="60" t="s">
        <v>56</v>
      </c>
      <c r="U835" s="59" t="str">
        <f aca="false">IFERROR(IF(VLOOKUP($A835,RA_result!$B$3:$N$62,6,0)="",S835*T835,VLOOKUP($A835,RA_result!$B$3:$N$62,6,0)),"")</f>
        <v/>
      </c>
      <c r="V835" s="61" t="s">
        <v>56</v>
      </c>
      <c r="W835" s="62" t="n">
        <f aca="false">IFERROR((S835*30%)/V835,0)</f>
        <v>0</v>
      </c>
      <c r="X835" s="63" t="n">
        <f aca="false">IFERROR(N835/W835,0)</f>
        <v>0</v>
      </c>
      <c r="Y835" s="68"/>
      <c r="Z835" s="57"/>
      <c r="AA835" s="69" t="str">
        <f aca="false">IF(OR(U835="",Y835="",Z835=""),"",IF(AND(U835&gt;Y835,-U835&lt;Z835),"Ok","Not Ok"))</f>
        <v/>
      </c>
      <c r="AB835" s="70"/>
    </row>
    <row r="836" customFormat="false" ht="12.8" hidden="false" customHeight="false" outlineLevel="0" collapsed="false">
      <c r="A836" s="48" t="n">
        <f aca="false">TB_audited!A819</f>
        <v>0</v>
      </c>
      <c r="B836" s="49"/>
      <c r="C836" s="50"/>
      <c r="D836" s="51" t="n">
        <f aca="false">TB_audited!B819</f>
        <v>0</v>
      </c>
      <c r="E836" s="52" t="n">
        <f aca="false">TB_audited!C819</f>
        <v>0</v>
      </c>
      <c r="F836" s="53" t="n">
        <f aca="false">TB_audited!D819</f>
        <v>0</v>
      </c>
      <c r="G836" s="54" t="n">
        <f aca="false">IF($D$8="Interim",TB_audited!G819,TB_audited!E819)</f>
        <v>0</v>
      </c>
      <c r="H836" s="55" t="str">
        <f aca="false">IFERROR(VLOOKUP($A836,RA_result!$B$3:$N$62,11,0),"")</f>
        <v/>
      </c>
      <c r="I836" s="55" t="str">
        <f aca="false">IFERROR(VLOOKUP($A836,RA_result!$B$3:$N$62,12,0),"")</f>
        <v/>
      </c>
      <c r="J836" s="55" t="str">
        <f aca="false">IFERROR(VLOOKUP($A836,RA_result!$B$3:$N$62,13,0),"")</f>
        <v/>
      </c>
      <c r="K836" s="56"/>
      <c r="L836" s="56"/>
      <c r="M836" s="57" t="n">
        <f aca="false">G836</f>
        <v>0</v>
      </c>
      <c r="N836" s="54" t="n">
        <f aca="false">G836-M836</f>
        <v>0</v>
      </c>
      <c r="O836" s="55" t="str">
        <f aca="false">IFERROR(VLOOKUP($A836,RA_result!$B$3:$N$62,7,0),"")</f>
        <v/>
      </c>
      <c r="P836" s="52" t="str">
        <f aca="false">IFERROR(VLOOKUP($A836,RA_result!$B$3:$N$62,9,0),"")</f>
        <v/>
      </c>
      <c r="Q836" s="52" t="str">
        <f aca="false">IFERROR(VLOOKUP($A836,RA_result!$B$3:$N$62,10,0),"")</f>
        <v/>
      </c>
      <c r="R836" s="58" t="s">
        <v>55</v>
      </c>
      <c r="S836" s="59" t="str">
        <f aca="false">IFERROR(VLOOKUP($A836,RA_result!$B$3:$N$62,4,0),"")</f>
        <v/>
      </c>
      <c r="T836" s="60" t="s">
        <v>56</v>
      </c>
      <c r="U836" s="59" t="str">
        <f aca="false">IFERROR(IF(VLOOKUP($A836,RA_result!$B$3:$N$62,6,0)="",S836*T836,VLOOKUP($A836,RA_result!$B$3:$N$62,6,0)),"")</f>
        <v/>
      </c>
      <c r="V836" s="61" t="s">
        <v>56</v>
      </c>
      <c r="W836" s="62" t="n">
        <f aca="false">IFERROR((S836*30%)/V836,0)</f>
        <v>0</v>
      </c>
      <c r="X836" s="63" t="n">
        <f aca="false">IFERROR(N836/W836,0)</f>
        <v>0</v>
      </c>
      <c r="Y836" s="68"/>
      <c r="Z836" s="57"/>
      <c r="AA836" s="69" t="str">
        <f aca="false">IF(OR(U836="",Y836="",Z836=""),"",IF(AND(U836&gt;Y836,-U836&lt;Z836),"Ok","Not Ok"))</f>
        <v/>
      </c>
      <c r="AB836" s="70"/>
    </row>
    <row r="837" customFormat="false" ht="12.8" hidden="false" customHeight="false" outlineLevel="0" collapsed="false">
      <c r="A837" s="48" t="n">
        <f aca="false">TB_audited!A820</f>
        <v>0</v>
      </c>
      <c r="B837" s="49"/>
      <c r="C837" s="50"/>
      <c r="D837" s="51" t="n">
        <f aca="false">TB_audited!B820</f>
        <v>0</v>
      </c>
      <c r="E837" s="52" t="n">
        <f aca="false">TB_audited!C820</f>
        <v>0</v>
      </c>
      <c r="F837" s="53" t="n">
        <f aca="false">TB_audited!D820</f>
        <v>0</v>
      </c>
      <c r="G837" s="54" t="n">
        <f aca="false">IF($D$8="Interim",TB_audited!G820,TB_audited!E820)</f>
        <v>0</v>
      </c>
      <c r="H837" s="55" t="str">
        <f aca="false">IFERROR(VLOOKUP($A837,RA_result!$B$3:$N$62,11,0),"")</f>
        <v/>
      </c>
      <c r="I837" s="55" t="str">
        <f aca="false">IFERROR(VLOOKUP($A837,RA_result!$B$3:$N$62,12,0),"")</f>
        <v/>
      </c>
      <c r="J837" s="55" t="str">
        <f aca="false">IFERROR(VLOOKUP($A837,RA_result!$B$3:$N$62,13,0),"")</f>
        <v/>
      </c>
      <c r="K837" s="56"/>
      <c r="L837" s="56"/>
      <c r="M837" s="57" t="n">
        <f aca="false">G837</f>
        <v>0</v>
      </c>
      <c r="N837" s="54" t="n">
        <f aca="false">G837-M837</f>
        <v>0</v>
      </c>
      <c r="O837" s="55" t="str">
        <f aca="false">IFERROR(VLOOKUP($A837,RA_result!$B$3:$N$62,7,0),"")</f>
        <v/>
      </c>
      <c r="P837" s="52" t="str">
        <f aca="false">IFERROR(VLOOKUP($A837,RA_result!$B$3:$N$62,9,0),"")</f>
        <v/>
      </c>
      <c r="Q837" s="52" t="str">
        <f aca="false">IFERROR(VLOOKUP($A837,RA_result!$B$3:$N$62,10,0),"")</f>
        <v/>
      </c>
      <c r="R837" s="58" t="s">
        <v>55</v>
      </c>
      <c r="S837" s="59" t="str">
        <f aca="false">IFERROR(VLOOKUP($A837,RA_result!$B$3:$N$62,4,0),"")</f>
        <v/>
      </c>
      <c r="T837" s="60" t="s">
        <v>56</v>
      </c>
      <c r="U837" s="59" t="str">
        <f aca="false">IFERROR(IF(VLOOKUP($A837,RA_result!$B$3:$N$62,6,0)="",S837*T837,VLOOKUP($A837,RA_result!$B$3:$N$62,6,0)),"")</f>
        <v/>
      </c>
      <c r="V837" s="61" t="s">
        <v>56</v>
      </c>
      <c r="W837" s="62" t="n">
        <f aca="false">IFERROR((S837*30%)/V837,0)</f>
        <v>0</v>
      </c>
      <c r="X837" s="63" t="n">
        <f aca="false">IFERROR(N837/W837,0)</f>
        <v>0</v>
      </c>
      <c r="Y837" s="68"/>
      <c r="Z837" s="57"/>
      <c r="AA837" s="69" t="str">
        <f aca="false">IF(OR(U837="",Y837="",Z837=""),"",IF(AND(U837&gt;Y837,-U837&lt;Z837),"Ok","Not Ok"))</f>
        <v/>
      </c>
      <c r="AB837" s="70"/>
    </row>
    <row r="838" customFormat="false" ht="12.8" hidden="false" customHeight="false" outlineLevel="0" collapsed="false">
      <c r="A838" s="48" t="n">
        <f aca="false">TB_audited!A821</f>
        <v>0</v>
      </c>
      <c r="B838" s="49"/>
      <c r="C838" s="50"/>
      <c r="D838" s="51" t="n">
        <f aca="false">TB_audited!B821</f>
        <v>0</v>
      </c>
      <c r="E838" s="52" t="n">
        <f aca="false">TB_audited!C821</f>
        <v>0</v>
      </c>
      <c r="F838" s="53" t="n">
        <f aca="false">TB_audited!D821</f>
        <v>0</v>
      </c>
      <c r="G838" s="54" t="n">
        <f aca="false">IF($D$8="Interim",TB_audited!G821,TB_audited!E821)</f>
        <v>0</v>
      </c>
      <c r="H838" s="55" t="str">
        <f aca="false">IFERROR(VLOOKUP($A838,RA_result!$B$3:$N$62,11,0),"")</f>
        <v/>
      </c>
      <c r="I838" s="55" t="str">
        <f aca="false">IFERROR(VLOOKUP($A838,RA_result!$B$3:$N$62,12,0),"")</f>
        <v/>
      </c>
      <c r="J838" s="55" t="str">
        <f aca="false">IFERROR(VLOOKUP($A838,RA_result!$B$3:$N$62,13,0),"")</f>
        <v/>
      </c>
      <c r="K838" s="56"/>
      <c r="L838" s="56"/>
      <c r="M838" s="57" t="n">
        <f aca="false">G838</f>
        <v>0</v>
      </c>
      <c r="N838" s="54" t="n">
        <f aca="false">G838-M838</f>
        <v>0</v>
      </c>
      <c r="O838" s="55" t="str">
        <f aca="false">IFERROR(VLOOKUP($A838,RA_result!$B$3:$N$62,7,0),"")</f>
        <v/>
      </c>
      <c r="P838" s="52" t="str">
        <f aca="false">IFERROR(VLOOKUP($A838,RA_result!$B$3:$N$62,9,0),"")</f>
        <v/>
      </c>
      <c r="Q838" s="52" t="str">
        <f aca="false">IFERROR(VLOOKUP($A838,RA_result!$B$3:$N$62,10,0),"")</f>
        <v/>
      </c>
      <c r="R838" s="58" t="s">
        <v>55</v>
      </c>
      <c r="S838" s="59" t="str">
        <f aca="false">IFERROR(VLOOKUP($A838,RA_result!$B$3:$N$62,4,0),"")</f>
        <v/>
      </c>
      <c r="T838" s="60" t="s">
        <v>56</v>
      </c>
      <c r="U838" s="59" t="str">
        <f aca="false">IFERROR(IF(VLOOKUP($A838,RA_result!$B$3:$N$62,6,0)="",S838*T838,VLOOKUP($A838,RA_result!$B$3:$N$62,6,0)),"")</f>
        <v/>
      </c>
      <c r="V838" s="61" t="s">
        <v>56</v>
      </c>
      <c r="W838" s="62" t="n">
        <f aca="false">IFERROR((S838*30%)/V838,0)</f>
        <v>0</v>
      </c>
      <c r="X838" s="63" t="n">
        <f aca="false">IFERROR(N838/W838,0)</f>
        <v>0</v>
      </c>
      <c r="Y838" s="68"/>
      <c r="Z838" s="57"/>
      <c r="AA838" s="69" t="str">
        <f aca="false">IF(OR(U838="",Y838="",Z838=""),"",IF(AND(U838&gt;Y838,-U838&lt;Z838),"Ok","Not Ok"))</f>
        <v/>
      </c>
      <c r="AB838" s="70"/>
    </row>
    <row r="839" customFormat="false" ht="12.8" hidden="false" customHeight="false" outlineLevel="0" collapsed="false">
      <c r="A839" s="48" t="n">
        <f aca="false">TB_audited!A822</f>
        <v>0</v>
      </c>
      <c r="B839" s="49"/>
      <c r="C839" s="50"/>
      <c r="D839" s="51" t="n">
        <f aca="false">TB_audited!B822</f>
        <v>0</v>
      </c>
      <c r="E839" s="52" t="n">
        <f aca="false">TB_audited!C822</f>
        <v>0</v>
      </c>
      <c r="F839" s="53" t="n">
        <f aca="false">TB_audited!D822</f>
        <v>0</v>
      </c>
      <c r="G839" s="54" t="n">
        <f aca="false">IF($D$8="Interim",TB_audited!G822,TB_audited!E822)</f>
        <v>0</v>
      </c>
      <c r="H839" s="55" t="str">
        <f aca="false">IFERROR(VLOOKUP($A839,RA_result!$B$3:$N$62,11,0),"")</f>
        <v/>
      </c>
      <c r="I839" s="55" t="str">
        <f aca="false">IFERROR(VLOOKUP($A839,RA_result!$B$3:$N$62,12,0),"")</f>
        <v/>
      </c>
      <c r="J839" s="55" t="str">
        <f aca="false">IFERROR(VLOOKUP($A839,RA_result!$B$3:$N$62,13,0),"")</f>
        <v/>
      </c>
      <c r="K839" s="56"/>
      <c r="L839" s="56"/>
      <c r="M839" s="57" t="n">
        <f aca="false">G839</f>
        <v>0</v>
      </c>
      <c r="N839" s="54" t="n">
        <f aca="false">G839-M839</f>
        <v>0</v>
      </c>
      <c r="O839" s="55" t="str">
        <f aca="false">IFERROR(VLOOKUP($A839,RA_result!$B$3:$N$62,7,0),"")</f>
        <v/>
      </c>
      <c r="P839" s="52" t="str">
        <f aca="false">IFERROR(VLOOKUP($A839,RA_result!$B$3:$N$62,9,0),"")</f>
        <v/>
      </c>
      <c r="Q839" s="52" t="str">
        <f aca="false">IFERROR(VLOOKUP($A839,RA_result!$B$3:$N$62,10,0),"")</f>
        <v/>
      </c>
      <c r="R839" s="58" t="s">
        <v>55</v>
      </c>
      <c r="S839" s="59" t="str">
        <f aca="false">IFERROR(VLOOKUP($A839,RA_result!$B$3:$N$62,4,0),"")</f>
        <v/>
      </c>
      <c r="T839" s="60" t="s">
        <v>56</v>
      </c>
      <c r="U839" s="59" t="str">
        <f aca="false">IFERROR(IF(VLOOKUP($A839,RA_result!$B$3:$N$62,6,0)="",S839*T839,VLOOKUP($A839,RA_result!$B$3:$N$62,6,0)),"")</f>
        <v/>
      </c>
      <c r="V839" s="61" t="s">
        <v>56</v>
      </c>
      <c r="W839" s="62" t="n">
        <f aca="false">IFERROR((S839*30%)/V839,0)</f>
        <v>0</v>
      </c>
      <c r="X839" s="63" t="n">
        <f aca="false">IFERROR(N839/W839,0)</f>
        <v>0</v>
      </c>
      <c r="Y839" s="68"/>
      <c r="Z839" s="57"/>
      <c r="AA839" s="69" t="str">
        <f aca="false">IF(OR(U839="",Y839="",Z839=""),"",IF(AND(U839&gt;Y839,-U839&lt;Z839),"Ok","Not Ok"))</f>
        <v/>
      </c>
      <c r="AB839" s="70"/>
    </row>
    <row r="840" customFormat="false" ht="12.8" hidden="false" customHeight="false" outlineLevel="0" collapsed="false">
      <c r="A840" s="48" t="n">
        <f aca="false">TB_audited!A823</f>
        <v>0</v>
      </c>
      <c r="B840" s="49"/>
      <c r="C840" s="50"/>
      <c r="D840" s="51" t="n">
        <f aca="false">TB_audited!B823</f>
        <v>0</v>
      </c>
      <c r="E840" s="52" t="n">
        <f aca="false">TB_audited!C823</f>
        <v>0</v>
      </c>
      <c r="F840" s="53" t="n">
        <f aca="false">TB_audited!D823</f>
        <v>0</v>
      </c>
      <c r="G840" s="54" t="n">
        <f aca="false">IF($D$8="Interim",TB_audited!G823,TB_audited!E823)</f>
        <v>0</v>
      </c>
      <c r="H840" s="55" t="str">
        <f aca="false">IFERROR(VLOOKUP($A840,RA_result!$B$3:$N$62,11,0),"")</f>
        <v/>
      </c>
      <c r="I840" s="55" t="str">
        <f aca="false">IFERROR(VLOOKUP($A840,RA_result!$B$3:$N$62,12,0),"")</f>
        <v/>
      </c>
      <c r="J840" s="55" t="str">
        <f aca="false">IFERROR(VLOOKUP($A840,RA_result!$B$3:$N$62,13,0),"")</f>
        <v/>
      </c>
      <c r="K840" s="56"/>
      <c r="L840" s="56"/>
      <c r="M840" s="57" t="n">
        <f aca="false">G840</f>
        <v>0</v>
      </c>
      <c r="N840" s="54" t="n">
        <f aca="false">G840-M840</f>
        <v>0</v>
      </c>
      <c r="O840" s="55" t="str">
        <f aca="false">IFERROR(VLOOKUP($A840,RA_result!$B$3:$N$62,7,0),"")</f>
        <v/>
      </c>
      <c r="P840" s="52" t="str">
        <f aca="false">IFERROR(VLOOKUP($A840,RA_result!$B$3:$N$62,9,0),"")</f>
        <v/>
      </c>
      <c r="Q840" s="52" t="str">
        <f aca="false">IFERROR(VLOOKUP($A840,RA_result!$B$3:$N$62,10,0),"")</f>
        <v/>
      </c>
      <c r="R840" s="58" t="s">
        <v>55</v>
      </c>
      <c r="S840" s="59" t="str">
        <f aca="false">IFERROR(VLOOKUP($A840,RA_result!$B$3:$N$62,4,0),"")</f>
        <v/>
      </c>
      <c r="T840" s="60" t="s">
        <v>56</v>
      </c>
      <c r="U840" s="59" t="str">
        <f aca="false">IFERROR(IF(VLOOKUP($A840,RA_result!$B$3:$N$62,6,0)="",S840*T840,VLOOKUP($A840,RA_result!$B$3:$N$62,6,0)),"")</f>
        <v/>
      </c>
      <c r="V840" s="61" t="s">
        <v>56</v>
      </c>
      <c r="W840" s="62" t="n">
        <f aca="false">IFERROR((S840*30%)/V840,0)</f>
        <v>0</v>
      </c>
      <c r="X840" s="63" t="n">
        <f aca="false">IFERROR(N840/W840,0)</f>
        <v>0</v>
      </c>
      <c r="Y840" s="68"/>
      <c r="Z840" s="57"/>
      <c r="AA840" s="69" t="str">
        <f aca="false">IF(OR(U840="",Y840="",Z840=""),"",IF(AND(U840&gt;Y840,-U840&lt;Z840),"Ok","Not Ok"))</f>
        <v/>
      </c>
      <c r="AB840" s="70"/>
    </row>
    <row r="841" customFormat="false" ht="12.8" hidden="false" customHeight="false" outlineLevel="0" collapsed="false">
      <c r="A841" s="48" t="n">
        <f aca="false">TB_audited!A824</f>
        <v>0</v>
      </c>
      <c r="B841" s="49"/>
      <c r="C841" s="50"/>
      <c r="D841" s="51" t="n">
        <f aca="false">TB_audited!B824</f>
        <v>0</v>
      </c>
      <c r="E841" s="52" t="n">
        <f aca="false">TB_audited!C824</f>
        <v>0</v>
      </c>
      <c r="F841" s="53" t="n">
        <f aca="false">TB_audited!D824</f>
        <v>0</v>
      </c>
      <c r="G841" s="54" t="n">
        <f aca="false">IF($D$8="Interim",TB_audited!G824,TB_audited!E824)</f>
        <v>0</v>
      </c>
      <c r="H841" s="55" t="str">
        <f aca="false">IFERROR(VLOOKUP($A841,RA_result!$B$3:$N$62,11,0),"")</f>
        <v/>
      </c>
      <c r="I841" s="55" t="str">
        <f aca="false">IFERROR(VLOOKUP($A841,RA_result!$B$3:$N$62,12,0),"")</f>
        <v/>
      </c>
      <c r="J841" s="55" t="str">
        <f aca="false">IFERROR(VLOOKUP($A841,RA_result!$B$3:$N$62,13,0),"")</f>
        <v/>
      </c>
      <c r="K841" s="56"/>
      <c r="L841" s="56"/>
      <c r="M841" s="57" t="n">
        <f aca="false">G841</f>
        <v>0</v>
      </c>
      <c r="N841" s="54" t="n">
        <f aca="false">G841-M841</f>
        <v>0</v>
      </c>
      <c r="O841" s="55" t="str">
        <f aca="false">IFERROR(VLOOKUP($A841,RA_result!$B$3:$N$62,7,0),"")</f>
        <v/>
      </c>
      <c r="P841" s="52" t="str">
        <f aca="false">IFERROR(VLOOKUP($A841,RA_result!$B$3:$N$62,9,0),"")</f>
        <v/>
      </c>
      <c r="Q841" s="52" t="str">
        <f aca="false">IFERROR(VLOOKUP($A841,RA_result!$B$3:$N$62,10,0),"")</f>
        <v/>
      </c>
      <c r="R841" s="58" t="s">
        <v>55</v>
      </c>
      <c r="S841" s="59" t="str">
        <f aca="false">IFERROR(VLOOKUP($A841,RA_result!$B$3:$N$62,4,0),"")</f>
        <v/>
      </c>
      <c r="T841" s="60" t="s">
        <v>56</v>
      </c>
      <c r="U841" s="59" t="str">
        <f aca="false">IFERROR(IF(VLOOKUP($A841,RA_result!$B$3:$N$62,6,0)="",S841*T841,VLOOKUP($A841,RA_result!$B$3:$N$62,6,0)),"")</f>
        <v/>
      </c>
      <c r="V841" s="61" t="s">
        <v>56</v>
      </c>
      <c r="W841" s="62" t="n">
        <f aca="false">IFERROR((S841*30%)/V841,0)</f>
        <v>0</v>
      </c>
      <c r="X841" s="63" t="n">
        <f aca="false">IFERROR(N841/W841,0)</f>
        <v>0</v>
      </c>
      <c r="Y841" s="68"/>
      <c r="Z841" s="57"/>
      <c r="AA841" s="69" t="str">
        <f aca="false">IF(OR(U841="",Y841="",Z841=""),"",IF(AND(U841&gt;Y841,-U841&lt;Z841),"Ok","Not Ok"))</f>
        <v/>
      </c>
      <c r="AB841" s="70"/>
    </row>
    <row r="842" customFormat="false" ht="12.8" hidden="false" customHeight="false" outlineLevel="0" collapsed="false">
      <c r="A842" s="48" t="n">
        <f aca="false">TB_audited!A825</f>
        <v>0</v>
      </c>
      <c r="B842" s="49"/>
      <c r="C842" s="50"/>
      <c r="D842" s="51" t="n">
        <f aca="false">TB_audited!B825</f>
        <v>0</v>
      </c>
      <c r="E842" s="52" t="n">
        <f aca="false">TB_audited!C825</f>
        <v>0</v>
      </c>
      <c r="F842" s="53" t="n">
        <f aca="false">TB_audited!D825</f>
        <v>0</v>
      </c>
      <c r="G842" s="54" t="n">
        <f aca="false">IF($D$8="Interim",TB_audited!G825,TB_audited!E825)</f>
        <v>0</v>
      </c>
      <c r="H842" s="55" t="str">
        <f aca="false">IFERROR(VLOOKUP($A842,RA_result!$B$3:$N$62,11,0),"")</f>
        <v/>
      </c>
      <c r="I842" s="55" t="str">
        <f aca="false">IFERROR(VLOOKUP($A842,RA_result!$B$3:$N$62,12,0),"")</f>
        <v/>
      </c>
      <c r="J842" s="55" t="str">
        <f aca="false">IFERROR(VLOOKUP($A842,RA_result!$B$3:$N$62,13,0),"")</f>
        <v/>
      </c>
      <c r="K842" s="56"/>
      <c r="L842" s="56"/>
      <c r="M842" s="57" t="n">
        <f aca="false">G842</f>
        <v>0</v>
      </c>
      <c r="N842" s="54" t="n">
        <f aca="false">G842-M842</f>
        <v>0</v>
      </c>
      <c r="O842" s="55" t="str">
        <f aca="false">IFERROR(VLOOKUP($A842,RA_result!$B$3:$N$62,7,0),"")</f>
        <v/>
      </c>
      <c r="P842" s="52" t="str">
        <f aca="false">IFERROR(VLOOKUP($A842,RA_result!$B$3:$N$62,9,0),"")</f>
        <v/>
      </c>
      <c r="Q842" s="52" t="str">
        <f aca="false">IFERROR(VLOOKUP($A842,RA_result!$B$3:$N$62,10,0),"")</f>
        <v/>
      </c>
      <c r="R842" s="58" t="s">
        <v>55</v>
      </c>
      <c r="S842" s="59" t="str">
        <f aca="false">IFERROR(VLOOKUP($A842,RA_result!$B$3:$N$62,4,0),"")</f>
        <v/>
      </c>
      <c r="T842" s="60" t="s">
        <v>56</v>
      </c>
      <c r="U842" s="59" t="str">
        <f aca="false">IFERROR(IF(VLOOKUP($A842,RA_result!$B$3:$N$62,6,0)="",S842*T842,VLOOKUP($A842,RA_result!$B$3:$N$62,6,0)),"")</f>
        <v/>
      </c>
      <c r="V842" s="61" t="s">
        <v>56</v>
      </c>
      <c r="W842" s="62" t="n">
        <f aca="false">IFERROR((S842*30%)/V842,0)</f>
        <v>0</v>
      </c>
      <c r="X842" s="63" t="n">
        <f aca="false">IFERROR(N842/W842,0)</f>
        <v>0</v>
      </c>
      <c r="Y842" s="68"/>
      <c r="Z842" s="57"/>
      <c r="AA842" s="69" t="str">
        <f aca="false">IF(OR(U842="",Y842="",Z842=""),"",IF(AND(U842&gt;Y842,-U842&lt;Z842),"Ok","Not Ok"))</f>
        <v/>
      </c>
      <c r="AB842" s="70"/>
    </row>
    <row r="843" customFormat="false" ht="12.8" hidden="false" customHeight="false" outlineLevel="0" collapsed="false">
      <c r="A843" s="48" t="n">
        <f aca="false">TB_audited!A826</f>
        <v>0</v>
      </c>
      <c r="B843" s="49"/>
      <c r="C843" s="50"/>
      <c r="D843" s="51" t="n">
        <f aca="false">TB_audited!B826</f>
        <v>0</v>
      </c>
      <c r="E843" s="52" t="n">
        <f aca="false">TB_audited!C826</f>
        <v>0</v>
      </c>
      <c r="F843" s="53" t="n">
        <f aca="false">TB_audited!D826</f>
        <v>0</v>
      </c>
      <c r="G843" s="54" t="n">
        <f aca="false">IF($D$8="Interim",TB_audited!G826,TB_audited!E826)</f>
        <v>0</v>
      </c>
      <c r="H843" s="55" t="str">
        <f aca="false">IFERROR(VLOOKUP($A843,RA_result!$B$3:$N$62,11,0),"")</f>
        <v/>
      </c>
      <c r="I843" s="55" t="str">
        <f aca="false">IFERROR(VLOOKUP($A843,RA_result!$B$3:$N$62,12,0),"")</f>
        <v/>
      </c>
      <c r="J843" s="55" t="str">
        <f aca="false">IFERROR(VLOOKUP($A843,RA_result!$B$3:$N$62,13,0),"")</f>
        <v/>
      </c>
      <c r="K843" s="56"/>
      <c r="L843" s="56"/>
      <c r="M843" s="57" t="n">
        <f aca="false">G843</f>
        <v>0</v>
      </c>
      <c r="N843" s="54" t="n">
        <f aca="false">G843-M843</f>
        <v>0</v>
      </c>
      <c r="O843" s="55" t="str">
        <f aca="false">IFERROR(VLOOKUP($A843,RA_result!$B$3:$N$62,7,0),"")</f>
        <v/>
      </c>
      <c r="P843" s="52" t="str">
        <f aca="false">IFERROR(VLOOKUP($A843,RA_result!$B$3:$N$62,9,0),"")</f>
        <v/>
      </c>
      <c r="Q843" s="52" t="str">
        <f aca="false">IFERROR(VLOOKUP($A843,RA_result!$B$3:$N$62,10,0),"")</f>
        <v/>
      </c>
      <c r="R843" s="58" t="s">
        <v>55</v>
      </c>
      <c r="S843" s="59" t="str">
        <f aca="false">IFERROR(VLOOKUP($A843,RA_result!$B$3:$N$62,4,0),"")</f>
        <v/>
      </c>
      <c r="T843" s="60" t="s">
        <v>56</v>
      </c>
      <c r="U843" s="59" t="str">
        <f aca="false">IFERROR(IF(VLOOKUP($A843,RA_result!$B$3:$N$62,6,0)="",S843*T843,VLOOKUP($A843,RA_result!$B$3:$N$62,6,0)),"")</f>
        <v/>
      </c>
      <c r="V843" s="61" t="s">
        <v>56</v>
      </c>
      <c r="W843" s="62" t="n">
        <f aca="false">IFERROR((S843*30%)/V843,0)</f>
        <v>0</v>
      </c>
      <c r="X843" s="63" t="n">
        <f aca="false">IFERROR(N843/W843,0)</f>
        <v>0</v>
      </c>
      <c r="Y843" s="68"/>
      <c r="Z843" s="57"/>
      <c r="AA843" s="69" t="str">
        <f aca="false">IF(OR(U843="",Y843="",Z843=""),"",IF(AND(U843&gt;Y843,-U843&lt;Z843),"Ok","Not Ok"))</f>
        <v/>
      </c>
      <c r="AB843" s="70"/>
    </row>
    <row r="844" customFormat="false" ht="12.8" hidden="false" customHeight="false" outlineLevel="0" collapsed="false">
      <c r="A844" s="48" t="n">
        <f aca="false">TB_audited!A827</f>
        <v>0</v>
      </c>
      <c r="B844" s="49"/>
      <c r="C844" s="50"/>
      <c r="D844" s="51" t="n">
        <f aca="false">TB_audited!B827</f>
        <v>0</v>
      </c>
      <c r="E844" s="52" t="n">
        <f aca="false">TB_audited!C827</f>
        <v>0</v>
      </c>
      <c r="F844" s="53" t="n">
        <f aca="false">TB_audited!D827</f>
        <v>0</v>
      </c>
      <c r="G844" s="54" t="n">
        <f aca="false">IF($D$8="Interim",TB_audited!G827,TB_audited!E827)</f>
        <v>0</v>
      </c>
      <c r="H844" s="55" t="str">
        <f aca="false">IFERROR(VLOOKUP($A844,RA_result!$B$3:$N$62,11,0),"")</f>
        <v/>
      </c>
      <c r="I844" s="55" t="str">
        <f aca="false">IFERROR(VLOOKUP($A844,RA_result!$B$3:$N$62,12,0),"")</f>
        <v/>
      </c>
      <c r="J844" s="55" t="str">
        <f aca="false">IFERROR(VLOOKUP($A844,RA_result!$B$3:$N$62,13,0),"")</f>
        <v/>
      </c>
      <c r="K844" s="56"/>
      <c r="L844" s="56"/>
      <c r="M844" s="57" t="n">
        <f aca="false">G844</f>
        <v>0</v>
      </c>
      <c r="N844" s="54" t="n">
        <f aca="false">G844-M844</f>
        <v>0</v>
      </c>
      <c r="O844" s="55" t="str">
        <f aca="false">IFERROR(VLOOKUP($A844,RA_result!$B$3:$N$62,7,0),"")</f>
        <v/>
      </c>
      <c r="P844" s="52" t="str">
        <f aca="false">IFERROR(VLOOKUP($A844,RA_result!$B$3:$N$62,9,0),"")</f>
        <v/>
      </c>
      <c r="Q844" s="52" t="str">
        <f aca="false">IFERROR(VLOOKUP($A844,RA_result!$B$3:$N$62,10,0),"")</f>
        <v/>
      </c>
      <c r="R844" s="58" t="s">
        <v>55</v>
      </c>
      <c r="S844" s="59" t="str">
        <f aca="false">IFERROR(VLOOKUP($A844,RA_result!$B$3:$N$62,4,0),"")</f>
        <v/>
      </c>
      <c r="T844" s="60" t="s">
        <v>56</v>
      </c>
      <c r="U844" s="59" t="str">
        <f aca="false">IFERROR(IF(VLOOKUP($A844,RA_result!$B$3:$N$62,6,0)="",S844*T844,VLOOKUP($A844,RA_result!$B$3:$N$62,6,0)),"")</f>
        <v/>
      </c>
      <c r="V844" s="61" t="s">
        <v>56</v>
      </c>
      <c r="W844" s="62" t="n">
        <f aca="false">IFERROR((S844*30%)/V844,0)</f>
        <v>0</v>
      </c>
      <c r="X844" s="63" t="n">
        <f aca="false">IFERROR(N844/W844,0)</f>
        <v>0</v>
      </c>
      <c r="Y844" s="68"/>
      <c r="Z844" s="57"/>
      <c r="AA844" s="69" t="str">
        <f aca="false">IF(OR(U844="",Y844="",Z844=""),"",IF(AND(U844&gt;Y844,-U844&lt;Z844),"Ok","Not Ok"))</f>
        <v/>
      </c>
      <c r="AB844" s="70"/>
    </row>
    <row r="845" customFormat="false" ht="12.8" hidden="false" customHeight="false" outlineLevel="0" collapsed="false">
      <c r="A845" s="48" t="n">
        <f aca="false">TB_audited!A828</f>
        <v>0</v>
      </c>
      <c r="B845" s="49"/>
      <c r="C845" s="50"/>
      <c r="D845" s="51" t="n">
        <f aca="false">TB_audited!B828</f>
        <v>0</v>
      </c>
      <c r="E845" s="52" t="n">
        <f aca="false">TB_audited!C828</f>
        <v>0</v>
      </c>
      <c r="F845" s="53" t="n">
        <f aca="false">TB_audited!D828</f>
        <v>0</v>
      </c>
      <c r="G845" s="54" t="n">
        <f aca="false">IF($D$8="Interim",TB_audited!G828,TB_audited!E828)</f>
        <v>0</v>
      </c>
      <c r="H845" s="55" t="str">
        <f aca="false">IFERROR(VLOOKUP($A845,RA_result!$B$3:$N$62,11,0),"")</f>
        <v/>
      </c>
      <c r="I845" s="55" t="str">
        <f aca="false">IFERROR(VLOOKUP($A845,RA_result!$B$3:$N$62,12,0),"")</f>
        <v/>
      </c>
      <c r="J845" s="55" t="str">
        <f aca="false">IFERROR(VLOOKUP($A845,RA_result!$B$3:$N$62,13,0),"")</f>
        <v/>
      </c>
      <c r="K845" s="56"/>
      <c r="L845" s="56"/>
      <c r="M845" s="57" t="n">
        <f aca="false">G845</f>
        <v>0</v>
      </c>
      <c r="N845" s="54" t="n">
        <f aca="false">G845-M845</f>
        <v>0</v>
      </c>
      <c r="O845" s="55" t="str">
        <f aca="false">IFERROR(VLOOKUP($A845,RA_result!$B$3:$N$62,7,0),"")</f>
        <v/>
      </c>
      <c r="P845" s="52" t="str">
        <f aca="false">IFERROR(VLOOKUP($A845,RA_result!$B$3:$N$62,9,0),"")</f>
        <v/>
      </c>
      <c r="Q845" s="52" t="str">
        <f aca="false">IFERROR(VLOOKUP($A845,RA_result!$B$3:$N$62,10,0),"")</f>
        <v/>
      </c>
      <c r="R845" s="58" t="s">
        <v>55</v>
      </c>
      <c r="S845" s="59" t="str">
        <f aca="false">IFERROR(VLOOKUP($A845,RA_result!$B$3:$N$62,4,0),"")</f>
        <v/>
      </c>
      <c r="T845" s="60" t="s">
        <v>56</v>
      </c>
      <c r="U845" s="59" t="str">
        <f aca="false">IFERROR(IF(VLOOKUP($A845,RA_result!$B$3:$N$62,6,0)="",S845*T845,VLOOKUP($A845,RA_result!$B$3:$N$62,6,0)),"")</f>
        <v/>
      </c>
      <c r="V845" s="61" t="s">
        <v>56</v>
      </c>
      <c r="W845" s="62" t="n">
        <f aca="false">IFERROR((S845*30%)/V845,0)</f>
        <v>0</v>
      </c>
      <c r="X845" s="63" t="n">
        <f aca="false">IFERROR(N845/W845,0)</f>
        <v>0</v>
      </c>
      <c r="Y845" s="68"/>
      <c r="Z845" s="57"/>
      <c r="AA845" s="69" t="str">
        <f aca="false">IF(OR(U845="",Y845="",Z845=""),"",IF(AND(U845&gt;Y845,-U845&lt;Z845),"Ok","Not Ok"))</f>
        <v/>
      </c>
      <c r="AB845" s="70"/>
    </row>
    <row r="846" customFormat="false" ht="12.8" hidden="false" customHeight="false" outlineLevel="0" collapsed="false">
      <c r="A846" s="48" t="n">
        <f aca="false">TB_audited!A829</f>
        <v>0</v>
      </c>
      <c r="B846" s="49"/>
      <c r="C846" s="50"/>
      <c r="D846" s="51" t="n">
        <f aca="false">TB_audited!B829</f>
        <v>0</v>
      </c>
      <c r="E846" s="52" t="n">
        <f aca="false">TB_audited!C829</f>
        <v>0</v>
      </c>
      <c r="F846" s="53" t="n">
        <f aca="false">TB_audited!D829</f>
        <v>0</v>
      </c>
      <c r="G846" s="54" t="n">
        <f aca="false">IF($D$8="Interim",TB_audited!G829,TB_audited!E829)</f>
        <v>0</v>
      </c>
      <c r="H846" s="55" t="str">
        <f aca="false">IFERROR(VLOOKUP($A846,RA_result!$B$3:$N$62,11,0),"")</f>
        <v/>
      </c>
      <c r="I846" s="55" t="str">
        <f aca="false">IFERROR(VLOOKUP($A846,RA_result!$B$3:$N$62,12,0),"")</f>
        <v/>
      </c>
      <c r="J846" s="55" t="str">
        <f aca="false">IFERROR(VLOOKUP($A846,RA_result!$B$3:$N$62,13,0),"")</f>
        <v/>
      </c>
      <c r="K846" s="56"/>
      <c r="L846" s="56"/>
      <c r="M846" s="57" t="n">
        <f aca="false">G846</f>
        <v>0</v>
      </c>
      <c r="N846" s="54" t="n">
        <f aca="false">G846-M846</f>
        <v>0</v>
      </c>
      <c r="O846" s="55" t="str">
        <f aca="false">IFERROR(VLOOKUP($A846,RA_result!$B$3:$N$62,7,0),"")</f>
        <v/>
      </c>
      <c r="P846" s="52" t="str">
        <f aca="false">IFERROR(VLOOKUP($A846,RA_result!$B$3:$N$62,9,0),"")</f>
        <v/>
      </c>
      <c r="Q846" s="52" t="str">
        <f aca="false">IFERROR(VLOOKUP($A846,RA_result!$B$3:$N$62,10,0),"")</f>
        <v/>
      </c>
      <c r="R846" s="58" t="s">
        <v>55</v>
      </c>
      <c r="S846" s="59" t="str">
        <f aca="false">IFERROR(VLOOKUP($A846,RA_result!$B$3:$N$62,4,0),"")</f>
        <v/>
      </c>
      <c r="T846" s="60" t="s">
        <v>56</v>
      </c>
      <c r="U846" s="59" t="str">
        <f aca="false">IFERROR(IF(VLOOKUP($A846,RA_result!$B$3:$N$62,6,0)="",S846*T846,VLOOKUP($A846,RA_result!$B$3:$N$62,6,0)),"")</f>
        <v/>
      </c>
      <c r="V846" s="61" t="s">
        <v>56</v>
      </c>
      <c r="W846" s="62" t="n">
        <f aca="false">IFERROR((S846*30%)/V846,0)</f>
        <v>0</v>
      </c>
      <c r="X846" s="63" t="n">
        <f aca="false">IFERROR(N846/W846,0)</f>
        <v>0</v>
      </c>
      <c r="Y846" s="68"/>
      <c r="Z846" s="57"/>
      <c r="AA846" s="69" t="str">
        <f aca="false">IF(OR(U846="",Y846="",Z846=""),"",IF(AND(U846&gt;Y846,-U846&lt;Z846),"Ok","Not Ok"))</f>
        <v/>
      </c>
      <c r="AB846" s="70"/>
    </row>
    <row r="847" customFormat="false" ht="12.8" hidden="false" customHeight="false" outlineLevel="0" collapsed="false">
      <c r="A847" s="48" t="n">
        <f aca="false">TB_audited!A830</f>
        <v>0</v>
      </c>
      <c r="B847" s="49"/>
      <c r="C847" s="50"/>
      <c r="D847" s="51" t="n">
        <f aca="false">TB_audited!B830</f>
        <v>0</v>
      </c>
      <c r="E847" s="52" t="n">
        <f aca="false">TB_audited!C830</f>
        <v>0</v>
      </c>
      <c r="F847" s="53" t="n">
        <f aca="false">TB_audited!D830</f>
        <v>0</v>
      </c>
      <c r="G847" s="54" t="n">
        <f aca="false">IF($D$8="Interim",TB_audited!G830,TB_audited!E830)</f>
        <v>0</v>
      </c>
      <c r="H847" s="55" t="str">
        <f aca="false">IFERROR(VLOOKUP($A847,RA_result!$B$3:$N$62,11,0),"")</f>
        <v/>
      </c>
      <c r="I847" s="55" t="str">
        <f aca="false">IFERROR(VLOOKUP($A847,RA_result!$B$3:$N$62,12,0),"")</f>
        <v/>
      </c>
      <c r="J847" s="55" t="str">
        <f aca="false">IFERROR(VLOOKUP($A847,RA_result!$B$3:$N$62,13,0),"")</f>
        <v/>
      </c>
      <c r="K847" s="56"/>
      <c r="L847" s="56"/>
      <c r="M847" s="57" t="n">
        <f aca="false">G847</f>
        <v>0</v>
      </c>
      <c r="N847" s="54" t="n">
        <f aca="false">G847-M847</f>
        <v>0</v>
      </c>
      <c r="O847" s="55" t="str">
        <f aca="false">IFERROR(VLOOKUP($A847,RA_result!$B$3:$N$62,7,0),"")</f>
        <v/>
      </c>
      <c r="P847" s="52" t="str">
        <f aca="false">IFERROR(VLOOKUP($A847,RA_result!$B$3:$N$62,9,0),"")</f>
        <v/>
      </c>
      <c r="Q847" s="52" t="str">
        <f aca="false">IFERROR(VLOOKUP($A847,RA_result!$B$3:$N$62,10,0),"")</f>
        <v/>
      </c>
      <c r="R847" s="58" t="s">
        <v>55</v>
      </c>
      <c r="S847" s="59" t="str">
        <f aca="false">IFERROR(VLOOKUP($A847,RA_result!$B$3:$N$62,4,0),"")</f>
        <v/>
      </c>
      <c r="T847" s="60" t="s">
        <v>56</v>
      </c>
      <c r="U847" s="59" t="str">
        <f aca="false">IFERROR(IF(VLOOKUP($A847,RA_result!$B$3:$N$62,6,0)="",S847*T847,VLOOKUP($A847,RA_result!$B$3:$N$62,6,0)),"")</f>
        <v/>
      </c>
      <c r="V847" s="61" t="s">
        <v>56</v>
      </c>
      <c r="W847" s="62" t="n">
        <f aca="false">IFERROR((S847*30%)/V847,0)</f>
        <v>0</v>
      </c>
      <c r="X847" s="63" t="n">
        <f aca="false">IFERROR(N847/W847,0)</f>
        <v>0</v>
      </c>
      <c r="Y847" s="68"/>
      <c r="Z847" s="57"/>
      <c r="AA847" s="69" t="str">
        <f aca="false">IF(OR(U847="",Y847="",Z847=""),"",IF(AND(U847&gt;Y847,-U847&lt;Z847),"Ok","Not Ok"))</f>
        <v/>
      </c>
      <c r="AB847" s="70"/>
    </row>
    <row r="848" customFormat="false" ht="12.8" hidden="false" customHeight="false" outlineLevel="0" collapsed="false">
      <c r="A848" s="48" t="n">
        <f aca="false">TB_audited!A831</f>
        <v>0</v>
      </c>
      <c r="B848" s="49"/>
      <c r="C848" s="50"/>
      <c r="D848" s="51" t="n">
        <f aca="false">TB_audited!B831</f>
        <v>0</v>
      </c>
      <c r="E848" s="52" t="n">
        <f aca="false">TB_audited!C831</f>
        <v>0</v>
      </c>
      <c r="F848" s="53" t="n">
        <f aca="false">TB_audited!D831</f>
        <v>0</v>
      </c>
      <c r="G848" s="54" t="n">
        <f aca="false">IF($D$8="Interim",TB_audited!G831,TB_audited!E831)</f>
        <v>0</v>
      </c>
      <c r="H848" s="55" t="str">
        <f aca="false">IFERROR(VLOOKUP($A848,RA_result!$B$3:$N$62,11,0),"")</f>
        <v/>
      </c>
      <c r="I848" s="55" t="str">
        <f aca="false">IFERROR(VLOOKUP($A848,RA_result!$B$3:$N$62,12,0),"")</f>
        <v/>
      </c>
      <c r="J848" s="55" t="str">
        <f aca="false">IFERROR(VLOOKUP($A848,RA_result!$B$3:$N$62,13,0),"")</f>
        <v/>
      </c>
      <c r="K848" s="56"/>
      <c r="L848" s="56"/>
      <c r="M848" s="57" t="n">
        <f aca="false">G848</f>
        <v>0</v>
      </c>
      <c r="N848" s="54" t="n">
        <f aca="false">G848-M848</f>
        <v>0</v>
      </c>
      <c r="O848" s="55" t="str">
        <f aca="false">IFERROR(VLOOKUP($A848,RA_result!$B$3:$N$62,7,0),"")</f>
        <v/>
      </c>
      <c r="P848" s="52" t="str">
        <f aca="false">IFERROR(VLOOKUP($A848,RA_result!$B$3:$N$62,9,0),"")</f>
        <v/>
      </c>
      <c r="Q848" s="52" t="str">
        <f aca="false">IFERROR(VLOOKUP($A848,RA_result!$B$3:$N$62,10,0),"")</f>
        <v/>
      </c>
      <c r="R848" s="58" t="s">
        <v>55</v>
      </c>
      <c r="S848" s="59" t="str">
        <f aca="false">IFERROR(VLOOKUP($A848,RA_result!$B$3:$N$62,4,0),"")</f>
        <v/>
      </c>
      <c r="T848" s="60" t="s">
        <v>56</v>
      </c>
      <c r="U848" s="59" t="str">
        <f aca="false">IFERROR(IF(VLOOKUP($A848,RA_result!$B$3:$N$62,6,0)="",S848*T848,VLOOKUP($A848,RA_result!$B$3:$N$62,6,0)),"")</f>
        <v/>
      </c>
      <c r="V848" s="61" t="s">
        <v>56</v>
      </c>
      <c r="W848" s="62" t="n">
        <f aca="false">IFERROR((S848*30%)/V848,0)</f>
        <v>0</v>
      </c>
      <c r="X848" s="63" t="n">
        <f aca="false">IFERROR(N848/W848,0)</f>
        <v>0</v>
      </c>
      <c r="Y848" s="68"/>
      <c r="Z848" s="57"/>
      <c r="AA848" s="69" t="str">
        <f aca="false">IF(OR(U848="",Y848="",Z848=""),"",IF(AND(U848&gt;Y848,-U848&lt;Z848),"Ok","Not Ok"))</f>
        <v/>
      </c>
      <c r="AB848" s="70"/>
    </row>
    <row r="849" customFormat="false" ht="12.8" hidden="false" customHeight="false" outlineLevel="0" collapsed="false">
      <c r="A849" s="48" t="n">
        <f aca="false">TB_audited!A832</f>
        <v>0</v>
      </c>
      <c r="B849" s="49"/>
      <c r="C849" s="50"/>
      <c r="D849" s="51" t="n">
        <f aca="false">TB_audited!B832</f>
        <v>0</v>
      </c>
      <c r="E849" s="52" t="n">
        <f aca="false">TB_audited!C832</f>
        <v>0</v>
      </c>
      <c r="F849" s="53" t="n">
        <f aca="false">TB_audited!D832</f>
        <v>0</v>
      </c>
      <c r="G849" s="54" t="n">
        <f aca="false">IF($D$8="Interim",TB_audited!G832,TB_audited!E832)</f>
        <v>0</v>
      </c>
      <c r="H849" s="55" t="str">
        <f aca="false">IFERROR(VLOOKUP($A849,RA_result!$B$3:$N$62,11,0),"")</f>
        <v/>
      </c>
      <c r="I849" s="55" t="str">
        <f aca="false">IFERROR(VLOOKUP($A849,RA_result!$B$3:$N$62,12,0),"")</f>
        <v/>
      </c>
      <c r="J849" s="55" t="str">
        <f aca="false">IFERROR(VLOOKUP($A849,RA_result!$B$3:$N$62,13,0),"")</f>
        <v/>
      </c>
      <c r="K849" s="56"/>
      <c r="L849" s="56"/>
      <c r="M849" s="57" t="n">
        <f aca="false">G849</f>
        <v>0</v>
      </c>
      <c r="N849" s="54" t="n">
        <f aca="false">G849-M849</f>
        <v>0</v>
      </c>
      <c r="O849" s="55" t="str">
        <f aca="false">IFERROR(VLOOKUP($A849,RA_result!$B$3:$N$62,7,0),"")</f>
        <v/>
      </c>
      <c r="P849" s="52" t="str">
        <f aca="false">IFERROR(VLOOKUP($A849,RA_result!$B$3:$N$62,9,0),"")</f>
        <v/>
      </c>
      <c r="Q849" s="52" t="str">
        <f aca="false">IFERROR(VLOOKUP($A849,RA_result!$B$3:$N$62,10,0),"")</f>
        <v/>
      </c>
      <c r="R849" s="58" t="s">
        <v>55</v>
      </c>
      <c r="S849" s="59" t="str">
        <f aca="false">IFERROR(VLOOKUP($A849,RA_result!$B$3:$N$62,4,0),"")</f>
        <v/>
      </c>
      <c r="T849" s="60" t="s">
        <v>56</v>
      </c>
      <c r="U849" s="59" t="str">
        <f aca="false">IFERROR(IF(VLOOKUP($A849,RA_result!$B$3:$N$62,6,0)="",S849*T849,VLOOKUP($A849,RA_result!$B$3:$N$62,6,0)),"")</f>
        <v/>
      </c>
      <c r="V849" s="61" t="s">
        <v>56</v>
      </c>
      <c r="W849" s="62" t="n">
        <f aca="false">IFERROR((S849*30%)/V849,0)</f>
        <v>0</v>
      </c>
      <c r="X849" s="63" t="n">
        <f aca="false">IFERROR(N849/W849,0)</f>
        <v>0</v>
      </c>
      <c r="Y849" s="68"/>
      <c r="Z849" s="57"/>
      <c r="AA849" s="69" t="str">
        <f aca="false">IF(OR(U849="",Y849="",Z849=""),"",IF(AND(U849&gt;Y849,-U849&lt;Z849),"Ok","Not Ok"))</f>
        <v/>
      </c>
      <c r="AB849" s="70"/>
    </row>
    <row r="850" customFormat="false" ht="12.8" hidden="false" customHeight="false" outlineLevel="0" collapsed="false">
      <c r="A850" s="48" t="n">
        <f aca="false">TB_audited!A833</f>
        <v>0</v>
      </c>
      <c r="B850" s="49"/>
      <c r="C850" s="50"/>
      <c r="D850" s="51" t="n">
        <f aca="false">TB_audited!B833</f>
        <v>0</v>
      </c>
      <c r="E850" s="52" t="n">
        <f aca="false">TB_audited!C833</f>
        <v>0</v>
      </c>
      <c r="F850" s="53" t="n">
        <f aca="false">TB_audited!D833</f>
        <v>0</v>
      </c>
      <c r="G850" s="54" t="n">
        <f aca="false">IF($D$8="Interim",TB_audited!G833,TB_audited!E833)</f>
        <v>0</v>
      </c>
      <c r="H850" s="55" t="str">
        <f aca="false">IFERROR(VLOOKUP($A850,RA_result!$B$3:$N$62,11,0),"")</f>
        <v/>
      </c>
      <c r="I850" s="55" t="str">
        <f aca="false">IFERROR(VLOOKUP($A850,RA_result!$B$3:$N$62,12,0),"")</f>
        <v/>
      </c>
      <c r="J850" s="55" t="str">
        <f aca="false">IFERROR(VLOOKUP($A850,RA_result!$B$3:$N$62,13,0),"")</f>
        <v/>
      </c>
      <c r="K850" s="56"/>
      <c r="L850" s="56"/>
      <c r="M850" s="57" t="n">
        <f aca="false">G850</f>
        <v>0</v>
      </c>
      <c r="N850" s="54" t="n">
        <f aca="false">G850-M850</f>
        <v>0</v>
      </c>
      <c r="O850" s="55" t="str">
        <f aca="false">IFERROR(VLOOKUP($A850,RA_result!$B$3:$N$62,7,0),"")</f>
        <v/>
      </c>
      <c r="P850" s="52" t="str">
        <f aca="false">IFERROR(VLOOKUP($A850,RA_result!$B$3:$N$62,9,0),"")</f>
        <v/>
      </c>
      <c r="Q850" s="52" t="str">
        <f aca="false">IFERROR(VLOOKUP($A850,RA_result!$B$3:$N$62,10,0),"")</f>
        <v/>
      </c>
      <c r="R850" s="58" t="s">
        <v>55</v>
      </c>
      <c r="S850" s="59" t="str">
        <f aca="false">IFERROR(VLOOKUP($A850,RA_result!$B$3:$N$62,4,0),"")</f>
        <v/>
      </c>
      <c r="T850" s="60" t="s">
        <v>56</v>
      </c>
      <c r="U850" s="59" t="str">
        <f aca="false">IFERROR(IF(VLOOKUP($A850,RA_result!$B$3:$N$62,6,0)="",S850*T850,VLOOKUP($A850,RA_result!$B$3:$N$62,6,0)),"")</f>
        <v/>
      </c>
      <c r="V850" s="61" t="s">
        <v>56</v>
      </c>
      <c r="W850" s="62" t="n">
        <f aca="false">IFERROR((S850*30%)/V850,0)</f>
        <v>0</v>
      </c>
      <c r="X850" s="63" t="n">
        <f aca="false">IFERROR(N850/W850,0)</f>
        <v>0</v>
      </c>
      <c r="Y850" s="68"/>
      <c r="Z850" s="57"/>
      <c r="AA850" s="69" t="str">
        <f aca="false">IF(OR(U850="",Y850="",Z850=""),"",IF(AND(U850&gt;Y850,-U850&lt;Z850),"Ok","Not Ok"))</f>
        <v/>
      </c>
      <c r="AB850" s="70"/>
    </row>
    <row r="851" customFormat="false" ht="12.8" hidden="false" customHeight="false" outlineLevel="0" collapsed="false">
      <c r="A851" s="48" t="n">
        <f aca="false">TB_audited!A834</f>
        <v>0</v>
      </c>
      <c r="B851" s="49"/>
      <c r="C851" s="50"/>
      <c r="D851" s="51" t="n">
        <f aca="false">TB_audited!B834</f>
        <v>0</v>
      </c>
      <c r="E851" s="52" t="n">
        <f aca="false">TB_audited!C834</f>
        <v>0</v>
      </c>
      <c r="F851" s="53" t="n">
        <f aca="false">TB_audited!D834</f>
        <v>0</v>
      </c>
      <c r="G851" s="54" t="n">
        <f aca="false">IF($D$8="Interim",TB_audited!G834,TB_audited!E834)</f>
        <v>0</v>
      </c>
      <c r="H851" s="55" t="str">
        <f aca="false">IFERROR(VLOOKUP($A851,RA_result!$B$3:$N$62,11,0),"")</f>
        <v/>
      </c>
      <c r="I851" s="55" t="str">
        <f aca="false">IFERROR(VLOOKUP($A851,RA_result!$B$3:$N$62,12,0),"")</f>
        <v/>
      </c>
      <c r="J851" s="55" t="str">
        <f aca="false">IFERROR(VLOOKUP($A851,RA_result!$B$3:$N$62,13,0),"")</f>
        <v/>
      </c>
      <c r="K851" s="56"/>
      <c r="L851" s="56"/>
      <c r="M851" s="57" t="n">
        <f aca="false">G851</f>
        <v>0</v>
      </c>
      <c r="N851" s="54" t="n">
        <f aca="false">G851-M851</f>
        <v>0</v>
      </c>
      <c r="O851" s="55" t="str">
        <f aca="false">IFERROR(VLOOKUP($A851,RA_result!$B$3:$N$62,7,0),"")</f>
        <v/>
      </c>
      <c r="P851" s="52" t="str">
        <f aca="false">IFERROR(VLOOKUP($A851,RA_result!$B$3:$N$62,9,0),"")</f>
        <v/>
      </c>
      <c r="Q851" s="52" t="str">
        <f aca="false">IFERROR(VLOOKUP($A851,RA_result!$B$3:$N$62,10,0),"")</f>
        <v/>
      </c>
      <c r="R851" s="58" t="s">
        <v>55</v>
      </c>
      <c r="S851" s="59" t="str">
        <f aca="false">IFERROR(VLOOKUP($A851,RA_result!$B$3:$N$62,4,0),"")</f>
        <v/>
      </c>
      <c r="T851" s="60" t="s">
        <v>56</v>
      </c>
      <c r="U851" s="59" t="str">
        <f aca="false">IFERROR(IF(VLOOKUP($A851,RA_result!$B$3:$N$62,6,0)="",S851*T851,VLOOKUP($A851,RA_result!$B$3:$N$62,6,0)),"")</f>
        <v/>
      </c>
      <c r="V851" s="61" t="s">
        <v>56</v>
      </c>
      <c r="W851" s="62" t="n">
        <f aca="false">IFERROR((S851*30%)/V851,0)</f>
        <v>0</v>
      </c>
      <c r="X851" s="63" t="n">
        <f aca="false">IFERROR(N851/W851,0)</f>
        <v>0</v>
      </c>
      <c r="Y851" s="68"/>
      <c r="Z851" s="57"/>
      <c r="AA851" s="69" t="str">
        <f aca="false">IF(OR(U851="",Y851="",Z851=""),"",IF(AND(U851&gt;Y851,-U851&lt;Z851),"Ok","Not Ok"))</f>
        <v/>
      </c>
      <c r="AB851" s="70"/>
    </row>
    <row r="852" customFormat="false" ht="12.8" hidden="false" customHeight="false" outlineLevel="0" collapsed="false">
      <c r="A852" s="48" t="n">
        <f aca="false">TB_audited!A835</f>
        <v>0</v>
      </c>
      <c r="B852" s="49"/>
      <c r="C852" s="50"/>
      <c r="D852" s="51" t="n">
        <f aca="false">TB_audited!B835</f>
        <v>0</v>
      </c>
      <c r="E852" s="52" t="n">
        <f aca="false">TB_audited!C835</f>
        <v>0</v>
      </c>
      <c r="F852" s="53" t="n">
        <f aca="false">TB_audited!D835</f>
        <v>0</v>
      </c>
      <c r="G852" s="54" t="n">
        <f aca="false">IF($D$8="Interim",TB_audited!G835,TB_audited!E835)</f>
        <v>0</v>
      </c>
      <c r="H852" s="55" t="str">
        <f aca="false">IFERROR(VLOOKUP($A852,RA_result!$B$3:$N$62,11,0),"")</f>
        <v/>
      </c>
      <c r="I852" s="55" t="str">
        <f aca="false">IFERROR(VLOOKUP($A852,RA_result!$B$3:$N$62,12,0),"")</f>
        <v/>
      </c>
      <c r="J852" s="55" t="str">
        <f aca="false">IFERROR(VLOOKUP($A852,RA_result!$B$3:$N$62,13,0),"")</f>
        <v/>
      </c>
      <c r="K852" s="56"/>
      <c r="L852" s="56"/>
      <c r="M852" s="57" t="n">
        <f aca="false">G852</f>
        <v>0</v>
      </c>
      <c r="N852" s="54" t="n">
        <f aca="false">G852-M852</f>
        <v>0</v>
      </c>
      <c r="O852" s="55" t="str">
        <f aca="false">IFERROR(VLOOKUP($A852,RA_result!$B$3:$N$62,7,0),"")</f>
        <v/>
      </c>
      <c r="P852" s="52" t="str">
        <f aca="false">IFERROR(VLOOKUP($A852,RA_result!$B$3:$N$62,9,0),"")</f>
        <v/>
      </c>
      <c r="Q852" s="52" t="str">
        <f aca="false">IFERROR(VLOOKUP($A852,RA_result!$B$3:$N$62,10,0),"")</f>
        <v/>
      </c>
      <c r="R852" s="58" t="s">
        <v>55</v>
      </c>
      <c r="S852" s="59" t="str">
        <f aca="false">IFERROR(VLOOKUP($A852,RA_result!$B$3:$N$62,4,0),"")</f>
        <v/>
      </c>
      <c r="T852" s="60" t="s">
        <v>56</v>
      </c>
      <c r="U852" s="59" t="str">
        <f aca="false">IFERROR(IF(VLOOKUP($A852,RA_result!$B$3:$N$62,6,0)="",S852*T852,VLOOKUP($A852,RA_result!$B$3:$N$62,6,0)),"")</f>
        <v/>
      </c>
      <c r="V852" s="61" t="s">
        <v>56</v>
      </c>
      <c r="W852" s="62" t="n">
        <f aca="false">IFERROR((S852*30%)/V852,0)</f>
        <v>0</v>
      </c>
      <c r="X852" s="63" t="n">
        <f aca="false">IFERROR(N852/W852,0)</f>
        <v>0</v>
      </c>
      <c r="Y852" s="68"/>
      <c r="Z852" s="57"/>
      <c r="AA852" s="69" t="str">
        <f aca="false">IF(OR(U852="",Y852="",Z852=""),"",IF(AND(U852&gt;Y852,-U852&lt;Z852),"Ok","Not Ok"))</f>
        <v/>
      </c>
      <c r="AB852" s="70"/>
    </row>
    <row r="853" customFormat="false" ht="12.8" hidden="false" customHeight="false" outlineLevel="0" collapsed="false">
      <c r="A853" s="48" t="n">
        <f aca="false">TB_audited!A836</f>
        <v>0</v>
      </c>
      <c r="B853" s="49"/>
      <c r="C853" s="50"/>
      <c r="D853" s="51" t="n">
        <f aca="false">TB_audited!B836</f>
        <v>0</v>
      </c>
      <c r="E853" s="52" t="n">
        <f aca="false">TB_audited!C836</f>
        <v>0</v>
      </c>
      <c r="F853" s="53" t="n">
        <f aca="false">TB_audited!D836</f>
        <v>0</v>
      </c>
      <c r="G853" s="54" t="n">
        <f aca="false">IF($D$8="Interim",TB_audited!G836,TB_audited!E836)</f>
        <v>0</v>
      </c>
      <c r="H853" s="55" t="str">
        <f aca="false">IFERROR(VLOOKUP($A853,RA_result!$B$3:$N$62,11,0),"")</f>
        <v/>
      </c>
      <c r="I853" s="55" t="str">
        <f aca="false">IFERROR(VLOOKUP($A853,RA_result!$B$3:$N$62,12,0),"")</f>
        <v/>
      </c>
      <c r="J853" s="55" t="str">
        <f aca="false">IFERROR(VLOOKUP($A853,RA_result!$B$3:$N$62,13,0),"")</f>
        <v/>
      </c>
      <c r="K853" s="56"/>
      <c r="L853" s="56"/>
      <c r="M853" s="57" t="n">
        <f aca="false">G853</f>
        <v>0</v>
      </c>
      <c r="N853" s="54" t="n">
        <f aca="false">G853-M853</f>
        <v>0</v>
      </c>
      <c r="O853" s="55" t="str">
        <f aca="false">IFERROR(VLOOKUP($A853,RA_result!$B$3:$N$62,7,0),"")</f>
        <v/>
      </c>
      <c r="P853" s="52" t="str">
        <f aca="false">IFERROR(VLOOKUP($A853,RA_result!$B$3:$N$62,9,0),"")</f>
        <v/>
      </c>
      <c r="Q853" s="52" t="str">
        <f aca="false">IFERROR(VLOOKUP($A853,RA_result!$B$3:$N$62,10,0),"")</f>
        <v/>
      </c>
      <c r="R853" s="58" t="s">
        <v>55</v>
      </c>
      <c r="S853" s="59" t="str">
        <f aca="false">IFERROR(VLOOKUP($A853,RA_result!$B$3:$N$62,4,0),"")</f>
        <v/>
      </c>
      <c r="T853" s="60" t="s">
        <v>56</v>
      </c>
      <c r="U853" s="59" t="str">
        <f aca="false">IFERROR(IF(VLOOKUP($A853,RA_result!$B$3:$N$62,6,0)="",S853*T853,VLOOKUP($A853,RA_result!$B$3:$N$62,6,0)),"")</f>
        <v/>
      </c>
      <c r="V853" s="61" t="s">
        <v>56</v>
      </c>
      <c r="W853" s="62" t="n">
        <f aca="false">IFERROR((S853*30%)/V853,0)</f>
        <v>0</v>
      </c>
      <c r="X853" s="63" t="n">
        <f aca="false">IFERROR(N853/W853,0)</f>
        <v>0</v>
      </c>
      <c r="Y853" s="68"/>
      <c r="Z853" s="57"/>
      <c r="AA853" s="69" t="str">
        <f aca="false">IF(OR(U853="",Y853="",Z853=""),"",IF(AND(U853&gt;Y853,-U853&lt;Z853),"Ok","Not Ok"))</f>
        <v/>
      </c>
      <c r="AB853" s="70"/>
    </row>
    <row r="854" customFormat="false" ht="12.8" hidden="false" customHeight="false" outlineLevel="0" collapsed="false">
      <c r="A854" s="48" t="n">
        <f aca="false">TB_audited!A837</f>
        <v>0</v>
      </c>
      <c r="B854" s="49"/>
      <c r="C854" s="50"/>
      <c r="D854" s="51" t="n">
        <f aca="false">TB_audited!B837</f>
        <v>0</v>
      </c>
      <c r="E854" s="52" t="n">
        <f aca="false">TB_audited!C837</f>
        <v>0</v>
      </c>
      <c r="F854" s="53" t="n">
        <f aca="false">TB_audited!D837</f>
        <v>0</v>
      </c>
      <c r="G854" s="54" t="n">
        <f aca="false">IF($D$8="Interim",TB_audited!G837,TB_audited!E837)</f>
        <v>0</v>
      </c>
      <c r="H854" s="55" t="str">
        <f aca="false">IFERROR(VLOOKUP($A854,RA_result!$B$3:$N$62,11,0),"")</f>
        <v/>
      </c>
      <c r="I854" s="55" t="str">
        <f aca="false">IFERROR(VLOOKUP($A854,RA_result!$B$3:$N$62,12,0),"")</f>
        <v/>
      </c>
      <c r="J854" s="55" t="str">
        <f aca="false">IFERROR(VLOOKUP($A854,RA_result!$B$3:$N$62,13,0),"")</f>
        <v/>
      </c>
      <c r="K854" s="56"/>
      <c r="L854" s="56"/>
      <c r="M854" s="57" t="n">
        <f aca="false">G854</f>
        <v>0</v>
      </c>
      <c r="N854" s="54" t="n">
        <f aca="false">G854-M854</f>
        <v>0</v>
      </c>
      <c r="O854" s="55" t="str">
        <f aca="false">IFERROR(VLOOKUP($A854,RA_result!$B$3:$N$62,7,0),"")</f>
        <v/>
      </c>
      <c r="P854" s="52" t="str">
        <f aca="false">IFERROR(VLOOKUP($A854,RA_result!$B$3:$N$62,9,0),"")</f>
        <v/>
      </c>
      <c r="Q854" s="52" t="str">
        <f aca="false">IFERROR(VLOOKUP($A854,RA_result!$B$3:$N$62,10,0),"")</f>
        <v/>
      </c>
      <c r="R854" s="58" t="s">
        <v>55</v>
      </c>
      <c r="S854" s="59" t="str">
        <f aca="false">IFERROR(VLOOKUP($A854,RA_result!$B$3:$N$62,4,0),"")</f>
        <v/>
      </c>
      <c r="T854" s="60" t="s">
        <v>56</v>
      </c>
      <c r="U854" s="59" t="str">
        <f aca="false">IFERROR(IF(VLOOKUP($A854,RA_result!$B$3:$N$62,6,0)="",S854*T854,VLOOKUP($A854,RA_result!$B$3:$N$62,6,0)),"")</f>
        <v/>
      </c>
      <c r="V854" s="61" t="s">
        <v>56</v>
      </c>
      <c r="W854" s="62" t="n">
        <f aca="false">IFERROR((S854*30%)/V854,0)</f>
        <v>0</v>
      </c>
      <c r="X854" s="63" t="n">
        <f aca="false">IFERROR(N854/W854,0)</f>
        <v>0</v>
      </c>
      <c r="Y854" s="68"/>
      <c r="Z854" s="57"/>
      <c r="AA854" s="69" t="str">
        <f aca="false">IF(OR(U854="",Y854="",Z854=""),"",IF(AND(U854&gt;Y854,-U854&lt;Z854),"Ok","Not Ok"))</f>
        <v/>
      </c>
      <c r="AB854" s="70"/>
    </row>
    <row r="855" customFormat="false" ht="12.8" hidden="false" customHeight="false" outlineLevel="0" collapsed="false">
      <c r="A855" s="48" t="n">
        <f aca="false">TB_audited!A838</f>
        <v>0</v>
      </c>
      <c r="B855" s="49"/>
      <c r="C855" s="50"/>
      <c r="D855" s="51" t="n">
        <f aca="false">TB_audited!B838</f>
        <v>0</v>
      </c>
      <c r="E855" s="52" t="n">
        <f aca="false">TB_audited!C838</f>
        <v>0</v>
      </c>
      <c r="F855" s="53" t="n">
        <f aca="false">TB_audited!D838</f>
        <v>0</v>
      </c>
      <c r="G855" s="54" t="n">
        <f aca="false">IF($D$8="Interim",TB_audited!G838,TB_audited!E838)</f>
        <v>0</v>
      </c>
      <c r="H855" s="55" t="str">
        <f aca="false">IFERROR(VLOOKUP($A855,RA_result!$B$3:$N$62,11,0),"")</f>
        <v/>
      </c>
      <c r="I855" s="55" t="str">
        <f aca="false">IFERROR(VLOOKUP($A855,RA_result!$B$3:$N$62,12,0),"")</f>
        <v/>
      </c>
      <c r="J855" s="55" t="str">
        <f aca="false">IFERROR(VLOOKUP($A855,RA_result!$B$3:$N$62,13,0),"")</f>
        <v/>
      </c>
      <c r="K855" s="56"/>
      <c r="L855" s="56"/>
      <c r="M855" s="57" t="n">
        <f aca="false">G855</f>
        <v>0</v>
      </c>
      <c r="N855" s="54" t="n">
        <f aca="false">G855-M855</f>
        <v>0</v>
      </c>
      <c r="O855" s="55" t="str">
        <f aca="false">IFERROR(VLOOKUP($A855,RA_result!$B$3:$N$62,7,0),"")</f>
        <v/>
      </c>
      <c r="P855" s="52" t="str">
        <f aca="false">IFERROR(VLOOKUP($A855,RA_result!$B$3:$N$62,9,0),"")</f>
        <v/>
      </c>
      <c r="Q855" s="52" t="str">
        <f aca="false">IFERROR(VLOOKUP($A855,RA_result!$B$3:$N$62,10,0),"")</f>
        <v/>
      </c>
      <c r="R855" s="58" t="s">
        <v>55</v>
      </c>
      <c r="S855" s="59" t="str">
        <f aca="false">IFERROR(VLOOKUP($A855,RA_result!$B$3:$N$62,4,0),"")</f>
        <v/>
      </c>
      <c r="T855" s="60" t="s">
        <v>56</v>
      </c>
      <c r="U855" s="59" t="str">
        <f aca="false">IFERROR(IF(VLOOKUP($A855,RA_result!$B$3:$N$62,6,0)="",S855*T855,VLOOKUP($A855,RA_result!$B$3:$N$62,6,0)),"")</f>
        <v/>
      </c>
      <c r="V855" s="61" t="s">
        <v>56</v>
      </c>
      <c r="W855" s="62" t="n">
        <f aca="false">IFERROR((S855*30%)/V855,0)</f>
        <v>0</v>
      </c>
      <c r="X855" s="63" t="n">
        <f aca="false">IFERROR(N855/W855,0)</f>
        <v>0</v>
      </c>
      <c r="Y855" s="68"/>
      <c r="Z855" s="57"/>
      <c r="AA855" s="69" t="str">
        <f aca="false">IF(OR(U855="",Y855="",Z855=""),"",IF(AND(U855&gt;Y855,-U855&lt;Z855),"Ok","Not Ok"))</f>
        <v/>
      </c>
      <c r="AB855" s="70"/>
    </row>
    <row r="856" customFormat="false" ht="12.8" hidden="false" customHeight="false" outlineLevel="0" collapsed="false">
      <c r="A856" s="48" t="n">
        <f aca="false">TB_audited!A839</f>
        <v>0</v>
      </c>
      <c r="B856" s="49"/>
      <c r="C856" s="50"/>
      <c r="D856" s="51" t="n">
        <f aca="false">TB_audited!B839</f>
        <v>0</v>
      </c>
      <c r="E856" s="52" t="n">
        <f aca="false">TB_audited!C839</f>
        <v>0</v>
      </c>
      <c r="F856" s="53" t="n">
        <f aca="false">TB_audited!D839</f>
        <v>0</v>
      </c>
      <c r="G856" s="54" t="n">
        <f aca="false">IF($D$8="Interim",TB_audited!G839,TB_audited!E839)</f>
        <v>0</v>
      </c>
      <c r="H856" s="55" t="str">
        <f aca="false">IFERROR(VLOOKUP($A856,RA_result!$B$3:$N$62,11,0),"")</f>
        <v/>
      </c>
      <c r="I856" s="55" t="str">
        <f aca="false">IFERROR(VLOOKUP($A856,RA_result!$B$3:$N$62,12,0),"")</f>
        <v/>
      </c>
      <c r="J856" s="55" t="str">
        <f aca="false">IFERROR(VLOOKUP($A856,RA_result!$B$3:$N$62,13,0),"")</f>
        <v/>
      </c>
      <c r="K856" s="56"/>
      <c r="L856" s="56"/>
      <c r="M856" s="57" t="n">
        <f aca="false">G856</f>
        <v>0</v>
      </c>
      <c r="N856" s="54" t="n">
        <f aca="false">G856-M856</f>
        <v>0</v>
      </c>
      <c r="O856" s="55" t="str">
        <f aca="false">IFERROR(VLOOKUP($A856,RA_result!$B$3:$N$62,7,0),"")</f>
        <v/>
      </c>
      <c r="P856" s="52" t="str">
        <f aca="false">IFERROR(VLOOKUP($A856,RA_result!$B$3:$N$62,9,0),"")</f>
        <v/>
      </c>
      <c r="Q856" s="52" t="str">
        <f aca="false">IFERROR(VLOOKUP($A856,RA_result!$B$3:$N$62,10,0),"")</f>
        <v/>
      </c>
      <c r="R856" s="58" t="s">
        <v>55</v>
      </c>
      <c r="S856" s="59" t="str">
        <f aca="false">IFERROR(VLOOKUP($A856,RA_result!$B$3:$N$62,4,0),"")</f>
        <v/>
      </c>
      <c r="T856" s="60" t="s">
        <v>56</v>
      </c>
      <c r="U856" s="59" t="str">
        <f aca="false">IFERROR(IF(VLOOKUP($A856,RA_result!$B$3:$N$62,6,0)="",S856*T856,VLOOKUP($A856,RA_result!$B$3:$N$62,6,0)),"")</f>
        <v/>
      </c>
      <c r="V856" s="61" t="s">
        <v>56</v>
      </c>
      <c r="W856" s="62" t="n">
        <f aca="false">IFERROR((S856*30%)/V856,0)</f>
        <v>0</v>
      </c>
      <c r="X856" s="63" t="n">
        <f aca="false">IFERROR(N856/W856,0)</f>
        <v>0</v>
      </c>
      <c r="Y856" s="68"/>
      <c r="Z856" s="57"/>
      <c r="AA856" s="69" t="str">
        <f aca="false">IF(OR(U856="",Y856="",Z856=""),"",IF(AND(U856&gt;Y856,-U856&lt;Z856),"Ok","Not Ok"))</f>
        <v/>
      </c>
      <c r="AB856" s="70"/>
    </row>
    <row r="857" customFormat="false" ht="12.8" hidden="false" customHeight="false" outlineLevel="0" collapsed="false">
      <c r="A857" s="48" t="n">
        <f aca="false">TB_audited!A840</f>
        <v>0</v>
      </c>
      <c r="B857" s="49"/>
      <c r="C857" s="50"/>
      <c r="D857" s="51" t="n">
        <f aca="false">TB_audited!B840</f>
        <v>0</v>
      </c>
      <c r="E857" s="52" t="n">
        <f aca="false">TB_audited!C840</f>
        <v>0</v>
      </c>
      <c r="F857" s="53" t="n">
        <f aca="false">TB_audited!D840</f>
        <v>0</v>
      </c>
      <c r="G857" s="54" t="n">
        <f aca="false">IF($D$8="Interim",TB_audited!G840,TB_audited!E840)</f>
        <v>0</v>
      </c>
      <c r="H857" s="55" t="str">
        <f aca="false">IFERROR(VLOOKUP($A857,RA_result!$B$3:$N$62,11,0),"")</f>
        <v/>
      </c>
      <c r="I857" s="55" t="str">
        <f aca="false">IFERROR(VLOOKUP($A857,RA_result!$B$3:$N$62,12,0),"")</f>
        <v/>
      </c>
      <c r="J857" s="55" t="str">
        <f aca="false">IFERROR(VLOOKUP($A857,RA_result!$B$3:$N$62,13,0),"")</f>
        <v/>
      </c>
      <c r="K857" s="56"/>
      <c r="L857" s="56"/>
      <c r="M857" s="57" t="n">
        <f aca="false">G857</f>
        <v>0</v>
      </c>
      <c r="N857" s="54" t="n">
        <f aca="false">G857-M857</f>
        <v>0</v>
      </c>
      <c r="O857" s="55" t="str">
        <f aca="false">IFERROR(VLOOKUP($A857,RA_result!$B$3:$N$62,7,0),"")</f>
        <v/>
      </c>
      <c r="P857" s="52" t="str">
        <f aca="false">IFERROR(VLOOKUP($A857,RA_result!$B$3:$N$62,9,0),"")</f>
        <v/>
      </c>
      <c r="Q857" s="52" t="str">
        <f aca="false">IFERROR(VLOOKUP($A857,RA_result!$B$3:$N$62,10,0),"")</f>
        <v/>
      </c>
      <c r="R857" s="58" t="s">
        <v>55</v>
      </c>
      <c r="S857" s="59" t="str">
        <f aca="false">IFERROR(VLOOKUP($A857,RA_result!$B$3:$N$62,4,0),"")</f>
        <v/>
      </c>
      <c r="T857" s="60" t="s">
        <v>56</v>
      </c>
      <c r="U857" s="59" t="str">
        <f aca="false">IFERROR(IF(VLOOKUP($A857,RA_result!$B$3:$N$62,6,0)="",S857*T857,VLOOKUP($A857,RA_result!$B$3:$N$62,6,0)),"")</f>
        <v/>
      </c>
      <c r="V857" s="61" t="s">
        <v>56</v>
      </c>
      <c r="W857" s="62" t="n">
        <f aca="false">IFERROR((S857*30%)/V857,0)</f>
        <v>0</v>
      </c>
      <c r="X857" s="63" t="n">
        <f aca="false">IFERROR(N857/W857,0)</f>
        <v>0</v>
      </c>
      <c r="Y857" s="68"/>
      <c r="Z857" s="57"/>
      <c r="AA857" s="69" t="str">
        <f aca="false">IF(OR(U857="",Y857="",Z857=""),"",IF(AND(U857&gt;Y857,-U857&lt;Z857),"Ok","Not Ok"))</f>
        <v/>
      </c>
      <c r="AB857" s="70"/>
    </row>
    <row r="858" customFormat="false" ht="12.8" hidden="false" customHeight="false" outlineLevel="0" collapsed="false">
      <c r="A858" s="48" t="n">
        <f aca="false">TB_audited!A841</f>
        <v>0</v>
      </c>
      <c r="B858" s="49"/>
      <c r="C858" s="50"/>
      <c r="D858" s="51" t="n">
        <f aca="false">TB_audited!B841</f>
        <v>0</v>
      </c>
      <c r="E858" s="52" t="n">
        <f aca="false">TB_audited!C841</f>
        <v>0</v>
      </c>
      <c r="F858" s="53" t="n">
        <f aca="false">TB_audited!D841</f>
        <v>0</v>
      </c>
      <c r="G858" s="54" t="n">
        <f aca="false">IF($D$8="Interim",TB_audited!G841,TB_audited!E841)</f>
        <v>0</v>
      </c>
      <c r="H858" s="55" t="str">
        <f aca="false">IFERROR(VLOOKUP($A858,RA_result!$B$3:$N$62,11,0),"")</f>
        <v/>
      </c>
      <c r="I858" s="55" t="str">
        <f aca="false">IFERROR(VLOOKUP($A858,RA_result!$B$3:$N$62,12,0),"")</f>
        <v/>
      </c>
      <c r="J858" s="55" t="str">
        <f aca="false">IFERROR(VLOOKUP($A858,RA_result!$B$3:$N$62,13,0),"")</f>
        <v/>
      </c>
      <c r="K858" s="56"/>
      <c r="L858" s="56"/>
      <c r="M858" s="57" t="n">
        <f aca="false">G858</f>
        <v>0</v>
      </c>
      <c r="N858" s="54" t="n">
        <f aca="false">G858-M858</f>
        <v>0</v>
      </c>
      <c r="O858" s="55" t="str">
        <f aca="false">IFERROR(VLOOKUP($A858,RA_result!$B$3:$N$62,7,0),"")</f>
        <v/>
      </c>
      <c r="P858" s="52" t="str">
        <f aca="false">IFERROR(VLOOKUP($A858,RA_result!$B$3:$N$62,9,0),"")</f>
        <v/>
      </c>
      <c r="Q858" s="52" t="str">
        <f aca="false">IFERROR(VLOOKUP($A858,RA_result!$B$3:$N$62,10,0),"")</f>
        <v/>
      </c>
      <c r="R858" s="58" t="s">
        <v>55</v>
      </c>
      <c r="S858" s="59" t="str">
        <f aca="false">IFERROR(VLOOKUP($A858,RA_result!$B$3:$N$62,4,0),"")</f>
        <v/>
      </c>
      <c r="T858" s="60" t="s">
        <v>56</v>
      </c>
      <c r="U858" s="59" t="str">
        <f aca="false">IFERROR(IF(VLOOKUP($A858,RA_result!$B$3:$N$62,6,0)="",S858*T858,VLOOKUP($A858,RA_result!$B$3:$N$62,6,0)),"")</f>
        <v/>
      </c>
      <c r="V858" s="61" t="s">
        <v>56</v>
      </c>
      <c r="W858" s="62" t="n">
        <f aca="false">IFERROR((S858*30%)/V858,0)</f>
        <v>0</v>
      </c>
      <c r="X858" s="63" t="n">
        <f aca="false">IFERROR(N858/W858,0)</f>
        <v>0</v>
      </c>
      <c r="Y858" s="68"/>
      <c r="Z858" s="57"/>
      <c r="AA858" s="69" t="str">
        <f aca="false">IF(OR(U858="",Y858="",Z858=""),"",IF(AND(U858&gt;Y858,-U858&lt;Z858),"Ok","Not Ok"))</f>
        <v/>
      </c>
      <c r="AB858" s="70"/>
    </row>
    <row r="859" customFormat="false" ht="12.8" hidden="false" customHeight="false" outlineLevel="0" collapsed="false">
      <c r="A859" s="48" t="n">
        <f aca="false">TB_audited!A842</f>
        <v>0</v>
      </c>
      <c r="B859" s="49"/>
      <c r="C859" s="50"/>
      <c r="D859" s="51" t="n">
        <f aca="false">TB_audited!B842</f>
        <v>0</v>
      </c>
      <c r="E859" s="52" t="n">
        <f aca="false">TB_audited!C842</f>
        <v>0</v>
      </c>
      <c r="F859" s="53" t="n">
        <f aca="false">TB_audited!D842</f>
        <v>0</v>
      </c>
      <c r="G859" s="54" t="n">
        <f aca="false">IF($D$8="Interim",TB_audited!G842,TB_audited!E842)</f>
        <v>0</v>
      </c>
      <c r="H859" s="55" t="str">
        <f aca="false">IFERROR(VLOOKUP($A859,RA_result!$B$3:$N$62,11,0),"")</f>
        <v/>
      </c>
      <c r="I859" s="55" t="str">
        <f aca="false">IFERROR(VLOOKUP($A859,RA_result!$B$3:$N$62,12,0),"")</f>
        <v/>
      </c>
      <c r="J859" s="55" t="str">
        <f aca="false">IFERROR(VLOOKUP($A859,RA_result!$B$3:$N$62,13,0),"")</f>
        <v/>
      </c>
      <c r="K859" s="56"/>
      <c r="L859" s="56"/>
      <c r="M859" s="57" t="n">
        <f aca="false">G859</f>
        <v>0</v>
      </c>
      <c r="N859" s="54" t="n">
        <f aca="false">G859-M859</f>
        <v>0</v>
      </c>
      <c r="O859" s="55" t="str">
        <f aca="false">IFERROR(VLOOKUP($A859,RA_result!$B$3:$N$62,7,0),"")</f>
        <v/>
      </c>
      <c r="P859" s="52" t="str">
        <f aca="false">IFERROR(VLOOKUP($A859,RA_result!$B$3:$N$62,9,0),"")</f>
        <v/>
      </c>
      <c r="Q859" s="52" t="str">
        <f aca="false">IFERROR(VLOOKUP($A859,RA_result!$B$3:$N$62,10,0),"")</f>
        <v/>
      </c>
      <c r="R859" s="58" t="s">
        <v>55</v>
      </c>
      <c r="S859" s="59" t="str">
        <f aca="false">IFERROR(VLOOKUP($A859,RA_result!$B$3:$N$62,4,0),"")</f>
        <v/>
      </c>
      <c r="T859" s="60" t="s">
        <v>56</v>
      </c>
      <c r="U859" s="59" t="str">
        <f aca="false">IFERROR(IF(VLOOKUP($A859,RA_result!$B$3:$N$62,6,0)="",S859*T859,VLOOKUP($A859,RA_result!$B$3:$N$62,6,0)),"")</f>
        <v/>
      </c>
      <c r="V859" s="61" t="s">
        <v>56</v>
      </c>
      <c r="W859" s="62" t="n">
        <f aca="false">IFERROR((S859*30%)/V859,0)</f>
        <v>0</v>
      </c>
      <c r="X859" s="63" t="n">
        <f aca="false">IFERROR(N859/W859,0)</f>
        <v>0</v>
      </c>
      <c r="Y859" s="68"/>
      <c r="Z859" s="57"/>
      <c r="AA859" s="69" t="str">
        <f aca="false">IF(OR(U859="",Y859="",Z859=""),"",IF(AND(U859&gt;Y859,-U859&lt;Z859),"Ok","Not Ok"))</f>
        <v/>
      </c>
      <c r="AB859" s="70"/>
    </row>
    <row r="860" customFormat="false" ht="12.8" hidden="false" customHeight="false" outlineLevel="0" collapsed="false">
      <c r="A860" s="48" t="n">
        <f aca="false">TB_audited!A843</f>
        <v>0</v>
      </c>
      <c r="B860" s="49"/>
      <c r="C860" s="50"/>
      <c r="D860" s="51" t="n">
        <f aca="false">TB_audited!B843</f>
        <v>0</v>
      </c>
      <c r="E860" s="52" t="n">
        <f aca="false">TB_audited!C843</f>
        <v>0</v>
      </c>
      <c r="F860" s="53" t="n">
        <f aca="false">TB_audited!D843</f>
        <v>0</v>
      </c>
      <c r="G860" s="54" t="n">
        <f aca="false">IF($D$8="Interim",TB_audited!G843,TB_audited!E843)</f>
        <v>0</v>
      </c>
      <c r="H860" s="55" t="str">
        <f aca="false">IFERROR(VLOOKUP($A860,RA_result!$B$3:$N$62,11,0),"")</f>
        <v/>
      </c>
      <c r="I860" s="55" t="str">
        <f aca="false">IFERROR(VLOOKUP($A860,RA_result!$B$3:$N$62,12,0),"")</f>
        <v/>
      </c>
      <c r="J860" s="55" t="str">
        <f aca="false">IFERROR(VLOOKUP($A860,RA_result!$B$3:$N$62,13,0),"")</f>
        <v/>
      </c>
      <c r="K860" s="56"/>
      <c r="L860" s="56"/>
      <c r="M860" s="57" t="n">
        <f aca="false">G860</f>
        <v>0</v>
      </c>
      <c r="N860" s="54" t="n">
        <f aca="false">G860-M860</f>
        <v>0</v>
      </c>
      <c r="O860" s="55" t="str">
        <f aca="false">IFERROR(VLOOKUP($A860,RA_result!$B$3:$N$62,7,0),"")</f>
        <v/>
      </c>
      <c r="P860" s="52" t="str">
        <f aca="false">IFERROR(VLOOKUP($A860,RA_result!$B$3:$N$62,9,0),"")</f>
        <v/>
      </c>
      <c r="Q860" s="52" t="str">
        <f aca="false">IFERROR(VLOOKUP($A860,RA_result!$B$3:$N$62,10,0),"")</f>
        <v/>
      </c>
      <c r="R860" s="58" t="s">
        <v>55</v>
      </c>
      <c r="S860" s="59" t="str">
        <f aca="false">IFERROR(VLOOKUP($A860,RA_result!$B$3:$N$62,4,0),"")</f>
        <v/>
      </c>
      <c r="T860" s="60" t="s">
        <v>56</v>
      </c>
      <c r="U860" s="59" t="str">
        <f aca="false">IFERROR(IF(VLOOKUP($A860,RA_result!$B$3:$N$62,6,0)="",S860*T860,VLOOKUP($A860,RA_result!$B$3:$N$62,6,0)),"")</f>
        <v/>
      </c>
      <c r="V860" s="61" t="s">
        <v>56</v>
      </c>
      <c r="W860" s="62" t="n">
        <f aca="false">IFERROR((S860*30%)/V860,0)</f>
        <v>0</v>
      </c>
      <c r="X860" s="63" t="n">
        <f aca="false">IFERROR(N860/W860,0)</f>
        <v>0</v>
      </c>
      <c r="Y860" s="68"/>
      <c r="Z860" s="57"/>
      <c r="AA860" s="69" t="str">
        <f aca="false">IF(OR(U860="",Y860="",Z860=""),"",IF(AND(U860&gt;Y860,-U860&lt;Z860),"Ok","Not Ok"))</f>
        <v/>
      </c>
      <c r="AB860" s="70"/>
    </row>
    <row r="861" customFormat="false" ht="12.8" hidden="false" customHeight="false" outlineLevel="0" collapsed="false">
      <c r="A861" s="48" t="n">
        <f aca="false">TB_audited!A844</f>
        <v>0</v>
      </c>
      <c r="B861" s="49"/>
      <c r="C861" s="50"/>
      <c r="D861" s="51" t="n">
        <f aca="false">TB_audited!B844</f>
        <v>0</v>
      </c>
      <c r="E861" s="52" t="n">
        <f aca="false">TB_audited!C844</f>
        <v>0</v>
      </c>
      <c r="F861" s="53" t="n">
        <f aca="false">TB_audited!D844</f>
        <v>0</v>
      </c>
      <c r="G861" s="54" t="n">
        <f aca="false">IF($D$8="Interim",TB_audited!G844,TB_audited!E844)</f>
        <v>0</v>
      </c>
      <c r="H861" s="55" t="str">
        <f aca="false">IFERROR(VLOOKUP($A861,RA_result!$B$3:$N$62,11,0),"")</f>
        <v/>
      </c>
      <c r="I861" s="55" t="str">
        <f aca="false">IFERROR(VLOOKUP($A861,RA_result!$B$3:$N$62,12,0),"")</f>
        <v/>
      </c>
      <c r="J861" s="55" t="str">
        <f aca="false">IFERROR(VLOOKUP($A861,RA_result!$B$3:$N$62,13,0),"")</f>
        <v/>
      </c>
      <c r="K861" s="56"/>
      <c r="L861" s="56"/>
      <c r="M861" s="57" t="n">
        <f aca="false">G861</f>
        <v>0</v>
      </c>
      <c r="N861" s="54" t="n">
        <f aca="false">G861-M861</f>
        <v>0</v>
      </c>
      <c r="O861" s="55" t="str">
        <f aca="false">IFERROR(VLOOKUP($A861,RA_result!$B$3:$N$62,7,0),"")</f>
        <v/>
      </c>
      <c r="P861" s="52" t="str">
        <f aca="false">IFERROR(VLOOKUP($A861,RA_result!$B$3:$N$62,9,0),"")</f>
        <v/>
      </c>
      <c r="Q861" s="52" t="str">
        <f aca="false">IFERROR(VLOOKUP($A861,RA_result!$B$3:$N$62,10,0),"")</f>
        <v/>
      </c>
      <c r="R861" s="58" t="s">
        <v>55</v>
      </c>
      <c r="S861" s="59" t="str">
        <f aca="false">IFERROR(VLOOKUP($A861,RA_result!$B$3:$N$62,4,0),"")</f>
        <v/>
      </c>
      <c r="T861" s="60" t="s">
        <v>56</v>
      </c>
      <c r="U861" s="59" t="str">
        <f aca="false">IFERROR(IF(VLOOKUP($A861,RA_result!$B$3:$N$62,6,0)="",S861*T861,VLOOKUP($A861,RA_result!$B$3:$N$62,6,0)),"")</f>
        <v/>
      </c>
      <c r="V861" s="61" t="s">
        <v>56</v>
      </c>
      <c r="W861" s="62" t="n">
        <f aca="false">IFERROR((S861*30%)/V861,0)</f>
        <v>0</v>
      </c>
      <c r="X861" s="63" t="n">
        <f aca="false">IFERROR(N861/W861,0)</f>
        <v>0</v>
      </c>
      <c r="Y861" s="68"/>
      <c r="Z861" s="57"/>
      <c r="AA861" s="69" t="str">
        <f aca="false">IF(OR(U861="",Y861="",Z861=""),"",IF(AND(U861&gt;Y861,-U861&lt;Z861),"Ok","Not Ok"))</f>
        <v/>
      </c>
      <c r="AB861" s="70"/>
    </row>
    <row r="862" customFormat="false" ht="12.8" hidden="false" customHeight="false" outlineLevel="0" collapsed="false">
      <c r="A862" s="48" t="n">
        <f aca="false">TB_audited!A845</f>
        <v>0</v>
      </c>
      <c r="B862" s="49"/>
      <c r="C862" s="50"/>
      <c r="D862" s="51" t="n">
        <f aca="false">TB_audited!B845</f>
        <v>0</v>
      </c>
      <c r="E862" s="52" t="n">
        <f aca="false">TB_audited!C845</f>
        <v>0</v>
      </c>
      <c r="F862" s="53" t="n">
        <f aca="false">TB_audited!D845</f>
        <v>0</v>
      </c>
      <c r="G862" s="54" t="n">
        <f aca="false">IF($D$8="Interim",TB_audited!G845,TB_audited!E845)</f>
        <v>0</v>
      </c>
      <c r="H862" s="55" t="str">
        <f aca="false">IFERROR(VLOOKUP($A862,RA_result!$B$3:$N$62,11,0),"")</f>
        <v/>
      </c>
      <c r="I862" s="55" t="str">
        <f aca="false">IFERROR(VLOOKUP($A862,RA_result!$B$3:$N$62,12,0),"")</f>
        <v/>
      </c>
      <c r="J862" s="55" t="str">
        <f aca="false">IFERROR(VLOOKUP($A862,RA_result!$B$3:$N$62,13,0),"")</f>
        <v/>
      </c>
      <c r="K862" s="56"/>
      <c r="L862" s="56"/>
      <c r="M862" s="57" t="n">
        <f aca="false">G862</f>
        <v>0</v>
      </c>
      <c r="N862" s="54" t="n">
        <f aca="false">G862-M862</f>
        <v>0</v>
      </c>
      <c r="O862" s="55" t="str">
        <f aca="false">IFERROR(VLOOKUP($A862,RA_result!$B$3:$N$62,7,0),"")</f>
        <v/>
      </c>
      <c r="P862" s="52" t="str">
        <f aca="false">IFERROR(VLOOKUP($A862,RA_result!$B$3:$N$62,9,0),"")</f>
        <v/>
      </c>
      <c r="Q862" s="52" t="str">
        <f aca="false">IFERROR(VLOOKUP($A862,RA_result!$B$3:$N$62,10,0),"")</f>
        <v/>
      </c>
      <c r="R862" s="58" t="s">
        <v>55</v>
      </c>
      <c r="S862" s="59" t="str">
        <f aca="false">IFERROR(VLOOKUP($A862,RA_result!$B$3:$N$62,4,0),"")</f>
        <v/>
      </c>
      <c r="T862" s="60" t="s">
        <v>56</v>
      </c>
      <c r="U862" s="59" t="str">
        <f aca="false">IFERROR(IF(VLOOKUP($A862,RA_result!$B$3:$N$62,6,0)="",S862*T862,VLOOKUP($A862,RA_result!$B$3:$N$62,6,0)),"")</f>
        <v/>
      </c>
      <c r="V862" s="61" t="s">
        <v>56</v>
      </c>
      <c r="W862" s="62" t="n">
        <f aca="false">IFERROR((S862*30%)/V862,0)</f>
        <v>0</v>
      </c>
      <c r="X862" s="63" t="n">
        <f aca="false">IFERROR(N862/W862,0)</f>
        <v>0</v>
      </c>
      <c r="Y862" s="68"/>
      <c r="Z862" s="57"/>
      <c r="AA862" s="69" t="str">
        <f aca="false">IF(OR(U862="",Y862="",Z862=""),"",IF(AND(U862&gt;Y862,-U862&lt;Z862),"Ok","Not Ok"))</f>
        <v/>
      </c>
      <c r="AB862" s="70"/>
    </row>
    <row r="863" customFormat="false" ht="12.8" hidden="false" customHeight="false" outlineLevel="0" collapsed="false">
      <c r="A863" s="48" t="n">
        <f aca="false">TB_audited!A846</f>
        <v>0</v>
      </c>
      <c r="B863" s="49"/>
      <c r="C863" s="50"/>
      <c r="D863" s="51" t="n">
        <f aca="false">TB_audited!B846</f>
        <v>0</v>
      </c>
      <c r="E863" s="52" t="n">
        <f aca="false">TB_audited!C846</f>
        <v>0</v>
      </c>
      <c r="F863" s="53" t="n">
        <f aca="false">TB_audited!D846</f>
        <v>0</v>
      </c>
      <c r="G863" s="54" t="n">
        <f aca="false">IF($D$8="Interim",TB_audited!G846,TB_audited!E846)</f>
        <v>0</v>
      </c>
      <c r="H863" s="55" t="str">
        <f aca="false">IFERROR(VLOOKUP($A863,RA_result!$B$3:$N$62,11,0),"")</f>
        <v/>
      </c>
      <c r="I863" s="55" t="str">
        <f aca="false">IFERROR(VLOOKUP($A863,RA_result!$B$3:$N$62,12,0),"")</f>
        <v/>
      </c>
      <c r="J863" s="55" t="str">
        <f aca="false">IFERROR(VLOOKUP($A863,RA_result!$B$3:$N$62,13,0),"")</f>
        <v/>
      </c>
      <c r="K863" s="56"/>
      <c r="L863" s="56"/>
      <c r="M863" s="57" t="n">
        <f aca="false">G863</f>
        <v>0</v>
      </c>
      <c r="N863" s="54" t="n">
        <f aca="false">G863-M863</f>
        <v>0</v>
      </c>
      <c r="O863" s="55" t="str">
        <f aca="false">IFERROR(VLOOKUP($A863,RA_result!$B$3:$N$62,7,0),"")</f>
        <v/>
      </c>
      <c r="P863" s="52" t="str">
        <f aca="false">IFERROR(VLOOKUP($A863,RA_result!$B$3:$N$62,9,0),"")</f>
        <v/>
      </c>
      <c r="Q863" s="52" t="str">
        <f aca="false">IFERROR(VLOOKUP($A863,RA_result!$B$3:$N$62,10,0),"")</f>
        <v/>
      </c>
      <c r="R863" s="58" t="s">
        <v>55</v>
      </c>
      <c r="S863" s="59" t="str">
        <f aca="false">IFERROR(VLOOKUP($A863,RA_result!$B$3:$N$62,4,0),"")</f>
        <v/>
      </c>
      <c r="T863" s="60" t="s">
        <v>56</v>
      </c>
      <c r="U863" s="59" t="str">
        <f aca="false">IFERROR(IF(VLOOKUP($A863,RA_result!$B$3:$N$62,6,0)="",S863*T863,VLOOKUP($A863,RA_result!$B$3:$N$62,6,0)),"")</f>
        <v/>
      </c>
      <c r="V863" s="61" t="s">
        <v>56</v>
      </c>
      <c r="W863" s="62" t="n">
        <f aca="false">IFERROR((S863*30%)/V863,0)</f>
        <v>0</v>
      </c>
      <c r="X863" s="63" t="n">
        <f aca="false">IFERROR(N863/W863,0)</f>
        <v>0</v>
      </c>
      <c r="Y863" s="68"/>
      <c r="Z863" s="57"/>
      <c r="AA863" s="69" t="str">
        <f aca="false">IF(OR(U863="",Y863="",Z863=""),"",IF(AND(U863&gt;Y863,-U863&lt;Z863),"Ok","Not Ok"))</f>
        <v/>
      </c>
      <c r="AB863" s="70"/>
    </row>
    <row r="864" customFormat="false" ht="12.8" hidden="false" customHeight="false" outlineLevel="0" collapsed="false">
      <c r="A864" s="48" t="n">
        <f aca="false">TB_audited!A847</f>
        <v>0</v>
      </c>
      <c r="B864" s="49"/>
      <c r="C864" s="50"/>
      <c r="D864" s="51" t="n">
        <f aca="false">TB_audited!B847</f>
        <v>0</v>
      </c>
      <c r="E864" s="52" t="n">
        <f aca="false">TB_audited!C847</f>
        <v>0</v>
      </c>
      <c r="F864" s="53" t="n">
        <f aca="false">TB_audited!D847</f>
        <v>0</v>
      </c>
      <c r="G864" s="54" t="n">
        <f aca="false">IF($D$8="Interim",TB_audited!G847,TB_audited!E847)</f>
        <v>0</v>
      </c>
      <c r="H864" s="55" t="str">
        <f aca="false">IFERROR(VLOOKUP($A864,RA_result!$B$3:$N$62,11,0),"")</f>
        <v/>
      </c>
      <c r="I864" s="55" t="str">
        <f aca="false">IFERROR(VLOOKUP($A864,RA_result!$B$3:$N$62,12,0),"")</f>
        <v/>
      </c>
      <c r="J864" s="55" t="str">
        <f aca="false">IFERROR(VLOOKUP($A864,RA_result!$B$3:$N$62,13,0),"")</f>
        <v/>
      </c>
      <c r="K864" s="56"/>
      <c r="L864" s="56"/>
      <c r="M864" s="57" t="n">
        <f aca="false">G864</f>
        <v>0</v>
      </c>
      <c r="N864" s="54" t="n">
        <f aca="false">G864-M864</f>
        <v>0</v>
      </c>
      <c r="O864" s="55" t="str">
        <f aca="false">IFERROR(VLOOKUP($A864,RA_result!$B$3:$N$62,7,0),"")</f>
        <v/>
      </c>
      <c r="P864" s="52" t="str">
        <f aca="false">IFERROR(VLOOKUP($A864,RA_result!$B$3:$N$62,9,0),"")</f>
        <v/>
      </c>
      <c r="Q864" s="52" t="str">
        <f aca="false">IFERROR(VLOOKUP($A864,RA_result!$B$3:$N$62,10,0),"")</f>
        <v/>
      </c>
      <c r="R864" s="58" t="s">
        <v>55</v>
      </c>
      <c r="S864" s="59" t="str">
        <f aca="false">IFERROR(VLOOKUP($A864,RA_result!$B$3:$N$62,4,0),"")</f>
        <v/>
      </c>
      <c r="T864" s="60" t="s">
        <v>56</v>
      </c>
      <c r="U864" s="59" t="str">
        <f aca="false">IFERROR(IF(VLOOKUP($A864,RA_result!$B$3:$N$62,6,0)="",S864*T864,VLOOKUP($A864,RA_result!$B$3:$N$62,6,0)),"")</f>
        <v/>
      </c>
      <c r="V864" s="61" t="s">
        <v>56</v>
      </c>
      <c r="W864" s="62" t="n">
        <f aca="false">IFERROR((S864*30%)/V864,0)</f>
        <v>0</v>
      </c>
      <c r="X864" s="63" t="n">
        <f aca="false">IFERROR(N864/W864,0)</f>
        <v>0</v>
      </c>
      <c r="Y864" s="68"/>
      <c r="Z864" s="57"/>
      <c r="AA864" s="69" t="str">
        <f aca="false">IF(OR(U864="",Y864="",Z864=""),"",IF(AND(U864&gt;Y864,-U864&lt;Z864),"Ok","Not Ok"))</f>
        <v/>
      </c>
      <c r="AB864" s="70"/>
    </row>
    <row r="865" customFormat="false" ht="12.8" hidden="false" customHeight="false" outlineLevel="0" collapsed="false">
      <c r="A865" s="48" t="n">
        <f aca="false">TB_audited!A848</f>
        <v>0</v>
      </c>
      <c r="B865" s="49"/>
      <c r="C865" s="50"/>
      <c r="D865" s="51" t="n">
        <f aca="false">TB_audited!B848</f>
        <v>0</v>
      </c>
      <c r="E865" s="52" t="n">
        <f aca="false">TB_audited!C848</f>
        <v>0</v>
      </c>
      <c r="F865" s="53" t="n">
        <f aca="false">TB_audited!D848</f>
        <v>0</v>
      </c>
      <c r="G865" s="54" t="n">
        <f aca="false">IF($D$8="Interim",TB_audited!G848,TB_audited!E848)</f>
        <v>0</v>
      </c>
      <c r="H865" s="55" t="str">
        <f aca="false">IFERROR(VLOOKUP($A865,RA_result!$B$3:$N$62,11,0),"")</f>
        <v/>
      </c>
      <c r="I865" s="55" t="str">
        <f aca="false">IFERROR(VLOOKUP($A865,RA_result!$B$3:$N$62,12,0),"")</f>
        <v/>
      </c>
      <c r="J865" s="55" t="str">
        <f aca="false">IFERROR(VLOOKUP($A865,RA_result!$B$3:$N$62,13,0),"")</f>
        <v/>
      </c>
      <c r="K865" s="56"/>
      <c r="L865" s="56"/>
      <c r="M865" s="57" t="n">
        <f aca="false">G865</f>
        <v>0</v>
      </c>
      <c r="N865" s="54" t="n">
        <f aca="false">G865-M865</f>
        <v>0</v>
      </c>
      <c r="O865" s="55" t="str">
        <f aca="false">IFERROR(VLOOKUP($A865,RA_result!$B$3:$N$62,7,0),"")</f>
        <v/>
      </c>
      <c r="P865" s="52" t="str">
        <f aca="false">IFERROR(VLOOKUP($A865,RA_result!$B$3:$N$62,9,0),"")</f>
        <v/>
      </c>
      <c r="Q865" s="52" t="str">
        <f aca="false">IFERROR(VLOOKUP($A865,RA_result!$B$3:$N$62,10,0),"")</f>
        <v/>
      </c>
      <c r="R865" s="58" t="s">
        <v>55</v>
      </c>
      <c r="S865" s="59" t="str">
        <f aca="false">IFERROR(VLOOKUP($A865,RA_result!$B$3:$N$62,4,0),"")</f>
        <v/>
      </c>
      <c r="T865" s="60" t="s">
        <v>56</v>
      </c>
      <c r="U865" s="59" t="str">
        <f aca="false">IFERROR(IF(VLOOKUP($A865,RA_result!$B$3:$N$62,6,0)="",S865*T865,VLOOKUP($A865,RA_result!$B$3:$N$62,6,0)),"")</f>
        <v/>
      </c>
      <c r="V865" s="61" t="s">
        <v>56</v>
      </c>
      <c r="W865" s="62" t="n">
        <f aca="false">IFERROR((S865*30%)/V865,0)</f>
        <v>0</v>
      </c>
      <c r="X865" s="63" t="n">
        <f aca="false">IFERROR(N865/W865,0)</f>
        <v>0</v>
      </c>
      <c r="Y865" s="68"/>
      <c r="Z865" s="57"/>
      <c r="AA865" s="69" t="str">
        <f aca="false">IF(OR(U865="",Y865="",Z865=""),"",IF(AND(U865&gt;Y865,-U865&lt;Z865),"Ok","Not Ok"))</f>
        <v/>
      </c>
      <c r="AB865" s="70"/>
    </row>
    <row r="866" customFormat="false" ht="12.8" hidden="false" customHeight="false" outlineLevel="0" collapsed="false">
      <c r="A866" s="48" t="n">
        <f aca="false">TB_audited!A849</f>
        <v>0</v>
      </c>
      <c r="B866" s="49"/>
      <c r="C866" s="50"/>
      <c r="D866" s="51" t="n">
        <f aca="false">TB_audited!B849</f>
        <v>0</v>
      </c>
      <c r="E866" s="52" t="n">
        <f aca="false">TB_audited!C849</f>
        <v>0</v>
      </c>
      <c r="F866" s="53" t="n">
        <f aca="false">TB_audited!D849</f>
        <v>0</v>
      </c>
      <c r="G866" s="54" t="n">
        <f aca="false">IF($D$8="Interim",TB_audited!G849,TB_audited!E849)</f>
        <v>0</v>
      </c>
      <c r="H866" s="55" t="str">
        <f aca="false">IFERROR(VLOOKUP($A866,RA_result!$B$3:$N$62,11,0),"")</f>
        <v/>
      </c>
      <c r="I866" s="55" t="str">
        <f aca="false">IFERROR(VLOOKUP($A866,RA_result!$B$3:$N$62,12,0),"")</f>
        <v/>
      </c>
      <c r="J866" s="55" t="str">
        <f aca="false">IFERROR(VLOOKUP($A866,RA_result!$B$3:$N$62,13,0),"")</f>
        <v/>
      </c>
      <c r="K866" s="56"/>
      <c r="L866" s="56"/>
      <c r="M866" s="57" t="n">
        <f aca="false">G866</f>
        <v>0</v>
      </c>
      <c r="N866" s="54" t="n">
        <f aca="false">G866-M866</f>
        <v>0</v>
      </c>
      <c r="O866" s="55" t="str">
        <f aca="false">IFERROR(VLOOKUP($A866,RA_result!$B$3:$N$62,7,0),"")</f>
        <v/>
      </c>
      <c r="P866" s="52" t="str">
        <f aca="false">IFERROR(VLOOKUP($A866,RA_result!$B$3:$N$62,9,0),"")</f>
        <v/>
      </c>
      <c r="Q866" s="52" t="str">
        <f aca="false">IFERROR(VLOOKUP($A866,RA_result!$B$3:$N$62,10,0),"")</f>
        <v/>
      </c>
      <c r="R866" s="58" t="s">
        <v>55</v>
      </c>
      <c r="S866" s="59" t="str">
        <f aca="false">IFERROR(VLOOKUP($A866,RA_result!$B$3:$N$62,4,0),"")</f>
        <v/>
      </c>
      <c r="T866" s="60" t="s">
        <v>56</v>
      </c>
      <c r="U866" s="59" t="str">
        <f aca="false">IFERROR(IF(VLOOKUP($A866,RA_result!$B$3:$N$62,6,0)="",S866*T866,VLOOKUP($A866,RA_result!$B$3:$N$62,6,0)),"")</f>
        <v/>
      </c>
      <c r="V866" s="61" t="s">
        <v>56</v>
      </c>
      <c r="W866" s="62" t="n">
        <f aca="false">IFERROR((S866*30%)/V866,0)</f>
        <v>0</v>
      </c>
      <c r="X866" s="63" t="n">
        <f aca="false">IFERROR(N866/W866,0)</f>
        <v>0</v>
      </c>
      <c r="Y866" s="68"/>
      <c r="Z866" s="57"/>
      <c r="AA866" s="69" t="str">
        <f aca="false">IF(OR(U866="",Y866="",Z866=""),"",IF(AND(U866&gt;Y866,-U866&lt;Z866),"Ok","Not Ok"))</f>
        <v/>
      </c>
      <c r="AB866" s="70"/>
    </row>
    <row r="867" customFormat="false" ht="12.8" hidden="false" customHeight="false" outlineLevel="0" collapsed="false">
      <c r="A867" s="48" t="n">
        <f aca="false">TB_audited!A850</f>
        <v>0</v>
      </c>
      <c r="B867" s="49"/>
      <c r="C867" s="50"/>
      <c r="D867" s="51" t="n">
        <f aca="false">TB_audited!B850</f>
        <v>0</v>
      </c>
      <c r="E867" s="52" t="n">
        <f aca="false">TB_audited!C850</f>
        <v>0</v>
      </c>
      <c r="F867" s="53" t="n">
        <f aca="false">TB_audited!D850</f>
        <v>0</v>
      </c>
      <c r="G867" s="54" t="n">
        <f aca="false">IF($D$8="Interim",TB_audited!G850,TB_audited!E850)</f>
        <v>0</v>
      </c>
      <c r="H867" s="55" t="str">
        <f aca="false">IFERROR(VLOOKUP($A867,RA_result!$B$3:$N$62,11,0),"")</f>
        <v/>
      </c>
      <c r="I867" s="55" t="str">
        <f aca="false">IFERROR(VLOOKUP($A867,RA_result!$B$3:$N$62,12,0),"")</f>
        <v/>
      </c>
      <c r="J867" s="55" t="str">
        <f aca="false">IFERROR(VLOOKUP($A867,RA_result!$B$3:$N$62,13,0),"")</f>
        <v/>
      </c>
      <c r="K867" s="56"/>
      <c r="L867" s="56"/>
      <c r="M867" s="57" t="n">
        <f aca="false">G867</f>
        <v>0</v>
      </c>
      <c r="N867" s="54" t="n">
        <f aca="false">G867-M867</f>
        <v>0</v>
      </c>
      <c r="O867" s="55" t="str">
        <f aca="false">IFERROR(VLOOKUP($A867,RA_result!$B$3:$N$62,7,0),"")</f>
        <v/>
      </c>
      <c r="P867" s="52" t="str">
        <f aca="false">IFERROR(VLOOKUP($A867,RA_result!$B$3:$N$62,9,0),"")</f>
        <v/>
      </c>
      <c r="Q867" s="52" t="str">
        <f aca="false">IFERROR(VLOOKUP($A867,RA_result!$B$3:$N$62,10,0),"")</f>
        <v/>
      </c>
      <c r="R867" s="58" t="s">
        <v>55</v>
      </c>
      <c r="S867" s="59" t="str">
        <f aca="false">IFERROR(VLOOKUP($A867,RA_result!$B$3:$N$62,4,0),"")</f>
        <v/>
      </c>
      <c r="T867" s="60" t="s">
        <v>56</v>
      </c>
      <c r="U867" s="59" t="str">
        <f aca="false">IFERROR(IF(VLOOKUP($A867,RA_result!$B$3:$N$62,6,0)="",S867*T867,VLOOKUP($A867,RA_result!$B$3:$N$62,6,0)),"")</f>
        <v/>
      </c>
      <c r="V867" s="61" t="s">
        <v>56</v>
      </c>
      <c r="W867" s="62" t="n">
        <f aca="false">IFERROR((S867*30%)/V867,0)</f>
        <v>0</v>
      </c>
      <c r="X867" s="63" t="n">
        <f aca="false">IFERROR(N867/W867,0)</f>
        <v>0</v>
      </c>
      <c r="Y867" s="68"/>
      <c r="Z867" s="57"/>
      <c r="AA867" s="69" t="str">
        <f aca="false">IF(OR(U867="",Y867="",Z867=""),"",IF(AND(U867&gt;Y867,-U867&lt;Z867),"Ok","Not Ok"))</f>
        <v/>
      </c>
      <c r="AB867" s="70"/>
    </row>
    <row r="868" customFormat="false" ht="12.8" hidden="false" customHeight="false" outlineLevel="0" collapsed="false">
      <c r="A868" s="48" t="n">
        <f aca="false">TB_audited!A851</f>
        <v>0</v>
      </c>
      <c r="B868" s="49"/>
      <c r="C868" s="50"/>
      <c r="D868" s="51" t="n">
        <f aca="false">TB_audited!B851</f>
        <v>0</v>
      </c>
      <c r="E868" s="52" t="n">
        <f aca="false">TB_audited!C851</f>
        <v>0</v>
      </c>
      <c r="F868" s="53" t="n">
        <f aca="false">TB_audited!D851</f>
        <v>0</v>
      </c>
      <c r="G868" s="54" t="n">
        <f aca="false">IF($D$8="Interim",TB_audited!G851,TB_audited!E851)</f>
        <v>0</v>
      </c>
      <c r="H868" s="55" t="str">
        <f aca="false">IFERROR(VLOOKUP($A868,RA_result!$B$3:$N$62,11,0),"")</f>
        <v/>
      </c>
      <c r="I868" s="55" t="str">
        <f aca="false">IFERROR(VLOOKUP($A868,RA_result!$B$3:$N$62,12,0),"")</f>
        <v/>
      </c>
      <c r="J868" s="55" t="str">
        <f aca="false">IFERROR(VLOOKUP($A868,RA_result!$B$3:$N$62,13,0),"")</f>
        <v/>
      </c>
      <c r="K868" s="56"/>
      <c r="L868" s="56"/>
      <c r="M868" s="57" t="n">
        <f aca="false">G868</f>
        <v>0</v>
      </c>
      <c r="N868" s="54" t="n">
        <f aca="false">G868-M868</f>
        <v>0</v>
      </c>
      <c r="O868" s="55" t="str">
        <f aca="false">IFERROR(VLOOKUP($A868,RA_result!$B$3:$N$62,7,0),"")</f>
        <v/>
      </c>
      <c r="P868" s="52" t="str">
        <f aca="false">IFERROR(VLOOKUP($A868,RA_result!$B$3:$N$62,9,0),"")</f>
        <v/>
      </c>
      <c r="Q868" s="52" t="str">
        <f aca="false">IFERROR(VLOOKUP($A868,RA_result!$B$3:$N$62,10,0),"")</f>
        <v/>
      </c>
      <c r="R868" s="58" t="s">
        <v>55</v>
      </c>
      <c r="S868" s="59" t="str">
        <f aca="false">IFERROR(VLOOKUP($A868,RA_result!$B$3:$N$62,4,0),"")</f>
        <v/>
      </c>
      <c r="T868" s="60" t="s">
        <v>56</v>
      </c>
      <c r="U868" s="59" t="str">
        <f aca="false">IFERROR(IF(VLOOKUP($A868,RA_result!$B$3:$N$62,6,0)="",S868*T868,VLOOKUP($A868,RA_result!$B$3:$N$62,6,0)),"")</f>
        <v/>
      </c>
      <c r="V868" s="61" t="s">
        <v>56</v>
      </c>
      <c r="W868" s="62" t="n">
        <f aca="false">IFERROR((S868*30%)/V868,0)</f>
        <v>0</v>
      </c>
      <c r="X868" s="63" t="n">
        <f aca="false">IFERROR(N868/W868,0)</f>
        <v>0</v>
      </c>
      <c r="Y868" s="68"/>
      <c r="Z868" s="57"/>
      <c r="AA868" s="69" t="str">
        <f aca="false">IF(OR(U868="",Y868="",Z868=""),"",IF(AND(U868&gt;Y868,-U868&lt;Z868),"Ok","Not Ok"))</f>
        <v/>
      </c>
      <c r="AB868" s="70"/>
    </row>
    <row r="869" customFormat="false" ht="12.8" hidden="false" customHeight="false" outlineLevel="0" collapsed="false">
      <c r="A869" s="48" t="n">
        <f aca="false">TB_audited!A852</f>
        <v>0</v>
      </c>
      <c r="B869" s="49"/>
      <c r="C869" s="50"/>
      <c r="D869" s="51" t="n">
        <f aca="false">TB_audited!B852</f>
        <v>0</v>
      </c>
      <c r="E869" s="52" t="n">
        <f aca="false">TB_audited!C852</f>
        <v>0</v>
      </c>
      <c r="F869" s="53" t="n">
        <f aca="false">TB_audited!D852</f>
        <v>0</v>
      </c>
      <c r="G869" s="54" t="n">
        <f aca="false">IF($D$8="Interim",TB_audited!G852,TB_audited!E852)</f>
        <v>0</v>
      </c>
      <c r="H869" s="55" t="str">
        <f aca="false">IFERROR(VLOOKUP($A869,RA_result!$B$3:$N$62,11,0),"")</f>
        <v/>
      </c>
      <c r="I869" s="55" t="str">
        <f aca="false">IFERROR(VLOOKUP($A869,RA_result!$B$3:$N$62,12,0),"")</f>
        <v/>
      </c>
      <c r="J869" s="55" t="str">
        <f aca="false">IFERROR(VLOOKUP($A869,RA_result!$B$3:$N$62,13,0),"")</f>
        <v/>
      </c>
      <c r="K869" s="56"/>
      <c r="L869" s="56"/>
      <c r="M869" s="57" t="n">
        <f aca="false">G869</f>
        <v>0</v>
      </c>
      <c r="N869" s="54" t="n">
        <f aca="false">G869-M869</f>
        <v>0</v>
      </c>
      <c r="O869" s="55" t="str">
        <f aca="false">IFERROR(VLOOKUP($A869,RA_result!$B$3:$N$62,7,0),"")</f>
        <v/>
      </c>
      <c r="P869" s="52" t="str">
        <f aca="false">IFERROR(VLOOKUP($A869,RA_result!$B$3:$N$62,9,0),"")</f>
        <v/>
      </c>
      <c r="Q869" s="52" t="str">
        <f aca="false">IFERROR(VLOOKUP($A869,RA_result!$B$3:$N$62,10,0),"")</f>
        <v/>
      </c>
      <c r="R869" s="58" t="s">
        <v>55</v>
      </c>
      <c r="S869" s="59" t="str">
        <f aca="false">IFERROR(VLOOKUP($A869,RA_result!$B$3:$N$62,4,0),"")</f>
        <v/>
      </c>
      <c r="T869" s="60" t="s">
        <v>56</v>
      </c>
      <c r="U869" s="59" t="str">
        <f aca="false">IFERROR(IF(VLOOKUP($A869,RA_result!$B$3:$N$62,6,0)="",S869*T869,VLOOKUP($A869,RA_result!$B$3:$N$62,6,0)),"")</f>
        <v/>
      </c>
      <c r="V869" s="61" t="s">
        <v>56</v>
      </c>
      <c r="W869" s="62" t="n">
        <f aca="false">IFERROR((S869*30%)/V869,0)</f>
        <v>0</v>
      </c>
      <c r="X869" s="63" t="n">
        <f aca="false">IFERROR(N869/W869,0)</f>
        <v>0</v>
      </c>
      <c r="Y869" s="68"/>
      <c r="Z869" s="57"/>
      <c r="AA869" s="69" t="str">
        <f aca="false">IF(OR(U869="",Y869="",Z869=""),"",IF(AND(U869&gt;Y869,-U869&lt;Z869),"Ok","Not Ok"))</f>
        <v/>
      </c>
      <c r="AB869" s="70"/>
    </row>
    <row r="870" customFormat="false" ht="12.8" hidden="false" customHeight="false" outlineLevel="0" collapsed="false">
      <c r="A870" s="48" t="n">
        <f aca="false">TB_audited!A853</f>
        <v>0</v>
      </c>
      <c r="B870" s="49"/>
      <c r="C870" s="50"/>
      <c r="D870" s="51" t="n">
        <f aca="false">TB_audited!B853</f>
        <v>0</v>
      </c>
      <c r="E870" s="52" t="n">
        <f aca="false">TB_audited!C853</f>
        <v>0</v>
      </c>
      <c r="F870" s="53" t="n">
        <f aca="false">TB_audited!D853</f>
        <v>0</v>
      </c>
      <c r="G870" s="54" t="n">
        <f aca="false">IF($D$8="Interim",TB_audited!G853,TB_audited!E853)</f>
        <v>0</v>
      </c>
      <c r="H870" s="55" t="str">
        <f aca="false">IFERROR(VLOOKUP($A870,RA_result!$B$3:$N$62,11,0),"")</f>
        <v/>
      </c>
      <c r="I870" s="55" t="str">
        <f aca="false">IFERROR(VLOOKUP($A870,RA_result!$B$3:$N$62,12,0),"")</f>
        <v/>
      </c>
      <c r="J870" s="55" t="str">
        <f aca="false">IFERROR(VLOOKUP($A870,RA_result!$B$3:$N$62,13,0),"")</f>
        <v/>
      </c>
      <c r="K870" s="56"/>
      <c r="L870" s="56"/>
      <c r="M870" s="57" t="n">
        <f aca="false">G870</f>
        <v>0</v>
      </c>
      <c r="N870" s="54" t="n">
        <f aca="false">G870-M870</f>
        <v>0</v>
      </c>
      <c r="O870" s="55" t="str">
        <f aca="false">IFERROR(VLOOKUP($A870,RA_result!$B$3:$N$62,7,0),"")</f>
        <v/>
      </c>
      <c r="P870" s="52" t="str">
        <f aca="false">IFERROR(VLOOKUP($A870,RA_result!$B$3:$N$62,9,0),"")</f>
        <v/>
      </c>
      <c r="Q870" s="52" t="str">
        <f aca="false">IFERROR(VLOOKUP($A870,RA_result!$B$3:$N$62,10,0),"")</f>
        <v/>
      </c>
      <c r="R870" s="58" t="s">
        <v>55</v>
      </c>
      <c r="S870" s="59" t="str">
        <f aca="false">IFERROR(VLOOKUP($A870,RA_result!$B$3:$N$62,4,0),"")</f>
        <v/>
      </c>
      <c r="T870" s="60" t="s">
        <v>56</v>
      </c>
      <c r="U870" s="59" t="str">
        <f aca="false">IFERROR(IF(VLOOKUP($A870,RA_result!$B$3:$N$62,6,0)="",S870*T870,VLOOKUP($A870,RA_result!$B$3:$N$62,6,0)),"")</f>
        <v/>
      </c>
      <c r="V870" s="61" t="s">
        <v>56</v>
      </c>
      <c r="W870" s="62" t="n">
        <f aca="false">IFERROR((S870*30%)/V870,0)</f>
        <v>0</v>
      </c>
      <c r="X870" s="63" t="n">
        <f aca="false">IFERROR(N870/W870,0)</f>
        <v>0</v>
      </c>
      <c r="Y870" s="68"/>
      <c r="Z870" s="57"/>
      <c r="AA870" s="69" t="str">
        <f aca="false">IF(OR(U870="",Y870="",Z870=""),"",IF(AND(U870&gt;Y870,-U870&lt;Z870),"Ok","Not Ok"))</f>
        <v/>
      </c>
      <c r="AB870" s="70"/>
    </row>
    <row r="871" customFormat="false" ht="12.8" hidden="false" customHeight="false" outlineLevel="0" collapsed="false">
      <c r="A871" s="48" t="n">
        <f aca="false">TB_audited!A854</f>
        <v>0</v>
      </c>
      <c r="B871" s="49"/>
      <c r="C871" s="50"/>
      <c r="D871" s="51" t="n">
        <f aca="false">TB_audited!B854</f>
        <v>0</v>
      </c>
      <c r="E871" s="52" t="n">
        <f aca="false">TB_audited!C854</f>
        <v>0</v>
      </c>
      <c r="F871" s="53" t="n">
        <f aca="false">TB_audited!D854</f>
        <v>0</v>
      </c>
      <c r="G871" s="54" t="n">
        <f aca="false">IF($D$8="Interim",TB_audited!G854,TB_audited!E854)</f>
        <v>0</v>
      </c>
      <c r="H871" s="55" t="str">
        <f aca="false">IFERROR(VLOOKUP($A871,RA_result!$B$3:$N$62,11,0),"")</f>
        <v/>
      </c>
      <c r="I871" s="55" t="str">
        <f aca="false">IFERROR(VLOOKUP($A871,RA_result!$B$3:$N$62,12,0),"")</f>
        <v/>
      </c>
      <c r="J871" s="55" t="str">
        <f aca="false">IFERROR(VLOOKUP($A871,RA_result!$B$3:$N$62,13,0),"")</f>
        <v/>
      </c>
      <c r="K871" s="56"/>
      <c r="L871" s="56"/>
      <c r="M871" s="57" t="n">
        <f aca="false">G871</f>
        <v>0</v>
      </c>
      <c r="N871" s="54" t="n">
        <f aca="false">G871-M871</f>
        <v>0</v>
      </c>
      <c r="O871" s="55" t="str">
        <f aca="false">IFERROR(VLOOKUP($A871,RA_result!$B$3:$N$62,7,0),"")</f>
        <v/>
      </c>
      <c r="P871" s="52" t="str">
        <f aca="false">IFERROR(VLOOKUP($A871,RA_result!$B$3:$N$62,9,0),"")</f>
        <v/>
      </c>
      <c r="Q871" s="52" t="str">
        <f aca="false">IFERROR(VLOOKUP($A871,RA_result!$B$3:$N$62,10,0),"")</f>
        <v/>
      </c>
      <c r="R871" s="58" t="s">
        <v>55</v>
      </c>
      <c r="S871" s="59" t="str">
        <f aca="false">IFERROR(VLOOKUP($A871,RA_result!$B$3:$N$62,4,0),"")</f>
        <v/>
      </c>
      <c r="T871" s="60" t="s">
        <v>56</v>
      </c>
      <c r="U871" s="59" t="str">
        <f aca="false">IFERROR(IF(VLOOKUP($A871,RA_result!$B$3:$N$62,6,0)="",S871*T871,VLOOKUP($A871,RA_result!$B$3:$N$62,6,0)),"")</f>
        <v/>
      </c>
      <c r="V871" s="61" t="s">
        <v>56</v>
      </c>
      <c r="W871" s="62" t="n">
        <f aca="false">IFERROR((S871*30%)/V871,0)</f>
        <v>0</v>
      </c>
      <c r="X871" s="63" t="n">
        <f aca="false">IFERROR(N871/W871,0)</f>
        <v>0</v>
      </c>
      <c r="Y871" s="68"/>
      <c r="Z871" s="57"/>
      <c r="AA871" s="69" t="str">
        <f aca="false">IF(OR(U871="",Y871="",Z871=""),"",IF(AND(U871&gt;Y871,-U871&lt;Z871),"Ok","Not Ok"))</f>
        <v/>
      </c>
      <c r="AB871" s="70"/>
    </row>
    <row r="872" customFormat="false" ht="12.8" hidden="false" customHeight="false" outlineLevel="0" collapsed="false">
      <c r="A872" s="48" t="n">
        <f aca="false">TB_audited!A855</f>
        <v>0</v>
      </c>
      <c r="B872" s="49"/>
      <c r="C872" s="50"/>
      <c r="D872" s="51" t="n">
        <f aca="false">TB_audited!B855</f>
        <v>0</v>
      </c>
      <c r="E872" s="52" t="n">
        <f aca="false">TB_audited!C855</f>
        <v>0</v>
      </c>
      <c r="F872" s="53" t="n">
        <f aca="false">TB_audited!D855</f>
        <v>0</v>
      </c>
      <c r="G872" s="54" t="n">
        <f aca="false">IF($D$8="Interim",TB_audited!G855,TB_audited!E855)</f>
        <v>0</v>
      </c>
      <c r="H872" s="55" t="str">
        <f aca="false">IFERROR(VLOOKUP($A872,RA_result!$B$3:$N$62,11,0),"")</f>
        <v/>
      </c>
      <c r="I872" s="55" t="str">
        <f aca="false">IFERROR(VLOOKUP($A872,RA_result!$B$3:$N$62,12,0),"")</f>
        <v/>
      </c>
      <c r="J872" s="55" t="str">
        <f aca="false">IFERROR(VLOOKUP($A872,RA_result!$B$3:$N$62,13,0),"")</f>
        <v/>
      </c>
      <c r="K872" s="56"/>
      <c r="L872" s="56"/>
      <c r="M872" s="57" t="n">
        <f aca="false">G872</f>
        <v>0</v>
      </c>
      <c r="N872" s="54" t="n">
        <f aca="false">G872-M872</f>
        <v>0</v>
      </c>
      <c r="O872" s="55" t="str">
        <f aca="false">IFERROR(VLOOKUP($A872,RA_result!$B$3:$N$62,7,0),"")</f>
        <v/>
      </c>
      <c r="P872" s="52" t="str">
        <f aca="false">IFERROR(VLOOKUP($A872,RA_result!$B$3:$N$62,9,0),"")</f>
        <v/>
      </c>
      <c r="Q872" s="52" t="str">
        <f aca="false">IFERROR(VLOOKUP($A872,RA_result!$B$3:$N$62,10,0),"")</f>
        <v/>
      </c>
      <c r="R872" s="58" t="s">
        <v>55</v>
      </c>
      <c r="S872" s="59" t="str">
        <f aca="false">IFERROR(VLOOKUP($A872,RA_result!$B$3:$N$62,4,0),"")</f>
        <v/>
      </c>
      <c r="T872" s="60" t="s">
        <v>56</v>
      </c>
      <c r="U872" s="59" t="str">
        <f aca="false">IFERROR(IF(VLOOKUP($A872,RA_result!$B$3:$N$62,6,0)="",S872*T872,VLOOKUP($A872,RA_result!$B$3:$N$62,6,0)),"")</f>
        <v/>
      </c>
      <c r="V872" s="61" t="s">
        <v>56</v>
      </c>
      <c r="W872" s="62" t="n">
        <f aca="false">IFERROR((S872*30%)/V872,0)</f>
        <v>0</v>
      </c>
      <c r="X872" s="63" t="n">
        <f aca="false">IFERROR(N872/W872,0)</f>
        <v>0</v>
      </c>
      <c r="Y872" s="68"/>
      <c r="Z872" s="57"/>
      <c r="AA872" s="69" t="str">
        <f aca="false">IF(OR(U872="",Y872="",Z872=""),"",IF(AND(U872&gt;Y872,-U872&lt;Z872),"Ok","Not Ok"))</f>
        <v/>
      </c>
      <c r="AB872" s="70"/>
    </row>
    <row r="873" customFormat="false" ht="12.8" hidden="false" customHeight="false" outlineLevel="0" collapsed="false">
      <c r="A873" s="48" t="n">
        <f aca="false">TB_audited!A856</f>
        <v>0</v>
      </c>
      <c r="B873" s="49"/>
      <c r="C873" s="50"/>
      <c r="D873" s="51" t="n">
        <f aca="false">TB_audited!B856</f>
        <v>0</v>
      </c>
      <c r="E873" s="52" t="n">
        <f aca="false">TB_audited!C856</f>
        <v>0</v>
      </c>
      <c r="F873" s="53" t="n">
        <f aca="false">TB_audited!D856</f>
        <v>0</v>
      </c>
      <c r="G873" s="54" t="n">
        <f aca="false">IF($D$8="Interim",TB_audited!G856,TB_audited!E856)</f>
        <v>0</v>
      </c>
      <c r="H873" s="55" t="str">
        <f aca="false">IFERROR(VLOOKUP($A873,RA_result!$B$3:$N$62,11,0),"")</f>
        <v/>
      </c>
      <c r="I873" s="55" t="str">
        <f aca="false">IFERROR(VLOOKUP($A873,RA_result!$B$3:$N$62,12,0),"")</f>
        <v/>
      </c>
      <c r="J873" s="55" t="str">
        <f aca="false">IFERROR(VLOOKUP($A873,RA_result!$B$3:$N$62,13,0),"")</f>
        <v/>
      </c>
      <c r="K873" s="56"/>
      <c r="L873" s="56"/>
      <c r="M873" s="57" t="n">
        <f aca="false">G873</f>
        <v>0</v>
      </c>
      <c r="N873" s="54" t="n">
        <f aca="false">G873-M873</f>
        <v>0</v>
      </c>
      <c r="O873" s="55" t="str">
        <f aca="false">IFERROR(VLOOKUP($A873,RA_result!$B$3:$N$62,7,0),"")</f>
        <v/>
      </c>
      <c r="P873" s="52" t="str">
        <f aca="false">IFERROR(VLOOKUP($A873,RA_result!$B$3:$N$62,9,0),"")</f>
        <v/>
      </c>
      <c r="Q873" s="52" t="str">
        <f aca="false">IFERROR(VLOOKUP($A873,RA_result!$B$3:$N$62,10,0),"")</f>
        <v/>
      </c>
      <c r="R873" s="58" t="s">
        <v>55</v>
      </c>
      <c r="S873" s="59" t="str">
        <f aca="false">IFERROR(VLOOKUP($A873,RA_result!$B$3:$N$62,4,0),"")</f>
        <v/>
      </c>
      <c r="T873" s="60" t="s">
        <v>56</v>
      </c>
      <c r="U873" s="59" t="str">
        <f aca="false">IFERROR(IF(VLOOKUP($A873,RA_result!$B$3:$N$62,6,0)="",S873*T873,VLOOKUP($A873,RA_result!$B$3:$N$62,6,0)),"")</f>
        <v/>
      </c>
      <c r="V873" s="61" t="s">
        <v>56</v>
      </c>
      <c r="W873" s="62" t="n">
        <f aca="false">IFERROR((S873*30%)/V873,0)</f>
        <v>0</v>
      </c>
      <c r="X873" s="63" t="n">
        <f aca="false">IFERROR(N873/W873,0)</f>
        <v>0</v>
      </c>
      <c r="Y873" s="68"/>
      <c r="Z873" s="57"/>
      <c r="AA873" s="69" t="str">
        <f aca="false">IF(OR(U873="",Y873="",Z873=""),"",IF(AND(U873&gt;Y873,-U873&lt;Z873),"Ok","Not Ok"))</f>
        <v/>
      </c>
      <c r="AB873" s="70"/>
    </row>
    <row r="874" customFormat="false" ht="12.8" hidden="false" customHeight="false" outlineLevel="0" collapsed="false">
      <c r="A874" s="48" t="n">
        <f aca="false">TB_audited!A857</f>
        <v>0</v>
      </c>
      <c r="B874" s="49"/>
      <c r="C874" s="50"/>
      <c r="D874" s="51" t="n">
        <f aca="false">TB_audited!B857</f>
        <v>0</v>
      </c>
      <c r="E874" s="52" t="n">
        <f aca="false">TB_audited!C857</f>
        <v>0</v>
      </c>
      <c r="F874" s="53" t="n">
        <f aca="false">TB_audited!D857</f>
        <v>0</v>
      </c>
      <c r="G874" s="54" t="n">
        <f aca="false">IF($D$8="Interim",TB_audited!G857,TB_audited!E857)</f>
        <v>0</v>
      </c>
      <c r="H874" s="55" t="str">
        <f aca="false">IFERROR(VLOOKUP($A874,RA_result!$B$3:$N$62,11,0),"")</f>
        <v/>
      </c>
      <c r="I874" s="55" t="str">
        <f aca="false">IFERROR(VLOOKUP($A874,RA_result!$B$3:$N$62,12,0),"")</f>
        <v/>
      </c>
      <c r="J874" s="55" t="str">
        <f aca="false">IFERROR(VLOOKUP($A874,RA_result!$B$3:$N$62,13,0),"")</f>
        <v/>
      </c>
      <c r="K874" s="56"/>
      <c r="L874" s="56"/>
      <c r="M874" s="57" t="n">
        <f aca="false">G874</f>
        <v>0</v>
      </c>
      <c r="N874" s="54" t="n">
        <f aca="false">G874-M874</f>
        <v>0</v>
      </c>
      <c r="O874" s="55" t="str">
        <f aca="false">IFERROR(VLOOKUP($A874,RA_result!$B$3:$N$62,7,0),"")</f>
        <v/>
      </c>
      <c r="P874" s="52" t="str">
        <f aca="false">IFERROR(VLOOKUP($A874,RA_result!$B$3:$N$62,9,0),"")</f>
        <v/>
      </c>
      <c r="Q874" s="52" t="str">
        <f aca="false">IFERROR(VLOOKUP($A874,RA_result!$B$3:$N$62,10,0),"")</f>
        <v/>
      </c>
      <c r="R874" s="58" t="s">
        <v>55</v>
      </c>
      <c r="S874" s="59" t="str">
        <f aca="false">IFERROR(VLOOKUP($A874,RA_result!$B$3:$N$62,4,0),"")</f>
        <v/>
      </c>
      <c r="T874" s="60" t="s">
        <v>56</v>
      </c>
      <c r="U874" s="59" t="str">
        <f aca="false">IFERROR(IF(VLOOKUP($A874,RA_result!$B$3:$N$62,6,0)="",S874*T874,VLOOKUP($A874,RA_result!$B$3:$N$62,6,0)),"")</f>
        <v/>
      </c>
      <c r="V874" s="61" t="s">
        <v>56</v>
      </c>
      <c r="W874" s="62" t="n">
        <f aca="false">IFERROR((S874*30%)/V874,0)</f>
        <v>0</v>
      </c>
      <c r="X874" s="63" t="n">
        <f aca="false">IFERROR(N874/W874,0)</f>
        <v>0</v>
      </c>
      <c r="Y874" s="68"/>
      <c r="Z874" s="57"/>
      <c r="AA874" s="69" t="str">
        <f aca="false">IF(OR(U874="",Y874="",Z874=""),"",IF(AND(U874&gt;Y874,-U874&lt;Z874),"Ok","Not Ok"))</f>
        <v/>
      </c>
      <c r="AB874" s="70"/>
    </row>
    <row r="875" customFormat="false" ht="12.8" hidden="false" customHeight="false" outlineLevel="0" collapsed="false">
      <c r="A875" s="48" t="n">
        <f aca="false">TB_audited!A858</f>
        <v>0</v>
      </c>
      <c r="B875" s="49"/>
      <c r="C875" s="50"/>
      <c r="D875" s="51" t="n">
        <f aca="false">TB_audited!B858</f>
        <v>0</v>
      </c>
      <c r="E875" s="52" t="n">
        <f aca="false">TB_audited!C858</f>
        <v>0</v>
      </c>
      <c r="F875" s="53" t="n">
        <f aca="false">TB_audited!D858</f>
        <v>0</v>
      </c>
      <c r="G875" s="54" t="n">
        <f aca="false">IF($D$8="Interim",TB_audited!G858,TB_audited!E858)</f>
        <v>0</v>
      </c>
      <c r="H875" s="55" t="str">
        <f aca="false">IFERROR(VLOOKUP($A875,RA_result!$B$3:$N$62,11,0),"")</f>
        <v/>
      </c>
      <c r="I875" s="55" t="str">
        <f aca="false">IFERROR(VLOOKUP($A875,RA_result!$B$3:$N$62,12,0),"")</f>
        <v/>
      </c>
      <c r="J875" s="55" t="str">
        <f aca="false">IFERROR(VLOOKUP($A875,RA_result!$B$3:$N$62,13,0),"")</f>
        <v/>
      </c>
      <c r="K875" s="56"/>
      <c r="L875" s="56"/>
      <c r="M875" s="57" t="n">
        <f aca="false">G875</f>
        <v>0</v>
      </c>
      <c r="N875" s="54" t="n">
        <f aca="false">G875-M875</f>
        <v>0</v>
      </c>
      <c r="O875" s="55" t="str">
        <f aca="false">IFERROR(VLOOKUP($A875,RA_result!$B$3:$N$62,7,0),"")</f>
        <v/>
      </c>
      <c r="P875" s="52" t="str">
        <f aca="false">IFERROR(VLOOKUP($A875,RA_result!$B$3:$N$62,9,0),"")</f>
        <v/>
      </c>
      <c r="Q875" s="52" t="str">
        <f aca="false">IFERROR(VLOOKUP($A875,RA_result!$B$3:$N$62,10,0),"")</f>
        <v/>
      </c>
      <c r="R875" s="58" t="s">
        <v>55</v>
      </c>
      <c r="S875" s="59" t="str">
        <f aca="false">IFERROR(VLOOKUP($A875,RA_result!$B$3:$N$62,4,0),"")</f>
        <v/>
      </c>
      <c r="T875" s="60" t="s">
        <v>56</v>
      </c>
      <c r="U875" s="59" t="str">
        <f aca="false">IFERROR(IF(VLOOKUP($A875,RA_result!$B$3:$N$62,6,0)="",S875*T875,VLOOKUP($A875,RA_result!$B$3:$N$62,6,0)),"")</f>
        <v/>
      </c>
      <c r="V875" s="61" t="s">
        <v>56</v>
      </c>
      <c r="W875" s="62" t="n">
        <f aca="false">IFERROR((S875*30%)/V875,0)</f>
        <v>0</v>
      </c>
      <c r="X875" s="63" t="n">
        <f aca="false">IFERROR(N875/W875,0)</f>
        <v>0</v>
      </c>
      <c r="Y875" s="68"/>
      <c r="Z875" s="57"/>
      <c r="AA875" s="69" t="str">
        <f aca="false">IF(OR(U875="",Y875="",Z875=""),"",IF(AND(U875&gt;Y875,-U875&lt;Z875),"Ok","Not Ok"))</f>
        <v/>
      </c>
      <c r="AB875" s="70"/>
    </row>
    <row r="876" customFormat="false" ht="12.8" hidden="false" customHeight="false" outlineLevel="0" collapsed="false">
      <c r="A876" s="48" t="n">
        <f aca="false">TB_audited!A859</f>
        <v>0</v>
      </c>
      <c r="B876" s="49"/>
      <c r="C876" s="50"/>
      <c r="D876" s="51" t="n">
        <f aca="false">TB_audited!B859</f>
        <v>0</v>
      </c>
      <c r="E876" s="52" t="n">
        <f aca="false">TB_audited!C859</f>
        <v>0</v>
      </c>
      <c r="F876" s="53" t="n">
        <f aca="false">TB_audited!D859</f>
        <v>0</v>
      </c>
      <c r="G876" s="54" t="n">
        <f aca="false">IF($D$8="Interim",TB_audited!G859,TB_audited!E859)</f>
        <v>0</v>
      </c>
      <c r="H876" s="55" t="str">
        <f aca="false">IFERROR(VLOOKUP($A876,RA_result!$B$3:$N$62,11,0),"")</f>
        <v/>
      </c>
      <c r="I876" s="55" t="str">
        <f aca="false">IFERROR(VLOOKUP($A876,RA_result!$B$3:$N$62,12,0),"")</f>
        <v/>
      </c>
      <c r="J876" s="55" t="str">
        <f aca="false">IFERROR(VLOOKUP($A876,RA_result!$B$3:$N$62,13,0),"")</f>
        <v/>
      </c>
      <c r="K876" s="56"/>
      <c r="L876" s="56"/>
      <c r="M876" s="57" t="n">
        <f aca="false">G876</f>
        <v>0</v>
      </c>
      <c r="N876" s="54" t="n">
        <f aca="false">G876-M876</f>
        <v>0</v>
      </c>
      <c r="O876" s="55" t="str">
        <f aca="false">IFERROR(VLOOKUP($A876,RA_result!$B$3:$N$62,7,0),"")</f>
        <v/>
      </c>
      <c r="P876" s="52" t="str">
        <f aca="false">IFERROR(VLOOKUP($A876,RA_result!$B$3:$N$62,9,0),"")</f>
        <v/>
      </c>
      <c r="Q876" s="52" t="str">
        <f aca="false">IFERROR(VLOOKUP($A876,RA_result!$B$3:$N$62,10,0),"")</f>
        <v/>
      </c>
      <c r="R876" s="58" t="s">
        <v>55</v>
      </c>
      <c r="S876" s="59" t="str">
        <f aca="false">IFERROR(VLOOKUP($A876,RA_result!$B$3:$N$62,4,0),"")</f>
        <v/>
      </c>
      <c r="T876" s="60" t="s">
        <v>56</v>
      </c>
      <c r="U876" s="59" t="str">
        <f aca="false">IFERROR(IF(VLOOKUP($A876,RA_result!$B$3:$N$62,6,0)="",S876*T876,VLOOKUP($A876,RA_result!$B$3:$N$62,6,0)),"")</f>
        <v/>
      </c>
      <c r="V876" s="61" t="s">
        <v>56</v>
      </c>
      <c r="W876" s="62" t="n">
        <f aca="false">IFERROR((S876*30%)/V876,0)</f>
        <v>0</v>
      </c>
      <c r="X876" s="63" t="n">
        <f aca="false">IFERROR(N876/W876,0)</f>
        <v>0</v>
      </c>
      <c r="Y876" s="68"/>
      <c r="Z876" s="57"/>
      <c r="AA876" s="69" t="str">
        <f aca="false">IF(OR(U876="",Y876="",Z876=""),"",IF(AND(U876&gt;Y876,-U876&lt;Z876),"Ok","Not Ok"))</f>
        <v/>
      </c>
      <c r="AB876" s="70"/>
    </row>
    <row r="877" customFormat="false" ht="12.8" hidden="false" customHeight="false" outlineLevel="0" collapsed="false">
      <c r="A877" s="48" t="n">
        <f aca="false">TB_audited!A860</f>
        <v>0</v>
      </c>
      <c r="B877" s="49"/>
      <c r="C877" s="50"/>
      <c r="D877" s="51" t="n">
        <f aca="false">TB_audited!B860</f>
        <v>0</v>
      </c>
      <c r="E877" s="52" t="n">
        <f aca="false">TB_audited!C860</f>
        <v>0</v>
      </c>
      <c r="F877" s="53" t="n">
        <f aca="false">TB_audited!D860</f>
        <v>0</v>
      </c>
      <c r="G877" s="54" t="n">
        <f aca="false">IF($D$8="Interim",TB_audited!G860,TB_audited!E860)</f>
        <v>0</v>
      </c>
      <c r="H877" s="55" t="str">
        <f aca="false">IFERROR(VLOOKUP($A877,RA_result!$B$3:$N$62,11,0),"")</f>
        <v/>
      </c>
      <c r="I877" s="55" t="str">
        <f aca="false">IFERROR(VLOOKUP($A877,RA_result!$B$3:$N$62,12,0),"")</f>
        <v/>
      </c>
      <c r="J877" s="55" t="str">
        <f aca="false">IFERROR(VLOOKUP($A877,RA_result!$B$3:$N$62,13,0),"")</f>
        <v/>
      </c>
      <c r="K877" s="56"/>
      <c r="L877" s="56"/>
      <c r="M877" s="57" t="n">
        <f aca="false">G877</f>
        <v>0</v>
      </c>
      <c r="N877" s="54" t="n">
        <f aca="false">G877-M877</f>
        <v>0</v>
      </c>
      <c r="O877" s="55" t="str">
        <f aca="false">IFERROR(VLOOKUP($A877,RA_result!$B$3:$N$62,7,0),"")</f>
        <v/>
      </c>
      <c r="P877" s="52" t="str">
        <f aca="false">IFERROR(VLOOKUP($A877,RA_result!$B$3:$N$62,9,0),"")</f>
        <v/>
      </c>
      <c r="Q877" s="52" t="str">
        <f aca="false">IFERROR(VLOOKUP($A877,RA_result!$B$3:$N$62,10,0),"")</f>
        <v/>
      </c>
      <c r="R877" s="58" t="s">
        <v>55</v>
      </c>
      <c r="S877" s="59" t="str">
        <f aca="false">IFERROR(VLOOKUP($A877,RA_result!$B$3:$N$62,4,0),"")</f>
        <v/>
      </c>
      <c r="T877" s="60" t="s">
        <v>56</v>
      </c>
      <c r="U877" s="59" t="str">
        <f aca="false">IFERROR(IF(VLOOKUP($A877,RA_result!$B$3:$N$62,6,0)="",S877*T877,VLOOKUP($A877,RA_result!$B$3:$N$62,6,0)),"")</f>
        <v/>
      </c>
      <c r="V877" s="61" t="s">
        <v>56</v>
      </c>
      <c r="W877" s="62" t="n">
        <f aca="false">IFERROR((S877*30%)/V877,0)</f>
        <v>0</v>
      </c>
      <c r="X877" s="63" t="n">
        <f aca="false">IFERROR(N877/W877,0)</f>
        <v>0</v>
      </c>
      <c r="Y877" s="68"/>
      <c r="Z877" s="57"/>
      <c r="AA877" s="69" t="str">
        <f aca="false">IF(OR(U877="",Y877="",Z877=""),"",IF(AND(U877&gt;Y877,-U877&lt;Z877),"Ok","Not Ok"))</f>
        <v/>
      </c>
      <c r="AB877" s="70"/>
    </row>
    <row r="878" customFormat="false" ht="12.8" hidden="false" customHeight="false" outlineLevel="0" collapsed="false">
      <c r="A878" s="48" t="n">
        <f aca="false">TB_audited!A861</f>
        <v>0</v>
      </c>
      <c r="B878" s="49"/>
      <c r="C878" s="50"/>
      <c r="D878" s="51" t="n">
        <f aca="false">TB_audited!B861</f>
        <v>0</v>
      </c>
      <c r="E878" s="52" t="n">
        <f aca="false">TB_audited!C861</f>
        <v>0</v>
      </c>
      <c r="F878" s="53" t="n">
        <f aca="false">TB_audited!D861</f>
        <v>0</v>
      </c>
      <c r="G878" s="54" t="n">
        <f aca="false">IF($D$8="Interim",TB_audited!G861,TB_audited!E861)</f>
        <v>0</v>
      </c>
      <c r="H878" s="55" t="str">
        <f aca="false">IFERROR(VLOOKUP($A878,RA_result!$B$3:$N$62,11,0),"")</f>
        <v/>
      </c>
      <c r="I878" s="55" t="str">
        <f aca="false">IFERROR(VLOOKUP($A878,RA_result!$B$3:$N$62,12,0),"")</f>
        <v/>
      </c>
      <c r="J878" s="55" t="str">
        <f aca="false">IFERROR(VLOOKUP($A878,RA_result!$B$3:$N$62,13,0),"")</f>
        <v/>
      </c>
      <c r="K878" s="56"/>
      <c r="L878" s="56"/>
      <c r="M878" s="57" t="n">
        <f aca="false">G878</f>
        <v>0</v>
      </c>
      <c r="N878" s="54" t="n">
        <f aca="false">G878-M878</f>
        <v>0</v>
      </c>
      <c r="O878" s="55" t="str">
        <f aca="false">IFERROR(VLOOKUP($A878,RA_result!$B$3:$N$62,7,0),"")</f>
        <v/>
      </c>
      <c r="P878" s="52" t="str">
        <f aca="false">IFERROR(VLOOKUP($A878,RA_result!$B$3:$N$62,9,0),"")</f>
        <v/>
      </c>
      <c r="Q878" s="52" t="str">
        <f aca="false">IFERROR(VLOOKUP($A878,RA_result!$B$3:$N$62,10,0),"")</f>
        <v/>
      </c>
      <c r="R878" s="58" t="s">
        <v>55</v>
      </c>
      <c r="S878" s="59" t="str">
        <f aca="false">IFERROR(VLOOKUP($A878,RA_result!$B$3:$N$62,4,0),"")</f>
        <v/>
      </c>
      <c r="T878" s="60" t="s">
        <v>56</v>
      </c>
      <c r="U878" s="59" t="str">
        <f aca="false">IFERROR(IF(VLOOKUP($A878,RA_result!$B$3:$N$62,6,0)="",S878*T878,VLOOKUP($A878,RA_result!$B$3:$N$62,6,0)),"")</f>
        <v/>
      </c>
      <c r="V878" s="61" t="s">
        <v>56</v>
      </c>
      <c r="W878" s="62" t="n">
        <f aca="false">IFERROR((S878*30%)/V878,0)</f>
        <v>0</v>
      </c>
      <c r="X878" s="63" t="n">
        <f aca="false">IFERROR(N878/W878,0)</f>
        <v>0</v>
      </c>
      <c r="Y878" s="68"/>
      <c r="Z878" s="57"/>
      <c r="AA878" s="69" t="str">
        <f aca="false">IF(OR(U878="",Y878="",Z878=""),"",IF(AND(U878&gt;Y878,-U878&lt;Z878),"Ok","Not Ok"))</f>
        <v/>
      </c>
      <c r="AB878" s="70"/>
    </row>
    <row r="879" customFormat="false" ht="12.8" hidden="false" customHeight="false" outlineLevel="0" collapsed="false">
      <c r="A879" s="48" t="n">
        <f aca="false">TB_audited!A862</f>
        <v>0</v>
      </c>
      <c r="B879" s="49"/>
      <c r="C879" s="50"/>
      <c r="D879" s="51" t="n">
        <f aca="false">TB_audited!B862</f>
        <v>0</v>
      </c>
      <c r="E879" s="52" t="n">
        <f aca="false">TB_audited!C862</f>
        <v>0</v>
      </c>
      <c r="F879" s="53" t="n">
        <f aca="false">TB_audited!D862</f>
        <v>0</v>
      </c>
      <c r="G879" s="54" t="n">
        <f aca="false">IF($D$8="Interim",TB_audited!G862,TB_audited!E862)</f>
        <v>0</v>
      </c>
      <c r="H879" s="55" t="str">
        <f aca="false">IFERROR(VLOOKUP($A879,RA_result!$B$3:$N$62,11,0),"")</f>
        <v/>
      </c>
      <c r="I879" s="55" t="str">
        <f aca="false">IFERROR(VLOOKUP($A879,RA_result!$B$3:$N$62,12,0),"")</f>
        <v/>
      </c>
      <c r="J879" s="55" t="str">
        <f aca="false">IFERROR(VLOOKUP($A879,RA_result!$B$3:$N$62,13,0),"")</f>
        <v/>
      </c>
      <c r="K879" s="56"/>
      <c r="L879" s="56"/>
      <c r="M879" s="57" t="n">
        <f aca="false">G879</f>
        <v>0</v>
      </c>
      <c r="N879" s="54" t="n">
        <f aca="false">G879-M879</f>
        <v>0</v>
      </c>
      <c r="O879" s="55" t="str">
        <f aca="false">IFERROR(VLOOKUP($A879,RA_result!$B$3:$N$62,7,0),"")</f>
        <v/>
      </c>
      <c r="P879" s="52" t="str">
        <f aca="false">IFERROR(VLOOKUP($A879,RA_result!$B$3:$N$62,9,0),"")</f>
        <v/>
      </c>
      <c r="Q879" s="52" t="str">
        <f aca="false">IFERROR(VLOOKUP($A879,RA_result!$B$3:$N$62,10,0),"")</f>
        <v/>
      </c>
      <c r="R879" s="58" t="s">
        <v>55</v>
      </c>
      <c r="S879" s="59" t="str">
        <f aca="false">IFERROR(VLOOKUP($A879,RA_result!$B$3:$N$62,4,0),"")</f>
        <v/>
      </c>
      <c r="T879" s="60" t="s">
        <v>56</v>
      </c>
      <c r="U879" s="59" t="str">
        <f aca="false">IFERROR(IF(VLOOKUP($A879,RA_result!$B$3:$N$62,6,0)="",S879*T879,VLOOKUP($A879,RA_result!$B$3:$N$62,6,0)),"")</f>
        <v/>
      </c>
      <c r="V879" s="61" t="s">
        <v>56</v>
      </c>
      <c r="W879" s="62" t="n">
        <f aca="false">IFERROR((S879*30%)/V879,0)</f>
        <v>0</v>
      </c>
      <c r="X879" s="63" t="n">
        <f aca="false">IFERROR(N879/W879,0)</f>
        <v>0</v>
      </c>
      <c r="Y879" s="68"/>
      <c r="Z879" s="57"/>
      <c r="AA879" s="69" t="str">
        <f aca="false">IF(OR(U879="",Y879="",Z879=""),"",IF(AND(U879&gt;Y879,-U879&lt;Z879),"Ok","Not Ok"))</f>
        <v/>
      </c>
      <c r="AB879" s="70"/>
    </row>
    <row r="880" customFormat="false" ht="12.8" hidden="false" customHeight="false" outlineLevel="0" collapsed="false">
      <c r="A880" s="48" t="n">
        <f aca="false">TB_audited!A863</f>
        <v>0</v>
      </c>
      <c r="B880" s="49"/>
      <c r="C880" s="50"/>
      <c r="D880" s="51" t="n">
        <f aca="false">TB_audited!B863</f>
        <v>0</v>
      </c>
      <c r="E880" s="52" t="n">
        <f aca="false">TB_audited!C863</f>
        <v>0</v>
      </c>
      <c r="F880" s="53" t="n">
        <f aca="false">TB_audited!D863</f>
        <v>0</v>
      </c>
      <c r="G880" s="54" t="n">
        <f aca="false">IF($D$8="Interim",TB_audited!G863,TB_audited!E863)</f>
        <v>0</v>
      </c>
      <c r="H880" s="55" t="str">
        <f aca="false">IFERROR(VLOOKUP($A880,RA_result!$B$3:$N$62,11,0),"")</f>
        <v/>
      </c>
      <c r="I880" s="55" t="str">
        <f aca="false">IFERROR(VLOOKUP($A880,RA_result!$B$3:$N$62,12,0),"")</f>
        <v/>
      </c>
      <c r="J880" s="55" t="str">
        <f aca="false">IFERROR(VLOOKUP($A880,RA_result!$B$3:$N$62,13,0),"")</f>
        <v/>
      </c>
      <c r="K880" s="56"/>
      <c r="L880" s="56"/>
      <c r="M880" s="57" t="n">
        <f aca="false">G880</f>
        <v>0</v>
      </c>
      <c r="N880" s="54" t="n">
        <f aca="false">G880-M880</f>
        <v>0</v>
      </c>
      <c r="O880" s="55" t="str">
        <f aca="false">IFERROR(VLOOKUP($A880,RA_result!$B$3:$N$62,7,0),"")</f>
        <v/>
      </c>
      <c r="P880" s="52" t="str">
        <f aca="false">IFERROR(VLOOKUP($A880,RA_result!$B$3:$N$62,9,0),"")</f>
        <v/>
      </c>
      <c r="Q880" s="52" t="str">
        <f aca="false">IFERROR(VLOOKUP($A880,RA_result!$B$3:$N$62,10,0),"")</f>
        <v/>
      </c>
      <c r="R880" s="58" t="s">
        <v>55</v>
      </c>
      <c r="S880" s="59" t="str">
        <f aca="false">IFERROR(VLOOKUP($A880,RA_result!$B$3:$N$62,4,0),"")</f>
        <v/>
      </c>
      <c r="T880" s="60" t="s">
        <v>56</v>
      </c>
      <c r="U880" s="59" t="str">
        <f aca="false">IFERROR(IF(VLOOKUP($A880,RA_result!$B$3:$N$62,6,0)="",S880*T880,VLOOKUP($A880,RA_result!$B$3:$N$62,6,0)),"")</f>
        <v/>
      </c>
      <c r="V880" s="61" t="s">
        <v>56</v>
      </c>
      <c r="W880" s="62" t="n">
        <f aca="false">IFERROR((S880*30%)/V880,0)</f>
        <v>0</v>
      </c>
      <c r="X880" s="63" t="n">
        <f aca="false">IFERROR(N880/W880,0)</f>
        <v>0</v>
      </c>
      <c r="Y880" s="68"/>
      <c r="Z880" s="57"/>
      <c r="AA880" s="69" t="str">
        <f aca="false">IF(OR(U880="",Y880="",Z880=""),"",IF(AND(U880&gt;Y880,-U880&lt;Z880),"Ok","Not Ok"))</f>
        <v/>
      </c>
      <c r="AB880" s="70"/>
    </row>
    <row r="881" customFormat="false" ht="12.8" hidden="false" customHeight="false" outlineLevel="0" collapsed="false">
      <c r="A881" s="48" t="n">
        <f aca="false">TB_audited!A864</f>
        <v>0</v>
      </c>
      <c r="B881" s="49"/>
      <c r="C881" s="50"/>
      <c r="D881" s="51" t="n">
        <f aca="false">TB_audited!B864</f>
        <v>0</v>
      </c>
      <c r="E881" s="52" t="n">
        <f aca="false">TB_audited!C864</f>
        <v>0</v>
      </c>
      <c r="F881" s="53" t="n">
        <f aca="false">TB_audited!D864</f>
        <v>0</v>
      </c>
      <c r="G881" s="54" t="n">
        <f aca="false">IF($D$8="Interim",TB_audited!G864,TB_audited!E864)</f>
        <v>0</v>
      </c>
      <c r="H881" s="55" t="str">
        <f aca="false">IFERROR(VLOOKUP($A881,RA_result!$B$3:$N$62,11,0),"")</f>
        <v/>
      </c>
      <c r="I881" s="55" t="str">
        <f aca="false">IFERROR(VLOOKUP($A881,RA_result!$B$3:$N$62,12,0),"")</f>
        <v/>
      </c>
      <c r="J881" s="55" t="str">
        <f aca="false">IFERROR(VLOOKUP($A881,RA_result!$B$3:$N$62,13,0),"")</f>
        <v/>
      </c>
      <c r="K881" s="56"/>
      <c r="L881" s="56"/>
      <c r="M881" s="57" t="n">
        <f aca="false">G881</f>
        <v>0</v>
      </c>
      <c r="N881" s="54" t="n">
        <f aca="false">G881-M881</f>
        <v>0</v>
      </c>
      <c r="O881" s="55" t="str">
        <f aca="false">IFERROR(VLOOKUP($A881,RA_result!$B$3:$N$62,7,0),"")</f>
        <v/>
      </c>
      <c r="P881" s="52" t="str">
        <f aca="false">IFERROR(VLOOKUP($A881,RA_result!$B$3:$N$62,9,0),"")</f>
        <v/>
      </c>
      <c r="Q881" s="52" t="str">
        <f aca="false">IFERROR(VLOOKUP($A881,RA_result!$B$3:$N$62,10,0),"")</f>
        <v/>
      </c>
      <c r="R881" s="58" t="s">
        <v>55</v>
      </c>
      <c r="S881" s="59" t="str">
        <f aca="false">IFERROR(VLOOKUP($A881,RA_result!$B$3:$N$62,4,0),"")</f>
        <v/>
      </c>
      <c r="T881" s="60" t="s">
        <v>56</v>
      </c>
      <c r="U881" s="59" t="str">
        <f aca="false">IFERROR(IF(VLOOKUP($A881,RA_result!$B$3:$N$62,6,0)="",S881*T881,VLOOKUP($A881,RA_result!$B$3:$N$62,6,0)),"")</f>
        <v/>
      </c>
      <c r="V881" s="61" t="s">
        <v>56</v>
      </c>
      <c r="W881" s="62" t="n">
        <f aca="false">IFERROR((S881*30%)/V881,0)</f>
        <v>0</v>
      </c>
      <c r="X881" s="63" t="n">
        <f aca="false">IFERROR(N881/W881,0)</f>
        <v>0</v>
      </c>
      <c r="Y881" s="68"/>
      <c r="Z881" s="57"/>
      <c r="AA881" s="69" t="str">
        <f aca="false">IF(OR(U881="",Y881="",Z881=""),"",IF(AND(U881&gt;Y881,-U881&lt;Z881),"Ok","Not Ok"))</f>
        <v/>
      </c>
      <c r="AB881" s="70"/>
    </row>
    <row r="882" customFormat="false" ht="12.8" hidden="false" customHeight="false" outlineLevel="0" collapsed="false">
      <c r="A882" s="48" t="n">
        <f aca="false">TB_audited!A865</f>
        <v>0</v>
      </c>
      <c r="B882" s="49"/>
      <c r="C882" s="50"/>
      <c r="D882" s="51" t="n">
        <f aca="false">TB_audited!B865</f>
        <v>0</v>
      </c>
      <c r="E882" s="52" t="n">
        <f aca="false">TB_audited!C865</f>
        <v>0</v>
      </c>
      <c r="F882" s="53" t="n">
        <f aca="false">TB_audited!D865</f>
        <v>0</v>
      </c>
      <c r="G882" s="54" t="n">
        <f aca="false">IF($D$8="Interim",TB_audited!G865,TB_audited!E865)</f>
        <v>0</v>
      </c>
      <c r="H882" s="55" t="str">
        <f aca="false">IFERROR(VLOOKUP($A882,RA_result!$B$3:$N$62,11,0),"")</f>
        <v/>
      </c>
      <c r="I882" s="55" t="str">
        <f aca="false">IFERROR(VLOOKUP($A882,RA_result!$B$3:$N$62,12,0),"")</f>
        <v/>
      </c>
      <c r="J882" s="55" t="str">
        <f aca="false">IFERROR(VLOOKUP($A882,RA_result!$B$3:$N$62,13,0),"")</f>
        <v/>
      </c>
      <c r="K882" s="56"/>
      <c r="L882" s="56"/>
      <c r="M882" s="57" t="n">
        <f aca="false">G882</f>
        <v>0</v>
      </c>
      <c r="N882" s="54" t="n">
        <f aca="false">G882-M882</f>
        <v>0</v>
      </c>
      <c r="O882" s="55" t="str">
        <f aca="false">IFERROR(VLOOKUP($A882,RA_result!$B$3:$N$62,7,0),"")</f>
        <v/>
      </c>
      <c r="P882" s="52" t="str">
        <f aca="false">IFERROR(VLOOKUP($A882,RA_result!$B$3:$N$62,9,0),"")</f>
        <v/>
      </c>
      <c r="Q882" s="52" t="str">
        <f aca="false">IFERROR(VLOOKUP($A882,RA_result!$B$3:$N$62,10,0),"")</f>
        <v/>
      </c>
      <c r="R882" s="58" t="s">
        <v>55</v>
      </c>
      <c r="S882" s="59" t="str">
        <f aca="false">IFERROR(VLOOKUP($A882,RA_result!$B$3:$N$62,4,0),"")</f>
        <v/>
      </c>
      <c r="T882" s="60" t="s">
        <v>56</v>
      </c>
      <c r="U882" s="59" t="str">
        <f aca="false">IFERROR(IF(VLOOKUP($A882,RA_result!$B$3:$N$62,6,0)="",S882*T882,VLOOKUP($A882,RA_result!$B$3:$N$62,6,0)),"")</f>
        <v/>
      </c>
      <c r="V882" s="61" t="s">
        <v>56</v>
      </c>
      <c r="W882" s="62" t="n">
        <f aca="false">IFERROR((S882*30%)/V882,0)</f>
        <v>0</v>
      </c>
      <c r="X882" s="63" t="n">
        <f aca="false">IFERROR(N882/W882,0)</f>
        <v>0</v>
      </c>
      <c r="Y882" s="68"/>
      <c r="Z882" s="57"/>
      <c r="AA882" s="69" t="str">
        <f aca="false">IF(OR(U882="",Y882="",Z882=""),"",IF(AND(U882&gt;Y882,-U882&lt;Z882),"Ok","Not Ok"))</f>
        <v/>
      </c>
      <c r="AB882" s="70"/>
    </row>
    <row r="883" customFormat="false" ht="12.8" hidden="false" customHeight="false" outlineLevel="0" collapsed="false">
      <c r="A883" s="48" t="n">
        <f aca="false">TB_audited!A866</f>
        <v>0</v>
      </c>
      <c r="B883" s="49"/>
      <c r="C883" s="50"/>
      <c r="D883" s="51" t="n">
        <f aca="false">TB_audited!B866</f>
        <v>0</v>
      </c>
      <c r="E883" s="52" t="n">
        <f aca="false">TB_audited!C866</f>
        <v>0</v>
      </c>
      <c r="F883" s="53" t="n">
        <f aca="false">TB_audited!D866</f>
        <v>0</v>
      </c>
      <c r="G883" s="54" t="n">
        <f aca="false">IF($D$8="Interim",TB_audited!G866,TB_audited!E866)</f>
        <v>0</v>
      </c>
      <c r="H883" s="55" t="str">
        <f aca="false">IFERROR(VLOOKUP($A883,RA_result!$B$3:$N$62,11,0),"")</f>
        <v/>
      </c>
      <c r="I883" s="55" t="str">
        <f aca="false">IFERROR(VLOOKUP($A883,RA_result!$B$3:$N$62,12,0),"")</f>
        <v/>
      </c>
      <c r="J883" s="55" t="str">
        <f aca="false">IFERROR(VLOOKUP($A883,RA_result!$B$3:$N$62,13,0),"")</f>
        <v/>
      </c>
      <c r="K883" s="56"/>
      <c r="L883" s="56"/>
      <c r="M883" s="57" t="n">
        <f aca="false">G883</f>
        <v>0</v>
      </c>
      <c r="N883" s="54" t="n">
        <f aca="false">G883-M883</f>
        <v>0</v>
      </c>
      <c r="O883" s="55" t="str">
        <f aca="false">IFERROR(VLOOKUP($A883,RA_result!$B$3:$N$62,7,0),"")</f>
        <v/>
      </c>
      <c r="P883" s="52" t="str">
        <f aca="false">IFERROR(VLOOKUP($A883,RA_result!$B$3:$N$62,9,0),"")</f>
        <v/>
      </c>
      <c r="Q883" s="52" t="str">
        <f aca="false">IFERROR(VLOOKUP($A883,RA_result!$B$3:$N$62,10,0),"")</f>
        <v/>
      </c>
      <c r="R883" s="58" t="s">
        <v>55</v>
      </c>
      <c r="S883" s="59" t="str">
        <f aca="false">IFERROR(VLOOKUP($A883,RA_result!$B$3:$N$62,4,0),"")</f>
        <v/>
      </c>
      <c r="T883" s="60" t="s">
        <v>56</v>
      </c>
      <c r="U883" s="59" t="str">
        <f aca="false">IFERROR(IF(VLOOKUP($A883,RA_result!$B$3:$N$62,6,0)="",S883*T883,VLOOKUP($A883,RA_result!$B$3:$N$62,6,0)),"")</f>
        <v/>
      </c>
      <c r="V883" s="61" t="s">
        <v>56</v>
      </c>
      <c r="W883" s="62" t="n">
        <f aca="false">IFERROR((S883*30%)/V883,0)</f>
        <v>0</v>
      </c>
      <c r="X883" s="63" t="n">
        <f aca="false">IFERROR(N883/W883,0)</f>
        <v>0</v>
      </c>
      <c r="Y883" s="68"/>
      <c r="Z883" s="57"/>
      <c r="AA883" s="69" t="str">
        <f aca="false">IF(OR(U883="",Y883="",Z883=""),"",IF(AND(U883&gt;Y883,-U883&lt;Z883),"Ok","Not Ok"))</f>
        <v/>
      </c>
      <c r="AB883" s="70"/>
    </row>
    <row r="884" customFormat="false" ht="12.8" hidden="false" customHeight="false" outlineLevel="0" collapsed="false">
      <c r="A884" s="48" t="n">
        <f aca="false">TB_audited!A867</f>
        <v>0</v>
      </c>
      <c r="B884" s="49"/>
      <c r="C884" s="50"/>
      <c r="D884" s="51" t="n">
        <f aca="false">TB_audited!B867</f>
        <v>0</v>
      </c>
      <c r="E884" s="52" t="n">
        <f aca="false">TB_audited!C867</f>
        <v>0</v>
      </c>
      <c r="F884" s="53" t="n">
        <f aca="false">TB_audited!D867</f>
        <v>0</v>
      </c>
      <c r="G884" s="54" t="n">
        <f aca="false">IF($D$8="Interim",TB_audited!G867,TB_audited!E867)</f>
        <v>0</v>
      </c>
      <c r="H884" s="55" t="str">
        <f aca="false">IFERROR(VLOOKUP($A884,RA_result!$B$3:$N$62,11,0),"")</f>
        <v/>
      </c>
      <c r="I884" s="55" t="str">
        <f aca="false">IFERROR(VLOOKUP($A884,RA_result!$B$3:$N$62,12,0),"")</f>
        <v/>
      </c>
      <c r="J884" s="55" t="str">
        <f aca="false">IFERROR(VLOOKUP($A884,RA_result!$B$3:$N$62,13,0),"")</f>
        <v/>
      </c>
      <c r="K884" s="56"/>
      <c r="L884" s="56"/>
      <c r="M884" s="57" t="n">
        <f aca="false">G884</f>
        <v>0</v>
      </c>
      <c r="N884" s="54" t="n">
        <f aca="false">G884-M884</f>
        <v>0</v>
      </c>
      <c r="O884" s="55" t="str">
        <f aca="false">IFERROR(VLOOKUP($A884,RA_result!$B$3:$N$62,7,0),"")</f>
        <v/>
      </c>
      <c r="P884" s="52" t="str">
        <f aca="false">IFERROR(VLOOKUP($A884,RA_result!$B$3:$N$62,9,0),"")</f>
        <v/>
      </c>
      <c r="Q884" s="52" t="str">
        <f aca="false">IFERROR(VLOOKUP($A884,RA_result!$B$3:$N$62,10,0),"")</f>
        <v/>
      </c>
      <c r="R884" s="58" t="s">
        <v>55</v>
      </c>
      <c r="S884" s="59" t="str">
        <f aca="false">IFERROR(VLOOKUP($A884,RA_result!$B$3:$N$62,4,0),"")</f>
        <v/>
      </c>
      <c r="T884" s="60" t="s">
        <v>56</v>
      </c>
      <c r="U884" s="59" t="str">
        <f aca="false">IFERROR(IF(VLOOKUP($A884,RA_result!$B$3:$N$62,6,0)="",S884*T884,VLOOKUP($A884,RA_result!$B$3:$N$62,6,0)),"")</f>
        <v/>
      </c>
      <c r="V884" s="61" t="s">
        <v>56</v>
      </c>
      <c r="W884" s="62" t="n">
        <f aca="false">IFERROR((S884*30%)/V884,0)</f>
        <v>0</v>
      </c>
      <c r="X884" s="63" t="n">
        <f aca="false">IFERROR(N884/W884,0)</f>
        <v>0</v>
      </c>
      <c r="Y884" s="68"/>
      <c r="Z884" s="57"/>
      <c r="AA884" s="69" t="str">
        <f aca="false">IF(OR(U884="",Y884="",Z884=""),"",IF(AND(U884&gt;Y884,-U884&lt;Z884),"Ok","Not Ok"))</f>
        <v/>
      </c>
      <c r="AB884" s="70"/>
    </row>
    <row r="885" customFormat="false" ht="12.8" hidden="false" customHeight="false" outlineLevel="0" collapsed="false">
      <c r="A885" s="48" t="n">
        <f aca="false">TB_audited!A868</f>
        <v>0</v>
      </c>
      <c r="B885" s="49"/>
      <c r="C885" s="50"/>
      <c r="D885" s="51" t="n">
        <f aca="false">TB_audited!B868</f>
        <v>0</v>
      </c>
      <c r="E885" s="52" t="n">
        <f aca="false">TB_audited!C868</f>
        <v>0</v>
      </c>
      <c r="F885" s="53" t="n">
        <f aca="false">TB_audited!D868</f>
        <v>0</v>
      </c>
      <c r="G885" s="54" t="n">
        <f aca="false">IF($D$8="Interim",TB_audited!G868,TB_audited!E868)</f>
        <v>0</v>
      </c>
      <c r="H885" s="55" t="str">
        <f aca="false">IFERROR(VLOOKUP($A885,RA_result!$B$3:$N$62,11,0),"")</f>
        <v/>
      </c>
      <c r="I885" s="55" t="str">
        <f aca="false">IFERROR(VLOOKUP($A885,RA_result!$B$3:$N$62,12,0),"")</f>
        <v/>
      </c>
      <c r="J885" s="55" t="str">
        <f aca="false">IFERROR(VLOOKUP($A885,RA_result!$B$3:$N$62,13,0),"")</f>
        <v/>
      </c>
      <c r="K885" s="56"/>
      <c r="L885" s="56"/>
      <c r="M885" s="57" t="n">
        <f aca="false">G885</f>
        <v>0</v>
      </c>
      <c r="N885" s="54" t="n">
        <f aca="false">G885-M885</f>
        <v>0</v>
      </c>
      <c r="O885" s="55" t="str">
        <f aca="false">IFERROR(VLOOKUP($A885,RA_result!$B$3:$N$62,7,0),"")</f>
        <v/>
      </c>
      <c r="P885" s="52" t="str">
        <f aca="false">IFERROR(VLOOKUP($A885,RA_result!$B$3:$N$62,9,0),"")</f>
        <v/>
      </c>
      <c r="Q885" s="52" t="str">
        <f aca="false">IFERROR(VLOOKUP($A885,RA_result!$B$3:$N$62,10,0),"")</f>
        <v/>
      </c>
      <c r="R885" s="58" t="s">
        <v>55</v>
      </c>
      <c r="S885" s="59" t="str">
        <f aca="false">IFERROR(VLOOKUP($A885,RA_result!$B$3:$N$62,4,0),"")</f>
        <v/>
      </c>
      <c r="T885" s="60" t="s">
        <v>56</v>
      </c>
      <c r="U885" s="59" t="str">
        <f aca="false">IFERROR(IF(VLOOKUP($A885,RA_result!$B$3:$N$62,6,0)="",S885*T885,VLOOKUP($A885,RA_result!$B$3:$N$62,6,0)),"")</f>
        <v/>
      </c>
      <c r="V885" s="61" t="s">
        <v>56</v>
      </c>
      <c r="W885" s="62" t="n">
        <f aca="false">IFERROR((S885*30%)/V885,0)</f>
        <v>0</v>
      </c>
      <c r="X885" s="63" t="n">
        <f aca="false">IFERROR(N885/W885,0)</f>
        <v>0</v>
      </c>
      <c r="Y885" s="68"/>
      <c r="Z885" s="57"/>
      <c r="AA885" s="69" t="str">
        <f aca="false">IF(OR(U885="",Y885="",Z885=""),"",IF(AND(U885&gt;Y885,-U885&lt;Z885),"Ok","Not Ok"))</f>
        <v/>
      </c>
      <c r="AB885" s="70"/>
    </row>
    <row r="886" customFormat="false" ht="12.8" hidden="false" customHeight="false" outlineLevel="0" collapsed="false">
      <c r="A886" s="48" t="n">
        <f aca="false">TB_audited!A869</f>
        <v>0</v>
      </c>
      <c r="B886" s="49"/>
      <c r="C886" s="50"/>
      <c r="D886" s="51" t="n">
        <f aca="false">TB_audited!B869</f>
        <v>0</v>
      </c>
      <c r="E886" s="52" t="n">
        <f aca="false">TB_audited!C869</f>
        <v>0</v>
      </c>
      <c r="F886" s="53" t="n">
        <f aca="false">TB_audited!D869</f>
        <v>0</v>
      </c>
      <c r="G886" s="54" t="n">
        <f aca="false">IF($D$8="Interim",TB_audited!G869,TB_audited!E869)</f>
        <v>0</v>
      </c>
      <c r="H886" s="55" t="str">
        <f aca="false">IFERROR(VLOOKUP($A886,RA_result!$B$3:$N$62,11,0),"")</f>
        <v/>
      </c>
      <c r="I886" s="55" t="str">
        <f aca="false">IFERROR(VLOOKUP($A886,RA_result!$B$3:$N$62,12,0),"")</f>
        <v/>
      </c>
      <c r="J886" s="55" t="str">
        <f aca="false">IFERROR(VLOOKUP($A886,RA_result!$B$3:$N$62,13,0),"")</f>
        <v/>
      </c>
      <c r="K886" s="56"/>
      <c r="L886" s="56"/>
      <c r="M886" s="57" t="n">
        <f aca="false">G886</f>
        <v>0</v>
      </c>
      <c r="N886" s="54" t="n">
        <f aca="false">G886-M886</f>
        <v>0</v>
      </c>
      <c r="O886" s="55" t="str">
        <f aca="false">IFERROR(VLOOKUP($A886,RA_result!$B$3:$N$62,7,0),"")</f>
        <v/>
      </c>
      <c r="P886" s="52" t="str">
        <f aca="false">IFERROR(VLOOKUP($A886,RA_result!$B$3:$N$62,9,0),"")</f>
        <v/>
      </c>
      <c r="Q886" s="52" t="str">
        <f aca="false">IFERROR(VLOOKUP($A886,RA_result!$B$3:$N$62,10,0),"")</f>
        <v/>
      </c>
      <c r="R886" s="58" t="s">
        <v>55</v>
      </c>
      <c r="S886" s="59" t="str">
        <f aca="false">IFERROR(VLOOKUP($A886,RA_result!$B$3:$N$62,4,0),"")</f>
        <v/>
      </c>
      <c r="T886" s="60" t="s">
        <v>56</v>
      </c>
      <c r="U886" s="59" t="str">
        <f aca="false">IFERROR(IF(VLOOKUP($A886,RA_result!$B$3:$N$62,6,0)="",S886*T886,VLOOKUP($A886,RA_result!$B$3:$N$62,6,0)),"")</f>
        <v/>
      </c>
      <c r="V886" s="61" t="s">
        <v>56</v>
      </c>
      <c r="W886" s="62" t="n">
        <f aca="false">IFERROR((S886*30%)/V886,0)</f>
        <v>0</v>
      </c>
      <c r="X886" s="63" t="n">
        <f aca="false">IFERROR(N886/W886,0)</f>
        <v>0</v>
      </c>
      <c r="Y886" s="68"/>
      <c r="Z886" s="57"/>
      <c r="AA886" s="69" t="str">
        <f aca="false">IF(OR(U886="",Y886="",Z886=""),"",IF(AND(U886&gt;Y886,-U886&lt;Z886),"Ok","Not Ok"))</f>
        <v/>
      </c>
      <c r="AB886" s="70"/>
    </row>
    <row r="887" customFormat="false" ht="12.8" hidden="false" customHeight="false" outlineLevel="0" collapsed="false">
      <c r="A887" s="48" t="n">
        <f aca="false">TB_audited!A870</f>
        <v>0</v>
      </c>
      <c r="B887" s="49"/>
      <c r="C887" s="50"/>
      <c r="D887" s="51" t="n">
        <f aca="false">TB_audited!B870</f>
        <v>0</v>
      </c>
      <c r="E887" s="52" t="n">
        <f aca="false">TB_audited!C870</f>
        <v>0</v>
      </c>
      <c r="F887" s="53" t="n">
        <f aca="false">TB_audited!D870</f>
        <v>0</v>
      </c>
      <c r="G887" s="54" t="n">
        <f aca="false">IF($D$8="Interim",TB_audited!G870,TB_audited!E870)</f>
        <v>0</v>
      </c>
      <c r="H887" s="55" t="str">
        <f aca="false">IFERROR(VLOOKUP($A887,RA_result!$B$3:$N$62,11,0),"")</f>
        <v/>
      </c>
      <c r="I887" s="55" t="str">
        <f aca="false">IFERROR(VLOOKUP($A887,RA_result!$B$3:$N$62,12,0),"")</f>
        <v/>
      </c>
      <c r="J887" s="55" t="str">
        <f aca="false">IFERROR(VLOOKUP($A887,RA_result!$B$3:$N$62,13,0),"")</f>
        <v/>
      </c>
      <c r="K887" s="56"/>
      <c r="L887" s="56"/>
      <c r="M887" s="57" t="n">
        <f aca="false">G887</f>
        <v>0</v>
      </c>
      <c r="N887" s="54" t="n">
        <f aca="false">G887-M887</f>
        <v>0</v>
      </c>
      <c r="O887" s="55" t="str">
        <f aca="false">IFERROR(VLOOKUP($A887,RA_result!$B$3:$N$62,7,0),"")</f>
        <v/>
      </c>
      <c r="P887" s="52" t="str">
        <f aca="false">IFERROR(VLOOKUP($A887,RA_result!$B$3:$N$62,9,0),"")</f>
        <v/>
      </c>
      <c r="Q887" s="52" t="str">
        <f aca="false">IFERROR(VLOOKUP($A887,RA_result!$B$3:$N$62,10,0),"")</f>
        <v/>
      </c>
      <c r="R887" s="58" t="s">
        <v>55</v>
      </c>
      <c r="S887" s="59" t="str">
        <f aca="false">IFERROR(VLOOKUP($A887,RA_result!$B$3:$N$62,4,0),"")</f>
        <v/>
      </c>
      <c r="T887" s="60" t="s">
        <v>56</v>
      </c>
      <c r="U887" s="59" t="str">
        <f aca="false">IFERROR(IF(VLOOKUP($A887,RA_result!$B$3:$N$62,6,0)="",S887*T887,VLOOKUP($A887,RA_result!$B$3:$N$62,6,0)),"")</f>
        <v/>
      </c>
      <c r="V887" s="61" t="s">
        <v>56</v>
      </c>
      <c r="W887" s="62" t="n">
        <f aca="false">IFERROR((S887*30%)/V887,0)</f>
        <v>0</v>
      </c>
      <c r="X887" s="63" t="n">
        <f aca="false">IFERROR(N887/W887,0)</f>
        <v>0</v>
      </c>
      <c r="Y887" s="68"/>
      <c r="Z887" s="57"/>
      <c r="AA887" s="69" t="str">
        <f aca="false">IF(OR(U887="",Y887="",Z887=""),"",IF(AND(U887&gt;Y887,-U887&lt;Z887),"Ok","Not Ok"))</f>
        <v/>
      </c>
      <c r="AB887" s="70"/>
    </row>
    <row r="888" customFormat="false" ht="12.8" hidden="false" customHeight="false" outlineLevel="0" collapsed="false">
      <c r="A888" s="48" t="n">
        <f aca="false">TB_audited!A871</f>
        <v>0</v>
      </c>
      <c r="B888" s="49"/>
      <c r="C888" s="50"/>
      <c r="D888" s="51" t="n">
        <f aca="false">TB_audited!B871</f>
        <v>0</v>
      </c>
      <c r="E888" s="52" t="n">
        <f aca="false">TB_audited!C871</f>
        <v>0</v>
      </c>
      <c r="F888" s="53" t="n">
        <f aca="false">TB_audited!D871</f>
        <v>0</v>
      </c>
      <c r="G888" s="54" t="n">
        <f aca="false">IF($D$8="Interim",TB_audited!G871,TB_audited!E871)</f>
        <v>0</v>
      </c>
      <c r="H888" s="55" t="str">
        <f aca="false">IFERROR(VLOOKUP($A888,RA_result!$B$3:$N$62,11,0),"")</f>
        <v/>
      </c>
      <c r="I888" s="55" t="str">
        <f aca="false">IFERROR(VLOOKUP($A888,RA_result!$B$3:$N$62,12,0),"")</f>
        <v/>
      </c>
      <c r="J888" s="55" t="str">
        <f aca="false">IFERROR(VLOOKUP($A888,RA_result!$B$3:$N$62,13,0),"")</f>
        <v/>
      </c>
      <c r="K888" s="56"/>
      <c r="L888" s="56"/>
      <c r="M888" s="57" t="n">
        <f aca="false">G888</f>
        <v>0</v>
      </c>
      <c r="N888" s="54" t="n">
        <f aca="false">G888-M888</f>
        <v>0</v>
      </c>
      <c r="O888" s="55" t="str">
        <f aca="false">IFERROR(VLOOKUP($A888,RA_result!$B$3:$N$62,7,0),"")</f>
        <v/>
      </c>
      <c r="P888" s="52" t="str">
        <f aca="false">IFERROR(VLOOKUP($A888,RA_result!$B$3:$N$62,9,0),"")</f>
        <v/>
      </c>
      <c r="Q888" s="52" t="str">
        <f aca="false">IFERROR(VLOOKUP($A888,RA_result!$B$3:$N$62,10,0),"")</f>
        <v/>
      </c>
      <c r="R888" s="58" t="s">
        <v>55</v>
      </c>
      <c r="S888" s="59" t="str">
        <f aca="false">IFERROR(VLOOKUP($A888,RA_result!$B$3:$N$62,4,0),"")</f>
        <v/>
      </c>
      <c r="T888" s="60" t="s">
        <v>56</v>
      </c>
      <c r="U888" s="59" t="str">
        <f aca="false">IFERROR(IF(VLOOKUP($A888,RA_result!$B$3:$N$62,6,0)="",S888*T888,VLOOKUP($A888,RA_result!$B$3:$N$62,6,0)),"")</f>
        <v/>
      </c>
      <c r="V888" s="61" t="s">
        <v>56</v>
      </c>
      <c r="W888" s="62" t="n">
        <f aca="false">IFERROR((S888*30%)/V888,0)</f>
        <v>0</v>
      </c>
      <c r="X888" s="63" t="n">
        <f aca="false">IFERROR(N888/W888,0)</f>
        <v>0</v>
      </c>
      <c r="Y888" s="68"/>
      <c r="Z888" s="57"/>
      <c r="AA888" s="69" t="str">
        <f aca="false">IF(OR(U888="",Y888="",Z888=""),"",IF(AND(U888&gt;Y888,-U888&lt;Z888),"Ok","Not Ok"))</f>
        <v/>
      </c>
      <c r="AB888" s="70"/>
    </row>
    <row r="889" customFormat="false" ht="12.8" hidden="false" customHeight="false" outlineLevel="0" collapsed="false">
      <c r="A889" s="48" t="n">
        <f aca="false">TB_audited!A872</f>
        <v>0</v>
      </c>
      <c r="B889" s="49"/>
      <c r="C889" s="50"/>
      <c r="D889" s="51" t="n">
        <f aca="false">TB_audited!B872</f>
        <v>0</v>
      </c>
      <c r="E889" s="52" t="n">
        <f aca="false">TB_audited!C872</f>
        <v>0</v>
      </c>
      <c r="F889" s="53" t="n">
        <f aca="false">TB_audited!D872</f>
        <v>0</v>
      </c>
      <c r="G889" s="54" t="n">
        <f aca="false">IF($D$8="Interim",TB_audited!G872,TB_audited!E872)</f>
        <v>0</v>
      </c>
      <c r="H889" s="55" t="str">
        <f aca="false">IFERROR(VLOOKUP($A889,RA_result!$B$3:$N$62,11,0),"")</f>
        <v/>
      </c>
      <c r="I889" s="55" t="str">
        <f aca="false">IFERROR(VLOOKUP($A889,RA_result!$B$3:$N$62,12,0),"")</f>
        <v/>
      </c>
      <c r="J889" s="55" t="str">
        <f aca="false">IFERROR(VLOOKUP($A889,RA_result!$B$3:$N$62,13,0),"")</f>
        <v/>
      </c>
      <c r="K889" s="56"/>
      <c r="L889" s="56"/>
      <c r="M889" s="57" t="n">
        <f aca="false">G889</f>
        <v>0</v>
      </c>
      <c r="N889" s="54" t="n">
        <f aca="false">G889-M889</f>
        <v>0</v>
      </c>
      <c r="O889" s="55" t="str">
        <f aca="false">IFERROR(VLOOKUP($A889,RA_result!$B$3:$N$62,7,0),"")</f>
        <v/>
      </c>
      <c r="P889" s="52" t="str">
        <f aca="false">IFERROR(VLOOKUP($A889,RA_result!$B$3:$N$62,9,0),"")</f>
        <v/>
      </c>
      <c r="Q889" s="52" t="str">
        <f aca="false">IFERROR(VLOOKUP($A889,RA_result!$B$3:$N$62,10,0),"")</f>
        <v/>
      </c>
      <c r="R889" s="58" t="s">
        <v>55</v>
      </c>
      <c r="S889" s="59" t="str">
        <f aca="false">IFERROR(VLOOKUP($A889,RA_result!$B$3:$N$62,4,0),"")</f>
        <v/>
      </c>
      <c r="T889" s="60" t="s">
        <v>56</v>
      </c>
      <c r="U889" s="59" t="str">
        <f aca="false">IFERROR(IF(VLOOKUP($A889,RA_result!$B$3:$N$62,6,0)="",S889*T889,VLOOKUP($A889,RA_result!$B$3:$N$62,6,0)),"")</f>
        <v/>
      </c>
      <c r="V889" s="61" t="s">
        <v>56</v>
      </c>
      <c r="W889" s="62" t="n">
        <f aca="false">IFERROR((S889*30%)/V889,0)</f>
        <v>0</v>
      </c>
      <c r="X889" s="63" t="n">
        <f aca="false">IFERROR(N889/W889,0)</f>
        <v>0</v>
      </c>
      <c r="Y889" s="68"/>
      <c r="Z889" s="57"/>
      <c r="AA889" s="69" t="str">
        <f aca="false">IF(OR(U889="",Y889="",Z889=""),"",IF(AND(U889&gt;Y889,-U889&lt;Z889),"Ok","Not Ok"))</f>
        <v/>
      </c>
      <c r="AB889" s="70"/>
    </row>
    <row r="890" customFormat="false" ht="12.8" hidden="false" customHeight="false" outlineLevel="0" collapsed="false">
      <c r="A890" s="48" t="n">
        <f aca="false">TB_audited!A873</f>
        <v>0</v>
      </c>
      <c r="B890" s="49"/>
      <c r="C890" s="50"/>
      <c r="D890" s="51" t="n">
        <f aca="false">TB_audited!B873</f>
        <v>0</v>
      </c>
      <c r="E890" s="52" t="n">
        <f aca="false">TB_audited!C873</f>
        <v>0</v>
      </c>
      <c r="F890" s="53" t="n">
        <f aca="false">TB_audited!D873</f>
        <v>0</v>
      </c>
      <c r="G890" s="54" t="n">
        <f aca="false">IF($D$8="Interim",TB_audited!G873,TB_audited!E873)</f>
        <v>0</v>
      </c>
      <c r="H890" s="55" t="str">
        <f aca="false">IFERROR(VLOOKUP($A890,RA_result!$B$3:$N$62,11,0),"")</f>
        <v/>
      </c>
      <c r="I890" s="55" t="str">
        <f aca="false">IFERROR(VLOOKUP($A890,RA_result!$B$3:$N$62,12,0),"")</f>
        <v/>
      </c>
      <c r="J890" s="55" t="str">
        <f aca="false">IFERROR(VLOOKUP($A890,RA_result!$B$3:$N$62,13,0),"")</f>
        <v/>
      </c>
      <c r="K890" s="56"/>
      <c r="L890" s="56"/>
      <c r="M890" s="57" t="n">
        <f aca="false">G890</f>
        <v>0</v>
      </c>
      <c r="N890" s="54" t="n">
        <f aca="false">G890-M890</f>
        <v>0</v>
      </c>
      <c r="O890" s="55" t="str">
        <f aca="false">IFERROR(VLOOKUP($A890,RA_result!$B$3:$N$62,7,0),"")</f>
        <v/>
      </c>
      <c r="P890" s="52" t="str">
        <f aca="false">IFERROR(VLOOKUP($A890,RA_result!$B$3:$N$62,9,0),"")</f>
        <v/>
      </c>
      <c r="Q890" s="52" t="str">
        <f aca="false">IFERROR(VLOOKUP($A890,RA_result!$B$3:$N$62,10,0),"")</f>
        <v/>
      </c>
      <c r="R890" s="58" t="s">
        <v>55</v>
      </c>
      <c r="S890" s="59" t="str">
        <f aca="false">IFERROR(VLOOKUP($A890,RA_result!$B$3:$N$62,4,0),"")</f>
        <v/>
      </c>
      <c r="T890" s="60" t="s">
        <v>56</v>
      </c>
      <c r="U890" s="59" t="str">
        <f aca="false">IFERROR(IF(VLOOKUP($A890,RA_result!$B$3:$N$62,6,0)="",S890*T890,VLOOKUP($A890,RA_result!$B$3:$N$62,6,0)),"")</f>
        <v/>
      </c>
      <c r="V890" s="61" t="s">
        <v>56</v>
      </c>
      <c r="W890" s="62" t="n">
        <f aca="false">IFERROR((S890*30%)/V890,0)</f>
        <v>0</v>
      </c>
      <c r="X890" s="63" t="n">
        <f aca="false">IFERROR(N890/W890,0)</f>
        <v>0</v>
      </c>
      <c r="Y890" s="68"/>
      <c r="Z890" s="57"/>
      <c r="AA890" s="69" t="str">
        <f aca="false">IF(OR(U890="",Y890="",Z890=""),"",IF(AND(U890&gt;Y890,-U890&lt;Z890),"Ok","Not Ok"))</f>
        <v/>
      </c>
      <c r="AB890" s="70"/>
    </row>
    <row r="891" customFormat="false" ht="12.8" hidden="false" customHeight="false" outlineLevel="0" collapsed="false">
      <c r="A891" s="48" t="n">
        <f aca="false">TB_audited!A874</f>
        <v>0</v>
      </c>
      <c r="B891" s="49"/>
      <c r="C891" s="50"/>
      <c r="D891" s="51" t="n">
        <f aca="false">TB_audited!B874</f>
        <v>0</v>
      </c>
      <c r="E891" s="52" t="n">
        <f aca="false">TB_audited!C874</f>
        <v>0</v>
      </c>
      <c r="F891" s="53" t="n">
        <f aca="false">TB_audited!D874</f>
        <v>0</v>
      </c>
      <c r="G891" s="54" t="n">
        <f aca="false">IF($D$8="Interim",TB_audited!G874,TB_audited!E874)</f>
        <v>0</v>
      </c>
      <c r="H891" s="55" t="str">
        <f aca="false">IFERROR(VLOOKUP($A891,RA_result!$B$3:$N$62,11,0),"")</f>
        <v/>
      </c>
      <c r="I891" s="55" t="str">
        <f aca="false">IFERROR(VLOOKUP($A891,RA_result!$B$3:$N$62,12,0),"")</f>
        <v/>
      </c>
      <c r="J891" s="55" t="str">
        <f aca="false">IFERROR(VLOOKUP($A891,RA_result!$B$3:$N$62,13,0),"")</f>
        <v/>
      </c>
      <c r="K891" s="56"/>
      <c r="L891" s="56"/>
      <c r="M891" s="57" t="n">
        <f aca="false">G891</f>
        <v>0</v>
      </c>
      <c r="N891" s="54" t="n">
        <f aca="false">G891-M891</f>
        <v>0</v>
      </c>
      <c r="O891" s="55" t="str">
        <f aca="false">IFERROR(VLOOKUP($A891,RA_result!$B$3:$N$62,7,0),"")</f>
        <v/>
      </c>
      <c r="P891" s="52" t="str">
        <f aca="false">IFERROR(VLOOKUP($A891,RA_result!$B$3:$N$62,9,0),"")</f>
        <v/>
      </c>
      <c r="Q891" s="52" t="str">
        <f aca="false">IFERROR(VLOOKUP($A891,RA_result!$B$3:$N$62,10,0),"")</f>
        <v/>
      </c>
      <c r="R891" s="58" t="s">
        <v>55</v>
      </c>
      <c r="S891" s="59" t="str">
        <f aca="false">IFERROR(VLOOKUP($A891,RA_result!$B$3:$N$62,4,0),"")</f>
        <v/>
      </c>
      <c r="T891" s="60" t="s">
        <v>56</v>
      </c>
      <c r="U891" s="59" t="str">
        <f aca="false">IFERROR(IF(VLOOKUP($A891,RA_result!$B$3:$N$62,6,0)="",S891*T891,VLOOKUP($A891,RA_result!$B$3:$N$62,6,0)),"")</f>
        <v/>
      </c>
      <c r="V891" s="61" t="s">
        <v>56</v>
      </c>
      <c r="W891" s="62" t="n">
        <f aca="false">IFERROR((S891*30%)/V891,0)</f>
        <v>0</v>
      </c>
      <c r="X891" s="63" t="n">
        <f aca="false">IFERROR(N891/W891,0)</f>
        <v>0</v>
      </c>
      <c r="Y891" s="68"/>
      <c r="Z891" s="57"/>
      <c r="AA891" s="69" t="str">
        <f aca="false">IF(OR(U891="",Y891="",Z891=""),"",IF(AND(U891&gt;Y891,-U891&lt;Z891),"Ok","Not Ok"))</f>
        <v/>
      </c>
      <c r="AB891" s="70"/>
    </row>
    <row r="892" customFormat="false" ht="12.8" hidden="false" customHeight="false" outlineLevel="0" collapsed="false">
      <c r="A892" s="48" t="n">
        <f aca="false">TB_audited!A875</f>
        <v>0</v>
      </c>
      <c r="B892" s="49"/>
      <c r="C892" s="50"/>
      <c r="D892" s="51" t="n">
        <f aca="false">TB_audited!B875</f>
        <v>0</v>
      </c>
      <c r="E892" s="52" t="n">
        <f aca="false">TB_audited!C875</f>
        <v>0</v>
      </c>
      <c r="F892" s="53" t="n">
        <f aca="false">TB_audited!D875</f>
        <v>0</v>
      </c>
      <c r="G892" s="54" t="n">
        <f aca="false">IF($D$8="Interim",TB_audited!G875,TB_audited!E875)</f>
        <v>0</v>
      </c>
      <c r="H892" s="55" t="str">
        <f aca="false">IFERROR(VLOOKUP($A892,RA_result!$B$3:$N$62,11,0),"")</f>
        <v/>
      </c>
      <c r="I892" s="55" t="str">
        <f aca="false">IFERROR(VLOOKUP($A892,RA_result!$B$3:$N$62,12,0),"")</f>
        <v/>
      </c>
      <c r="J892" s="55" t="str">
        <f aca="false">IFERROR(VLOOKUP($A892,RA_result!$B$3:$N$62,13,0),"")</f>
        <v/>
      </c>
      <c r="K892" s="56"/>
      <c r="L892" s="56"/>
      <c r="M892" s="57" t="n">
        <f aca="false">G892</f>
        <v>0</v>
      </c>
      <c r="N892" s="54" t="n">
        <f aca="false">G892-M892</f>
        <v>0</v>
      </c>
      <c r="O892" s="55" t="str">
        <f aca="false">IFERROR(VLOOKUP($A892,RA_result!$B$3:$N$62,7,0),"")</f>
        <v/>
      </c>
      <c r="P892" s="52" t="str">
        <f aca="false">IFERROR(VLOOKUP($A892,RA_result!$B$3:$N$62,9,0),"")</f>
        <v/>
      </c>
      <c r="Q892" s="52" t="str">
        <f aca="false">IFERROR(VLOOKUP($A892,RA_result!$B$3:$N$62,10,0),"")</f>
        <v/>
      </c>
      <c r="R892" s="58" t="s">
        <v>55</v>
      </c>
      <c r="S892" s="59" t="str">
        <f aca="false">IFERROR(VLOOKUP($A892,RA_result!$B$3:$N$62,4,0),"")</f>
        <v/>
      </c>
      <c r="T892" s="60" t="s">
        <v>56</v>
      </c>
      <c r="U892" s="59" t="str">
        <f aca="false">IFERROR(IF(VLOOKUP($A892,RA_result!$B$3:$N$62,6,0)="",S892*T892,VLOOKUP($A892,RA_result!$B$3:$N$62,6,0)),"")</f>
        <v/>
      </c>
      <c r="V892" s="61" t="s">
        <v>56</v>
      </c>
      <c r="W892" s="62" t="n">
        <f aca="false">IFERROR((S892*30%)/V892,0)</f>
        <v>0</v>
      </c>
      <c r="X892" s="63" t="n">
        <f aca="false">IFERROR(N892/W892,0)</f>
        <v>0</v>
      </c>
      <c r="Y892" s="68"/>
      <c r="Z892" s="57"/>
      <c r="AA892" s="69" t="str">
        <f aca="false">IF(OR(U892="",Y892="",Z892=""),"",IF(AND(U892&gt;Y892,-U892&lt;Z892),"Ok","Not Ok"))</f>
        <v/>
      </c>
      <c r="AB892" s="70"/>
    </row>
    <row r="893" customFormat="false" ht="12.8" hidden="false" customHeight="false" outlineLevel="0" collapsed="false">
      <c r="A893" s="48" t="n">
        <f aca="false">TB_audited!A876</f>
        <v>0</v>
      </c>
      <c r="B893" s="49"/>
      <c r="C893" s="50"/>
      <c r="D893" s="51" t="n">
        <f aca="false">TB_audited!B876</f>
        <v>0</v>
      </c>
      <c r="E893" s="52" t="n">
        <f aca="false">TB_audited!C876</f>
        <v>0</v>
      </c>
      <c r="F893" s="53" t="n">
        <f aca="false">TB_audited!D876</f>
        <v>0</v>
      </c>
      <c r="G893" s="54" t="n">
        <f aca="false">IF($D$8="Interim",TB_audited!G876,TB_audited!E876)</f>
        <v>0</v>
      </c>
      <c r="H893" s="55" t="str">
        <f aca="false">IFERROR(VLOOKUP($A893,RA_result!$B$3:$N$62,11,0),"")</f>
        <v/>
      </c>
      <c r="I893" s="55" t="str">
        <f aca="false">IFERROR(VLOOKUP($A893,RA_result!$B$3:$N$62,12,0),"")</f>
        <v/>
      </c>
      <c r="J893" s="55" t="str">
        <f aca="false">IFERROR(VLOOKUP($A893,RA_result!$B$3:$N$62,13,0),"")</f>
        <v/>
      </c>
      <c r="K893" s="56"/>
      <c r="L893" s="56"/>
      <c r="M893" s="57" t="n">
        <f aca="false">G893</f>
        <v>0</v>
      </c>
      <c r="N893" s="54" t="n">
        <f aca="false">G893-M893</f>
        <v>0</v>
      </c>
      <c r="O893" s="55" t="str">
        <f aca="false">IFERROR(VLOOKUP($A893,RA_result!$B$3:$N$62,7,0),"")</f>
        <v/>
      </c>
      <c r="P893" s="52" t="str">
        <f aca="false">IFERROR(VLOOKUP($A893,RA_result!$B$3:$N$62,9,0),"")</f>
        <v/>
      </c>
      <c r="Q893" s="52" t="str">
        <f aca="false">IFERROR(VLOOKUP($A893,RA_result!$B$3:$N$62,10,0),"")</f>
        <v/>
      </c>
      <c r="R893" s="58" t="s">
        <v>55</v>
      </c>
      <c r="S893" s="59" t="str">
        <f aca="false">IFERROR(VLOOKUP($A893,RA_result!$B$3:$N$62,4,0),"")</f>
        <v/>
      </c>
      <c r="T893" s="60" t="s">
        <v>56</v>
      </c>
      <c r="U893" s="59" t="str">
        <f aca="false">IFERROR(IF(VLOOKUP($A893,RA_result!$B$3:$N$62,6,0)="",S893*T893,VLOOKUP($A893,RA_result!$B$3:$N$62,6,0)),"")</f>
        <v/>
      </c>
      <c r="V893" s="61" t="s">
        <v>56</v>
      </c>
      <c r="W893" s="62" t="n">
        <f aca="false">IFERROR((S893*30%)/V893,0)</f>
        <v>0</v>
      </c>
      <c r="X893" s="63" t="n">
        <f aca="false">IFERROR(N893/W893,0)</f>
        <v>0</v>
      </c>
      <c r="Y893" s="68"/>
      <c r="Z893" s="57"/>
      <c r="AA893" s="69" t="str">
        <f aca="false">IF(OR(U893="",Y893="",Z893=""),"",IF(AND(U893&gt;Y893,-U893&lt;Z893),"Ok","Not Ok"))</f>
        <v/>
      </c>
      <c r="AB893" s="70"/>
    </row>
    <row r="894" customFormat="false" ht="12.8" hidden="false" customHeight="false" outlineLevel="0" collapsed="false">
      <c r="A894" s="48" t="n">
        <f aca="false">TB_audited!A877</f>
        <v>0</v>
      </c>
      <c r="B894" s="49"/>
      <c r="C894" s="50"/>
      <c r="D894" s="51" t="n">
        <f aca="false">TB_audited!B877</f>
        <v>0</v>
      </c>
      <c r="E894" s="52" t="n">
        <f aca="false">TB_audited!C877</f>
        <v>0</v>
      </c>
      <c r="F894" s="53" t="n">
        <f aca="false">TB_audited!D877</f>
        <v>0</v>
      </c>
      <c r="G894" s="54" t="n">
        <f aca="false">IF($D$8="Interim",TB_audited!G877,TB_audited!E877)</f>
        <v>0</v>
      </c>
      <c r="H894" s="55" t="str">
        <f aca="false">IFERROR(VLOOKUP($A894,RA_result!$B$3:$N$62,11,0),"")</f>
        <v/>
      </c>
      <c r="I894" s="55" t="str">
        <f aca="false">IFERROR(VLOOKUP($A894,RA_result!$B$3:$N$62,12,0),"")</f>
        <v/>
      </c>
      <c r="J894" s="55" t="str">
        <f aca="false">IFERROR(VLOOKUP($A894,RA_result!$B$3:$N$62,13,0),"")</f>
        <v/>
      </c>
      <c r="K894" s="56"/>
      <c r="L894" s="56"/>
      <c r="M894" s="57" t="n">
        <f aca="false">G894</f>
        <v>0</v>
      </c>
      <c r="N894" s="54" t="n">
        <f aca="false">G894-M894</f>
        <v>0</v>
      </c>
      <c r="O894" s="55" t="str">
        <f aca="false">IFERROR(VLOOKUP($A894,RA_result!$B$3:$N$62,7,0),"")</f>
        <v/>
      </c>
      <c r="P894" s="52" t="str">
        <f aca="false">IFERROR(VLOOKUP($A894,RA_result!$B$3:$N$62,9,0),"")</f>
        <v/>
      </c>
      <c r="Q894" s="52" t="str">
        <f aca="false">IFERROR(VLOOKUP($A894,RA_result!$B$3:$N$62,10,0),"")</f>
        <v/>
      </c>
      <c r="R894" s="58" t="s">
        <v>55</v>
      </c>
      <c r="S894" s="59" t="str">
        <f aca="false">IFERROR(VLOOKUP($A894,RA_result!$B$3:$N$62,4,0),"")</f>
        <v/>
      </c>
      <c r="T894" s="60" t="s">
        <v>56</v>
      </c>
      <c r="U894" s="59" t="str">
        <f aca="false">IFERROR(IF(VLOOKUP($A894,RA_result!$B$3:$N$62,6,0)="",S894*T894,VLOOKUP($A894,RA_result!$B$3:$N$62,6,0)),"")</f>
        <v/>
      </c>
      <c r="V894" s="61" t="s">
        <v>56</v>
      </c>
      <c r="W894" s="62" t="n">
        <f aca="false">IFERROR((S894*30%)/V894,0)</f>
        <v>0</v>
      </c>
      <c r="X894" s="63" t="n">
        <f aca="false">IFERROR(N894/W894,0)</f>
        <v>0</v>
      </c>
      <c r="Y894" s="68"/>
      <c r="Z894" s="57"/>
      <c r="AA894" s="69" t="str">
        <f aca="false">IF(OR(U894="",Y894="",Z894=""),"",IF(AND(U894&gt;Y894,-U894&lt;Z894),"Ok","Not Ok"))</f>
        <v/>
      </c>
      <c r="AB894" s="70"/>
    </row>
    <row r="895" customFormat="false" ht="12.8" hidden="false" customHeight="false" outlineLevel="0" collapsed="false">
      <c r="A895" s="48" t="n">
        <f aca="false">TB_audited!A878</f>
        <v>0</v>
      </c>
      <c r="B895" s="49"/>
      <c r="C895" s="50"/>
      <c r="D895" s="51" t="n">
        <f aca="false">TB_audited!B878</f>
        <v>0</v>
      </c>
      <c r="E895" s="52" t="n">
        <f aca="false">TB_audited!C878</f>
        <v>0</v>
      </c>
      <c r="F895" s="53" t="n">
        <f aca="false">TB_audited!D878</f>
        <v>0</v>
      </c>
      <c r="G895" s="54" t="n">
        <f aca="false">IF($D$8="Interim",TB_audited!G878,TB_audited!E878)</f>
        <v>0</v>
      </c>
      <c r="H895" s="55" t="str">
        <f aca="false">IFERROR(VLOOKUP($A895,RA_result!$B$3:$N$62,11,0),"")</f>
        <v/>
      </c>
      <c r="I895" s="55" t="str">
        <f aca="false">IFERROR(VLOOKUP($A895,RA_result!$B$3:$N$62,12,0),"")</f>
        <v/>
      </c>
      <c r="J895" s="55" t="str">
        <f aca="false">IFERROR(VLOOKUP($A895,RA_result!$B$3:$N$62,13,0),"")</f>
        <v/>
      </c>
      <c r="K895" s="56"/>
      <c r="L895" s="56"/>
      <c r="M895" s="57" t="n">
        <f aca="false">G895</f>
        <v>0</v>
      </c>
      <c r="N895" s="54" t="n">
        <f aca="false">G895-M895</f>
        <v>0</v>
      </c>
      <c r="O895" s="55" t="str">
        <f aca="false">IFERROR(VLOOKUP($A895,RA_result!$B$3:$N$62,7,0),"")</f>
        <v/>
      </c>
      <c r="P895" s="52" t="str">
        <f aca="false">IFERROR(VLOOKUP($A895,RA_result!$B$3:$N$62,9,0),"")</f>
        <v/>
      </c>
      <c r="Q895" s="52" t="str">
        <f aca="false">IFERROR(VLOOKUP($A895,RA_result!$B$3:$N$62,10,0),"")</f>
        <v/>
      </c>
      <c r="R895" s="58" t="s">
        <v>55</v>
      </c>
      <c r="S895" s="59" t="str">
        <f aca="false">IFERROR(VLOOKUP($A895,RA_result!$B$3:$N$62,4,0),"")</f>
        <v/>
      </c>
      <c r="T895" s="60" t="s">
        <v>56</v>
      </c>
      <c r="U895" s="59" t="str">
        <f aca="false">IFERROR(IF(VLOOKUP($A895,RA_result!$B$3:$N$62,6,0)="",S895*T895,VLOOKUP($A895,RA_result!$B$3:$N$62,6,0)),"")</f>
        <v/>
      </c>
      <c r="V895" s="61" t="s">
        <v>56</v>
      </c>
      <c r="W895" s="62" t="n">
        <f aca="false">IFERROR((S895*30%)/V895,0)</f>
        <v>0</v>
      </c>
      <c r="X895" s="63" t="n">
        <f aca="false">IFERROR(N895/W895,0)</f>
        <v>0</v>
      </c>
      <c r="Y895" s="68"/>
      <c r="Z895" s="57"/>
      <c r="AA895" s="69" t="str">
        <f aca="false">IF(OR(U895="",Y895="",Z895=""),"",IF(AND(U895&gt;Y895,-U895&lt;Z895),"Ok","Not Ok"))</f>
        <v/>
      </c>
      <c r="AB895" s="70"/>
    </row>
    <row r="896" customFormat="false" ht="12.8" hidden="false" customHeight="false" outlineLevel="0" collapsed="false">
      <c r="A896" s="48" t="n">
        <f aca="false">TB_audited!A879</f>
        <v>0</v>
      </c>
      <c r="B896" s="49"/>
      <c r="C896" s="50"/>
      <c r="D896" s="51" t="n">
        <f aca="false">TB_audited!B879</f>
        <v>0</v>
      </c>
      <c r="E896" s="52" t="n">
        <f aca="false">TB_audited!C879</f>
        <v>0</v>
      </c>
      <c r="F896" s="53" t="n">
        <f aca="false">TB_audited!D879</f>
        <v>0</v>
      </c>
      <c r="G896" s="54" t="n">
        <f aca="false">IF($D$8="Interim",TB_audited!G879,TB_audited!E879)</f>
        <v>0</v>
      </c>
      <c r="H896" s="55" t="str">
        <f aca="false">IFERROR(VLOOKUP($A896,RA_result!$B$3:$N$62,11,0),"")</f>
        <v/>
      </c>
      <c r="I896" s="55" t="str">
        <f aca="false">IFERROR(VLOOKUP($A896,RA_result!$B$3:$N$62,12,0),"")</f>
        <v/>
      </c>
      <c r="J896" s="55" t="str">
        <f aca="false">IFERROR(VLOOKUP($A896,RA_result!$B$3:$N$62,13,0),"")</f>
        <v/>
      </c>
      <c r="K896" s="56"/>
      <c r="L896" s="56"/>
      <c r="M896" s="57" t="n">
        <f aca="false">G896</f>
        <v>0</v>
      </c>
      <c r="N896" s="54" t="n">
        <f aca="false">G896-M896</f>
        <v>0</v>
      </c>
      <c r="O896" s="55" t="str">
        <f aca="false">IFERROR(VLOOKUP($A896,RA_result!$B$3:$N$62,7,0),"")</f>
        <v/>
      </c>
      <c r="P896" s="52" t="str">
        <f aca="false">IFERROR(VLOOKUP($A896,RA_result!$B$3:$N$62,9,0),"")</f>
        <v/>
      </c>
      <c r="Q896" s="52" t="str">
        <f aca="false">IFERROR(VLOOKUP($A896,RA_result!$B$3:$N$62,10,0),"")</f>
        <v/>
      </c>
      <c r="R896" s="58" t="s">
        <v>55</v>
      </c>
      <c r="S896" s="59" t="str">
        <f aca="false">IFERROR(VLOOKUP($A896,RA_result!$B$3:$N$62,4,0),"")</f>
        <v/>
      </c>
      <c r="T896" s="60" t="s">
        <v>56</v>
      </c>
      <c r="U896" s="59" t="str">
        <f aca="false">IFERROR(IF(VLOOKUP($A896,RA_result!$B$3:$N$62,6,0)="",S896*T896,VLOOKUP($A896,RA_result!$B$3:$N$62,6,0)),"")</f>
        <v/>
      </c>
      <c r="V896" s="61" t="s">
        <v>56</v>
      </c>
      <c r="W896" s="62" t="n">
        <f aca="false">IFERROR((S896*30%)/V896,0)</f>
        <v>0</v>
      </c>
      <c r="X896" s="63" t="n">
        <f aca="false">IFERROR(N896/W896,0)</f>
        <v>0</v>
      </c>
      <c r="Y896" s="68"/>
      <c r="Z896" s="57"/>
      <c r="AA896" s="69" t="str">
        <f aca="false">IF(OR(U896="",Y896="",Z896=""),"",IF(AND(U896&gt;Y896,-U896&lt;Z896),"Ok","Not Ok"))</f>
        <v/>
      </c>
      <c r="AB896" s="70"/>
    </row>
    <row r="897" customFormat="false" ht="12.8" hidden="false" customHeight="false" outlineLevel="0" collapsed="false">
      <c r="A897" s="48" t="n">
        <f aca="false">TB_audited!A880</f>
        <v>0</v>
      </c>
      <c r="B897" s="49"/>
      <c r="C897" s="50"/>
      <c r="D897" s="51" t="n">
        <f aca="false">TB_audited!B880</f>
        <v>0</v>
      </c>
      <c r="E897" s="52" t="n">
        <f aca="false">TB_audited!C880</f>
        <v>0</v>
      </c>
      <c r="F897" s="53" t="n">
        <f aca="false">TB_audited!D880</f>
        <v>0</v>
      </c>
      <c r="G897" s="54" t="n">
        <f aca="false">IF($D$8="Interim",TB_audited!G880,TB_audited!E880)</f>
        <v>0</v>
      </c>
      <c r="H897" s="55" t="str">
        <f aca="false">IFERROR(VLOOKUP($A897,RA_result!$B$3:$N$62,11,0),"")</f>
        <v/>
      </c>
      <c r="I897" s="55" t="str">
        <f aca="false">IFERROR(VLOOKUP($A897,RA_result!$B$3:$N$62,12,0),"")</f>
        <v/>
      </c>
      <c r="J897" s="55" t="str">
        <f aca="false">IFERROR(VLOOKUP($A897,RA_result!$B$3:$N$62,13,0),"")</f>
        <v/>
      </c>
      <c r="K897" s="56"/>
      <c r="L897" s="56"/>
      <c r="M897" s="57" t="n">
        <f aca="false">G897</f>
        <v>0</v>
      </c>
      <c r="N897" s="54" t="n">
        <f aca="false">G897-M897</f>
        <v>0</v>
      </c>
      <c r="O897" s="55" t="str">
        <f aca="false">IFERROR(VLOOKUP($A897,RA_result!$B$3:$N$62,7,0),"")</f>
        <v/>
      </c>
      <c r="P897" s="52" t="str">
        <f aca="false">IFERROR(VLOOKUP($A897,RA_result!$B$3:$N$62,9,0),"")</f>
        <v/>
      </c>
      <c r="Q897" s="52" t="str">
        <f aca="false">IFERROR(VLOOKUP($A897,RA_result!$B$3:$N$62,10,0),"")</f>
        <v/>
      </c>
      <c r="R897" s="58" t="s">
        <v>55</v>
      </c>
      <c r="S897" s="59" t="str">
        <f aca="false">IFERROR(VLOOKUP($A897,RA_result!$B$3:$N$62,4,0),"")</f>
        <v/>
      </c>
      <c r="T897" s="60" t="s">
        <v>56</v>
      </c>
      <c r="U897" s="59" t="str">
        <f aca="false">IFERROR(IF(VLOOKUP($A897,RA_result!$B$3:$N$62,6,0)="",S897*T897,VLOOKUP($A897,RA_result!$B$3:$N$62,6,0)),"")</f>
        <v/>
      </c>
      <c r="V897" s="61" t="s">
        <v>56</v>
      </c>
      <c r="W897" s="62" t="n">
        <f aca="false">IFERROR((S897*30%)/V897,0)</f>
        <v>0</v>
      </c>
      <c r="X897" s="63" t="n">
        <f aca="false">IFERROR(N897/W897,0)</f>
        <v>0</v>
      </c>
      <c r="Y897" s="68"/>
      <c r="Z897" s="57"/>
      <c r="AA897" s="69" t="str">
        <f aca="false">IF(OR(U897="",Y897="",Z897=""),"",IF(AND(U897&gt;Y897,-U897&lt;Z897),"Ok","Not Ok"))</f>
        <v/>
      </c>
      <c r="AB897" s="70"/>
    </row>
    <row r="898" customFormat="false" ht="12.8" hidden="false" customHeight="false" outlineLevel="0" collapsed="false">
      <c r="A898" s="48" t="n">
        <f aca="false">TB_audited!A881</f>
        <v>0</v>
      </c>
      <c r="B898" s="49"/>
      <c r="C898" s="50"/>
      <c r="D898" s="51" t="n">
        <f aca="false">TB_audited!B881</f>
        <v>0</v>
      </c>
      <c r="E898" s="52" t="n">
        <f aca="false">TB_audited!C881</f>
        <v>0</v>
      </c>
      <c r="F898" s="53" t="n">
        <f aca="false">TB_audited!D881</f>
        <v>0</v>
      </c>
      <c r="G898" s="54" t="n">
        <f aca="false">IF($D$8="Interim",TB_audited!G881,TB_audited!E881)</f>
        <v>0</v>
      </c>
      <c r="H898" s="55" t="str">
        <f aca="false">IFERROR(VLOOKUP($A898,RA_result!$B$3:$N$62,11,0),"")</f>
        <v/>
      </c>
      <c r="I898" s="55" t="str">
        <f aca="false">IFERROR(VLOOKUP($A898,RA_result!$B$3:$N$62,12,0),"")</f>
        <v/>
      </c>
      <c r="J898" s="55" t="str">
        <f aca="false">IFERROR(VLOOKUP($A898,RA_result!$B$3:$N$62,13,0),"")</f>
        <v/>
      </c>
      <c r="K898" s="56"/>
      <c r="L898" s="56"/>
      <c r="M898" s="57" t="n">
        <f aca="false">G898</f>
        <v>0</v>
      </c>
      <c r="N898" s="54" t="n">
        <f aca="false">G898-M898</f>
        <v>0</v>
      </c>
      <c r="O898" s="55" t="str">
        <f aca="false">IFERROR(VLOOKUP($A898,RA_result!$B$3:$N$62,7,0),"")</f>
        <v/>
      </c>
      <c r="P898" s="52" t="str">
        <f aca="false">IFERROR(VLOOKUP($A898,RA_result!$B$3:$N$62,9,0),"")</f>
        <v/>
      </c>
      <c r="Q898" s="52" t="str">
        <f aca="false">IFERROR(VLOOKUP($A898,RA_result!$B$3:$N$62,10,0),"")</f>
        <v/>
      </c>
      <c r="R898" s="58" t="s">
        <v>55</v>
      </c>
      <c r="S898" s="59" t="str">
        <f aca="false">IFERROR(VLOOKUP($A898,RA_result!$B$3:$N$62,4,0),"")</f>
        <v/>
      </c>
      <c r="T898" s="60" t="s">
        <v>56</v>
      </c>
      <c r="U898" s="59" t="str">
        <f aca="false">IFERROR(IF(VLOOKUP($A898,RA_result!$B$3:$N$62,6,0)="",S898*T898,VLOOKUP($A898,RA_result!$B$3:$N$62,6,0)),"")</f>
        <v/>
      </c>
      <c r="V898" s="61" t="s">
        <v>56</v>
      </c>
      <c r="W898" s="62" t="n">
        <f aca="false">IFERROR((S898*30%)/V898,0)</f>
        <v>0</v>
      </c>
      <c r="X898" s="63" t="n">
        <f aca="false">IFERROR(N898/W898,0)</f>
        <v>0</v>
      </c>
      <c r="Y898" s="68"/>
      <c r="Z898" s="57"/>
      <c r="AA898" s="69" t="str">
        <f aca="false">IF(OR(U898="",Y898="",Z898=""),"",IF(AND(U898&gt;Y898,-U898&lt;Z898),"Ok","Not Ok"))</f>
        <v/>
      </c>
      <c r="AB898" s="70"/>
    </row>
    <row r="899" customFormat="false" ht="12.8" hidden="false" customHeight="false" outlineLevel="0" collapsed="false">
      <c r="A899" s="48" t="n">
        <f aca="false">TB_audited!A882</f>
        <v>0</v>
      </c>
      <c r="B899" s="49"/>
      <c r="C899" s="50"/>
      <c r="D899" s="51" t="n">
        <f aca="false">TB_audited!B882</f>
        <v>0</v>
      </c>
      <c r="E899" s="52" t="n">
        <f aca="false">TB_audited!C882</f>
        <v>0</v>
      </c>
      <c r="F899" s="53" t="n">
        <f aca="false">TB_audited!D882</f>
        <v>0</v>
      </c>
      <c r="G899" s="54" t="n">
        <f aca="false">IF($D$8="Interim",TB_audited!G882,TB_audited!E882)</f>
        <v>0</v>
      </c>
      <c r="H899" s="55" t="str">
        <f aca="false">IFERROR(VLOOKUP($A899,RA_result!$B$3:$N$62,11,0),"")</f>
        <v/>
      </c>
      <c r="I899" s="55" t="str">
        <f aca="false">IFERROR(VLOOKUP($A899,RA_result!$B$3:$N$62,12,0),"")</f>
        <v/>
      </c>
      <c r="J899" s="55" t="str">
        <f aca="false">IFERROR(VLOOKUP($A899,RA_result!$B$3:$N$62,13,0),"")</f>
        <v/>
      </c>
      <c r="K899" s="56"/>
      <c r="L899" s="56"/>
      <c r="M899" s="57" t="n">
        <f aca="false">G899</f>
        <v>0</v>
      </c>
      <c r="N899" s="54" t="n">
        <f aca="false">G899-M899</f>
        <v>0</v>
      </c>
      <c r="O899" s="55" t="str">
        <f aca="false">IFERROR(VLOOKUP($A899,RA_result!$B$3:$N$62,7,0),"")</f>
        <v/>
      </c>
      <c r="P899" s="52" t="str">
        <f aca="false">IFERROR(VLOOKUP($A899,RA_result!$B$3:$N$62,9,0),"")</f>
        <v/>
      </c>
      <c r="Q899" s="52" t="str">
        <f aca="false">IFERROR(VLOOKUP($A899,RA_result!$B$3:$N$62,10,0),"")</f>
        <v/>
      </c>
      <c r="R899" s="58" t="s">
        <v>55</v>
      </c>
      <c r="S899" s="59" t="str">
        <f aca="false">IFERROR(VLOOKUP($A899,RA_result!$B$3:$N$62,4,0),"")</f>
        <v/>
      </c>
      <c r="T899" s="60" t="s">
        <v>56</v>
      </c>
      <c r="U899" s="59" t="str">
        <f aca="false">IFERROR(IF(VLOOKUP($A899,RA_result!$B$3:$N$62,6,0)="",S899*T899,VLOOKUP($A899,RA_result!$B$3:$N$62,6,0)),"")</f>
        <v/>
      </c>
      <c r="V899" s="61" t="s">
        <v>56</v>
      </c>
      <c r="W899" s="62" t="n">
        <f aca="false">IFERROR((S899*30%)/V899,0)</f>
        <v>0</v>
      </c>
      <c r="X899" s="63" t="n">
        <f aca="false">IFERROR(N899/W899,0)</f>
        <v>0</v>
      </c>
      <c r="Y899" s="68"/>
      <c r="Z899" s="57"/>
      <c r="AA899" s="69" t="str">
        <f aca="false">IF(OR(U899="",Y899="",Z899=""),"",IF(AND(U899&gt;Y899,-U899&lt;Z899),"Ok","Not Ok"))</f>
        <v/>
      </c>
      <c r="AB899" s="70"/>
    </row>
    <row r="900" customFormat="false" ht="12.8" hidden="false" customHeight="false" outlineLevel="0" collapsed="false">
      <c r="A900" s="48" t="n">
        <f aca="false">TB_audited!A883</f>
        <v>0</v>
      </c>
      <c r="B900" s="49"/>
      <c r="C900" s="50"/>
      <c r="D900" s="51" t="n">
        <f aca="false">TB_audited!B883</f>
        <v>0</v>
      </c>
      <c r="E900" s="52" t="n">
        <f aca="false">TB_audited!C883</f>
        <v>0</v>
      </c>
      <c r="F900" s="53" t="n">
        <f aca="false">TB_audited!D883</f>
        <v>0</v>
      </c>
      <c r="G900" s="54" t="n">
        <f aca="false">IF($D$8="Interim",TB_audited!G883,TB_audited!E883)</f>
        <v>0</v>
      </c>
      <c r="H900" s="55" t="str">
        <f aca="false">IFERROR(VLOOKUP($A900,RA_result!$B$3:$N$62,11,0),"")</f>
        <v/>
      </c>
      <c r="I900" s="55" t="str">
        <f aca="false">IFERROR(VLOOKUP($A900,RA_result!$B$3:$N$62,12,0),"")</f>
        <v/>
      </c>
      <c r="J900" s="55" t="str">
        <f aca="false">IFERROR(VLOOKUP($A900,RA_result!$B$3:$N$62,13,0),"")</f>
        <v/>
      </c>
      <c r="K900" s="56"/>
      <c r="L900" s="56"/>
      <c r="M900" s="57" t="n">
        <f aca="false">G900</f>
        <v>0</v>
      </c>
      <c r="N900" s="54" t="n">
        <f aca="false">G900-M900</f>
        <v>0</v>
      </c>
      <c r="O900" s="55" t="str">
        <f aca="false">IFERROR(VLOOKUP($A900,RA_result!$B$3:$N$62,7,0),"")</f>
        <v/>
      </c>
      <c r="P900" s="52" t="str">
        <f aca="false">IFERROR(VLOOKUP($A900,RA_result!$B$3:$N$62,9,0),"")</f>
        <v/>
      </c>
      <c r="Q900" s="52" t="str">
        <f aca="false">IFERROR(VLOOKUP($A900,RA_result!$B$3:$N$62,10,0),"")</f>
        <v/>
      </c>
      <c r="R900" s="58" t="s">
        <v>55</v>
      </c>
      <c r="S900" s="59" t="str">
        <f aca="false">IFERROR(VLOOKUP($A900,RA_result!$B$3:$N$62,4,0),"")</f>
        <v/>
      </c>
      <c r="T900" s="60" t="s">
        <v>56</v>
      </c>
      <c r="U900" s="59" t="str">
        <f aca="false">IFERROR(IF(VLOOKUP($A900,RA_result!$B$3:$N$62,6,0)="",S900*T900,VLOOKUP($A900,RA_result!$B$3:$N$62,6,0)),"")</f>
        <v/>
      </c>
      <c r="V900" s="61" t="s">
        <v>56</v>
      </c>
      <c r="W900" s="62" t="n">
        <f aca="false">IFERROR((S900*30%)/V900,0)</f>
        <v>0</v>
      </c>
      <c r="X900" s="63" t="n">
        <f aca="false">IFERROR(N900/W900,0)</f>
        <v>0</v>
      </c>
      <c r="Y900" s="68"/>
      <c r="Z900" s="57"/>
      <c r="AA900" s="69" t="str">
        <f aca="false">IF(OR(U900="",Y900="",Z900=""),"",IF(AND(U900&gt;Y900,-U900&lt;Z900),"Ok","Not Ok"))</f>
        <v/>
      </c>
      <c r="AB900" s="70"/>
    </row>
    <row r="901" customFormat="false" ht="12.8" hidden="false" customHeight="false" outlineLevel="0" collapsed="false">
      <c r="A901" s="48" t="n">
        <f aca="false">TB_audited!A884</f>
        <v>0</v>
      </c>
      <c r="B901" s="49"/>
      <c r="C901" s="50"/>
      <c r="D901" s="51" t="n">
        <f aca="false">TB_audited!B884</f>
        <v>0</v>
      </c>
      <c r="E901" s="52" t="n">
        <f aca="false">TB_audited!C884</f>
        <v>0</v>
      </c>
      <c r="F901" s="53" t="n">
        <f aca="false">TB_audited!D884</f>
        <v>0</v>
      </c>
      <c r="G901" s="54" t="n">
        <f aca="false">IF($D$8="Interim",TB_audited!G884,TB_audited!E884)</f>
        <v>0</v>
      </c>
      <c r="H901" s="55" t="str">
        <f aca="false">IFERROR(VLOOKUP($A901,RA_result!$B$3:$N$62,11,0),"")</f>
        <v/>
      </c>
      <c r="I901" s="55" t="str">
        <f aca="false">IFERROR(VLOOKUP($A901,RA_result!$B$3:$N$62,12,0),"")</f>
        <v/>
      </c>
      <c r="J901" s="55" t="str">
        <f aca="false">IFERROR(VLOOKUP($A901,RA_result!$B$3:$N$62,13,0),"")</f>
        <v/>
      </c>
      <c r="K901" s="56"/>
      <c r="L901" s="56"/>
      <c r="M901" s="57" t="n">
        <f aca="false">G901</f>
        <v>0</v>
      </c>
      <c r="N901" s="54" t="n">
        <f aca="false">G901-M901</f>
        <v>0</v>
      </c>
      <c r="O901" s="55" t="str">
        <f aca="false">IFERROR(VLOOKUP($A901,RA_result!$B$3:$N$62,7,0),"")</f>
        <v/>
      </c>
      <c r="P901" s="52" t="str">
        <f aca="false">IFERROR(VLOOKUP($A901,RA_result!$B$3:$N$62,9,0),"")</f>
        <v/>
      </c>
      <c r="Q901" s="52" t="str">
        <f aca="false">IFERROR(VLOOKUP($A901,RA_result!$B$3:$N$62,10,0),"")</f>
        <v/>
      </c>
      <c r="R901" s="58" t="s">
        <v>55</v>
      </c>
      <c r="S901" s="59" t="str">
        <f aca="false">IFERROR(VLOOKUP($A901,RA_result!$B$3:$N$62,4,0),"")</f>
        <v/>
      </c>
      <c r="T901" s="60" t="s">
        <v>56</v>
      </c>
      <c r="U901" s="59" t="str">
        <f aca="false">IFERROR(IF(VLOOKUP($A901,RA_result!$B$3:$N$62,6,0)="",S901*T901,VLOOKUP($A901,RA_result!$B$3:$N$62,6,0)),"")</f>
        <v/>
      </c>
      <c r="V901" s="61" t="s">
        <v>56</v>
      </c>
      <c r="W901" s="62" t="n">
        <f aca="false">IFERROR((S901*30%)/V901,0)</f>
        <v>0</v>
      </c>
      <c r="X901" s="63" t="n">
        <f aca="false">IFERROR(N901/W901,0)</f>
        <v>0</v>
      </c>
      <c r="Y901" s="68"/>
      <c r="Z901" s="57"/>
      <c r="AA901" s="69" t="str">
        <f aca="false">IF(OR(U901="",Y901="",Z901=""),"",IF(AND(U901&gt;Y901,-U901&lt;Z901),"Ok","Not Ok"))</f>
        <v/>
      </c>
      <c r="AB901" s="70"/>
    </row>
    <row r="902" customFormat="false" ht="12.8" hidden="false" customHeight="false" outlineLevel="0" collapsed="false">
      <c r="A902" s="48" t="n">
        <f aca="false">TB_audited!A885</f>
        <v>0</v>
      </c>
      <c r="B902" s="49"/>
      <c r="C902" s="50"/>
      <c r="D902" s="51" t="n">
        <f aca="false">TB_audited!B885</f>
        <v>0</v>
      </c>
      <c r="E902" s="52" t="n">
        <f aca="false">TB_audited!C885</f>
        <v>0</v>
      </c>
      <c r="F902" s="53" t="n">
        <f aca="false">TB_audited!D885</f>
        <v>0</v>
      </c>
      <c r="G902" s="54" t="n">
        <f aca="false">IF($D$8="Interim",TB_audited!G885,TB_audited!E885)</f>
        <v>0</v>
      </c>
      <c r="H902" s="55" t="str">
        <f aca="false">IFERROR(VLOOKUP($A902,RA_result!$B$3:$N$62,11,0),"")</f>
        <v/>
      </c>
      <c r="I902" s="55" t="str">
        <f aca="false">IFERROR(VLOOKUP($A902,RA_result!$B$3:$N$62,12,0),"")</f>
        <v/>
      </c>
      <c r="J902" s="55" t="str">
        <f aca="false">IFERROR(VLOOKUP($A902,RA_result!$B$3:$N$62,13,0),"")</f>
        <v/>
      </c>
      <c r="K902" s="56"/>
      <c r="L902" s="56"/>
      <c r="M902" s="57" t="n">
        <f aca="false">G902</f>
        <v>0</v>
      </c>
      <c r="N902" s="54" t="n">
        <f aca="false">G902-M902</f>
        <v>0</v>
      </c>
      <c r="O902" s="55" t="str">
        <f aca="false">IFERROR(VLOOKUP($A902,RA_result!$B$3:$N$62,7,0),"")</f>
        <v/>
      </c>
      <c r="P902" s="52" t="str">
        <f aca="false">IFERROR(VLOOKUP($A902,RA_result!$B$3:$N$62,9,0),"")</f>
        <v/>
      </c>
      <c r="Q902" s="52" t="str">
        <f aca="false">IFERROR(VLOOKUP($A902,RA_result!$B$3:$N$62,10,0),"")</f>
        <v/>
      </c>
      <c r="R902" s="58" t="s">
        <v>55</v>
      </c>
      <c r="S902" s="59" t="str">
        <f aca="false">IFERROR(VLOOKUP($A902,RA_result!$B$3:$N$62,4,0),"")</f>
        <v/>
      </c>
      <c r="T902" s="60" t="s">
        <v>56</v>
      </c>
      <c r="U902" s="59" t="str">
        <f aca="false">IFERROR(IF(VLOOKUP($A902,RA_result!$B$3:$N$62,6,0)="",S902*T902,VLOOKUP($A902,RA_result!$B$3:$N$62,6,0)),"")</f>
        <v/>
      </c>
      <c r="V902" s="61" t="s">
        <v>56</v>
      </c>
      <c r="W902" s="62" t="n">
        <f aca="false">IFERROR((S902*30%)/V902,0)</f>
        <v>0</v>
      </c>
      <c r="X902" s="63" t="n">
        <f aca="false">IFERROR(N902/W902,0)</f>
        <v>0</v>
      </c>
      <c r="Y902" s="68"/>
      <c r="Z902" s="57"/>
      <c r="AA902" s="69" t="str">
        <f aca="false">IF(OR(U902="",Y902="",Z902=""),"",IF(AND(U902&gt;Y902,-U902&lt;Z902),"Ok","Not Ok"))</f>
        <v/>
      </c>
      <c r="AB902" s="70"/>
    </row>
    <row r="903" customFormat="false" ht="12.8" hidden="false" customHeight="false" outlineLevel="0" collapsed="false">
      <c r="A903" s="48" t="n">
        <f aca="false">TB_audited!A886</f>
        <v>0</v>
      </c>
      <c r="B903" s="49"/>
      <c r="C903" s="50"/>
      <c r="D903" s="51" t="n">
        <f aca="false">TB_audited!B886</f>
        <v>0</v>
      </c>
      <c r="E903" s="52" t="n">
        <f aca="false">TB_audited!C886</f>
        <v>0</v>
      </c>
      <c r="F903" s="53" t="n">
        <f aca="false">TB_audited!D886</f>
        <v>0</v>
      </c>
      <c r="G903" s="54" t="n">
        <f aca="false">IF($D$8="Interim",TB_audited!G886,TB_audited!E886)</f>
        <v>0</v>
      </c>
      <c r="H903" s="55" t="str">
        <f aca="false">IFERROR(VLOOKUP($A903,RA_result!$B$3:$N$62,11,0),"")</f>
        <v/>
      </c>
      <c r="I903" s="55" t="str">
        <f aca="false">IFERROR(VLOOKUP($A903,RA_result!$B$3:$N$62,12,0),"")</f>
        <v/>
      </c>
      <c r="J903" s="55" t="str">
        <f aca="false">IFERROR(VLOOKUP($A903,RA_result!$B$3:$N$62,13,0),"")</f>
        <v/>
      </c>
      <c r="K903" s="56"/>
      <c r="L903" s="56"/>
      <c r="M903" s="57" t="n">
        <f aca="false">G903</f>
        <v>0</v>
      </c>
      <c r="N903" s="54" t="n">
        <f aca="false">G903-M903</f>
        <v>0</v>
      </c>
      <c r="O903" s="55" t="str">
        <f aca="false">IFERROR(VLOOKUP($A903,RA_result!$B$3:$N$62,7,0),"")</f>
        <v/>
      </c>
      <c r="P903" s="52" t="str">
        <f aca="false">IFERROR(VLOOKUP($A903,RA_result!$B$3:$N$62,9,0),"")</f>
        <v/>
      </c>
      <c r="Q903" s="52" t="str">
        <f aca="false">IFERROR(VLOOKUP($A903,RA_result!$B$3:$N$62,10,0),"")</f>
        <v/>
      </c>
      <c r="R903" s="58" t="s">
        <v>55</v>
      </c>
      <c r="S903" s="59" t="str">
        <f aca="false">IFERROR(VLOOKUP($A903,RA_result!$B$3:$N$62,4,0),"")</f>
        <v/>
      </c>
      <c r="T903" s="60" t="s">
        <v>56</v>
      </c>
      <c r="U903" s="59" t="str">
        <f aca="false">IFERROR(IF(VLOOKUP($A903,RA_result!$B$3:$N$62,6,0)="",S903*T903,VLOOKUP($A903,RA_result!$B$3:$N$62,6,0)),"")</f>
        <v/>
      </c>
      <c r="V903" s="61" t="s">
        <v>56</v>
      </c>
      <c r="W903" s="62" t="n">
        <f aca="false">IFERROR((S903*30%)/V903,0)</f>
        <v>0</v>
      </c>
      <c r="X903" s="63" t="n">
        <f aca="false">IFERROR(N903/W903,0)</f>
        <v>0</v>
      </c>
      <c r="Y903" s="68"/>
      <c r="Z903" s="57"/>
      <c r="AA903" s="69" t="str">
        <f aca="false">IF(OR(U903="",Y903="",Z903=""),"",IF(AND(U903&gt;Y903,-U903&lt;Z903),"Ok","Not Ok"))</f>
        <v/>
      </c>
      <c r="AB903" s="70"/>
    </row>
    <row r="904" customFormat="false" ht="12.8" hidden="false" customHeight="false" outlineLevel="0" collapsed="false">
      <c r="A904" s="48" t="n">
        <f aca="false">TB_audited!A887</f>
        <v>0</v>
      </c>
      <c r="B904" s="49"/>
      <c r="C904" s="50"/>
      <c r="D904" s="51" t="n">
        <f aca="false">TB_audited!B887</f>
        <v>0</v>
      </c>
      <c r="E904" s="52" t="n">
        <f aca="false">TB_audited!C887</f>
        <v>0</v>
      </c>
      <c r="F904" s="53" t="n">
        <f aca="false">TB_audited!D887</f>
        <v>0</v>
      </c>
      <c r="G904" s="54" t="n">
        <f aca="false">IF($D$8="Interim",TB_audited!G887,TB_audited!E887)</f>
        <v>0</v>
      </c>
      <c r="H904" s="55" t="str">
        <f aca="false">IFERROR(VLOOKUP($A904,RA_result!$B$3:$N$62,11,0),"")</f>
        <v/>
      </c>
      <c r="I904" s="55" t="str">
        <f aca="false">IFERROR(VLOOKUP($A904,RA_result!$B$3:$N$62,12,0),"")</f>
        <v/>
      </c>
      <c r="J904" s="55" t="str">
        <f aca="false">IFERROR(VLOOKUP($A904,RA_result!$B$3:$N$62,13,0),"")</f>
        <v/>
      </c>
      <c r="K904" s="56"/>
      <c r="L904" s="56"/>
      <c r="M904" s="57" t="n">
        <f aca="false">G904</f>
        <v>0</v>
      </c>
      <c r="N904" s="54" t="n">
        <f aca="false">G904-M904</f>
        <v>0</v>
      </c>
      <c r="O904" s="55" t="str">
        <f aca="false">IFERROR(VLOOKUP($A904,RA_result!$B$3:$N$62,7,0),"")</f>
        <v/>
      </c>
      <c r="P904" s="52" t="str">
        <f aca="false">IFERROR(VLOOKUP($A904,RA_result!$B$3:$N$62,9,0),"")</f>
        <v/>
      </c>
      <c r="Q904" s="52" t="str">
        <f aca="false">IFERROR(VLOOKUP($A904,RA_result!$B$3:$N$62,10,0),"")</f>
        <v/>
      </c>
      <c r="R904" s="58" t="s">
        <v>55</v>
      </c>
      <c r="S904" s="59" t="str">
        <f aca="false">IFERROR(VLOOKUP($A904,RA_result!$B$3:$N$62,4,0),"")</f>
        <v/>
      </c>
      <c r="T904" s="60" t="s">
        <v>56</v>
      </c>
      <c r="U904" s="59" t="str">
        <f aca="false">IFERROR(IF(VLOOKUP($A904,RA_result!$B$3:$N$62,6,0)="",S904*T904,VLOOKUP($A904,RA_result!$B$3:$N$62,6,0)),"")</f>
        <v/>
      </c>
      <c r="V904" s="61" t="s">
        <v>56</v>
      </c>
      <c r="W904" s="62" t="n">
        <f aca="false">IFERROR((S904*30%)/V904,0)</f>
        <v>0</v>
      </c>
      <c r="X904" s="63" t="n">
        <f aca="false">IFERROR(N904/W904,0)</f>
        <v>0</v>
      </c>
      <c r="Y904" s="68"/>
      <c r="Z904" s="57"/>
      <c r="AA904" s="69" t="str">
        <f aca="false">IF(OR(U904="",Y904="",Z904=""),"",IF(AND(U904&gt;Y904,-U904&lt;Z904),"Ok","Not Ok"))</f>
        <v/>
      </c>
      <c r="AB904" s="70"/>
    </row>
    <row r="905" customFormat="false" ht="12.8" hidden="false" customHeight="false" outlineLevel="0" collapsed="false">
      <c r="A905" s="48" t="n">
        <f aca="false">TB_audited!A888</f>
        <v>0</v>
      </c>
      <c r="B905" s="49"/>
      <c r="C905" s="50"/>
      <c r="D905" s="51" t="n">
        <f aca="false">TB_audited!B888</f>
        <v>0</v>
      </c>
      <c r="E905" s="52" t="n">
        <f aca="false">TB_audited!C888</f>
        <v>0</v>
      </c>
      <c r="F905" s="53" t="n">
        <f aca="false">TB_audited!D888</f>
        <v>0</v>
      </c>
      <c r="G905" s="54" t="n">
        <f aca="false">IF($D$8="Interim",TB_audited!G888,TB_audited!E888)</f>
        <v>0</v>
      </c>
      <c r="H905" s="55" t="str">
        <f aca="false">IFERROR(VLOOKUP($A905,RA_result!$B$3:$N$62,11,0),"")</f>
        <v/>
      </c>
      <c r="I905" s="55" t="str">
        <f aca="false">IFERROR(VLOOKUP($A905,RA_result!$B$3:$N$62,12,0),"")</f>
        <v/>
      </c>
      <c r="J905" s="55" t="str">
        <f aca="false">IFERROR(VLOOKUP($A905,RA_result!$B$3:$N$62,13,0),"")</f>
        <v/>
      </c>
      <c r="K905" s="56"/>
      <c r="L905" s="56"/>
      <c r="M905" s="57" t="n">
        <f aca="false">G905</f>
        <v>0</v>
      </c>
      <c r="N905" s="54" t="n">
        <f aca="false">G905-M905</f>
        <v>0</v>
      </c>
      <c r="O905" s="55" t="str">
        <f aca="false">IFERROR(VLOOKUP($A905,RA_result!$B$3:$N$62,7,0),"")</f>
        <v/>
      </c>
      <c r="P905" s="52" t="str">
        <f aca="false">IFERROR(VLOOKUP($A905,RA_result!$B$3:$N$62,9,0),"")</f>
        <v/>
      </c>
      <c r="Q905" s="52" t="str">
        <f aca="false">IFERROR(VLOOKUP($A905,RA_result!$B$3:$N$62,10,0),"")</f>
        <v/>
      </c>
      <c r="R905" s="58" t="s">
        <v>55</v>
      </c>
      <c r="S905" s="59" t="str">
        <f aca="false">IFERROR(VLOOKUP($A905,RA_result!$B$3:$N$62,4,0),"")</f>
        <v/>
      </c>
      <c r="T905" s="60" t="s">
        <v>56</v>
      </c>
      <c r="U905" s="59" t="str">
        <f aca="false">IFERROR(IF(VLOOKUP($A905,RA_result!$B$3:$N$62,6,0)="",S905*T905,VLOOKUP($A905,RA_result!$B$3:$N$62,6,0)),"")</f>
        <v/>
      </c>
      <c r="V905" s="61" t="s">
        <v>56</v>
      </c>
      <c r="W905" s="62" t="n">
        <f aca="false">IFERROR((S905*30%)/V905,0)</f>
        <v>0</v>
      </c>
      <c r="X905" s="63" t="n">
        <f aca="false">IFERROR(N905/W905,0)</f>
        <v>0</v>
      </c>
      <c r="Y905" s="68"/>
      <c r="Z905" s="57"/>
      <c r="AA905" s="69" t="str">
        <f aca="false">IF(OR(U905="",Y905="",Z905=""),"",IF(AND(U905&gt;Y905,-U905&lt;Z905),"Ok","Not Ok"))</f>
        <v/>
      </c>
      <c r="AB905" s="70"/>
    </row>
    <row r="906" customFormat="false" ht="12.8" hidden="false" customHeight="false" outlineLevel="0" collapsed="false">
      <c r="A906" s="48" t="n">
        <f aca="false">TB_audited!A889</f>
        <v>0</v>
      </c>
      <c r="B906" s="49"/>
      <c r="C906" s="50"/>
      <c r="D906" s="51" t="n">
        <f aca="false">TB_audited!B889</f>
        <v>0</v>
      </c>
      <c r="E906" s="52" t="n">
        <f aca="false">TB_audited!C889</f>
        <v>0</v>
      </c>
      <c r="F906" s="53" t="n">
        <f aca="false">TB_audited!D889</f>
        <v>0</v>
      </c>
      <c r="G906" s="54" t="n">
        <f aca="false">IF($D$8="Interim",TB_audited!G889,TB_audited!E889)</f>
        <v>0</v>
      </c>
      <c r="H906" s="55" t="str">
        <f aca="false">IFERROR(VLOOKUP($A906,RA_result!$B$3:$N$62,11,0),"")</f>
        <v/>
      </c>
      <c r="I906" s="55" t="str">
        <f aca="false">IFERROR(VLOOKUP($A906,RA_result!$B$3:$N$62,12,0),"")</f>
        <v/>
      </c>
      <c r="J906" s="55" t="str">
        <f aca="false">IFERROR(VLOOKUP($A906,RA_result!$B$3:$N$62,13,0),"")</f>
        <v/>
      </c>
      <c r="K906" s="56"/>
      <c r="L906" s="56"/>
      <c r="M906" s="57" t="n">
        <f aca="false">G906</f>
        <v>0</v>
      </c>
      <c r="N906" s="54" t="n">
        <f aca="false">G906-M906</f>
        <v>0</v>
      </c>
      <c r="O906" s="55" t="str">
        <f aca="false">IFERROR(VLOOKUP($A906,RA_result!$B$3:$N$62,7,0),"")</f>
        <v/>
      </c>
      <c r="P906" s="52" t="str">
        <f aca="false">IFERROR(VLOOKUP($A906,RA_result!$B$3:$N$62,9,0),"")</f>
        <v/>
      </c>
      <c r="Q906" s="52" t="str">
        <f aca="false">IFERROR(VLOOKUP($A906,RA_result!$B$3:$N$62,10,0),"")</f>
        <v/>
      </c>
      <c r="R906" s="58" t="s">
        <v>55</v>
      </c>
      <c r="S906" s="59" t="str">
        <f aca="false">IFERROR(VLOOKUP($A906,RA_result!$B$3:$N$62,4,0),"")</f>
        <v/>
      </c>
      <c r="T906" s="60" t="s">
        <v>56</v>
      </c>
      <c r="U906" s="59" t="str">
        <f aca="false">IFERROR(IF(VLOOKUP($A906,RA_result!$B$3:$N$62,6,0)="",S906*T906,VLOOKUP($A906,RA_result!$B$3:$N$62,6,0)),"")</f>
        <v/>
      </c>
      <c r="V906" s="61" t="s">
        <v>56</v>
      </c>
      <c r="W906" s="62" t="n">
        <f aca="false">IFERROR((S906*30%)/V906,0)</f>
        <v>0</v>
      </c>
      <c r="X906" s="63" t="n">
        <f aca="false">IFERROR(N906/W906,0)</f>
        <v>0</v>
      </c>
      <c r="Y906" s="68"/>
      <c r="Z906" s="57"/>
      <c r="AA906" s="69" t="str">
        <f aca="false">IF(OR(U906="",Y906="",Z906=""),"",IF(AND(U906&gt;Y906,-U906&lt;Z906),"Ok","Not Ok"))</f>
        <v/>
      </c>
      <c r="AB906" s="70"/>
    </row>
    <row r="907" customFormat="false" ht="12.8" hidden="false" customHeight="false" outlineLevel="0" collapsed="false">
      <c r="A907" s="48" t="n">
        <f aca="false">TB_audited!A890</f>
        <v>0</v>
      </c>
      <c r="B907" s="49"/>
      <c r="C907" s="50"/>
      <c r="D907" s="51" t="n">
        <f aca="false">TB_audited!B890</f>
        <v>0</v>
      </c>
      <c r="E907" s="52" t="n">
        <f aca="false">TB_audited!C890</f>
        <v>0</v>
      </c>
      <c r="F907" s="53" t="n">
        <f aca="false">TB_audited!D890</f>
        <v>0</v>
      </c>
      <c r="G907" s="54" t="n">
        <f aca="false">IF($D$8="Interim",TB_audited!G890,TB_audited!E890)</f>
        <v>0</v>
      </c>
      <c r="H907" s="55" t="str">
        <f aca="false">IFERROR(VLOOKUP($A907,RA_result!$B$3:$N$62,11,0),"")</f>
        <v/>
      </c>
      <c r="I907" s="55" t="str">
        <f aca="false">IFERROR(VLOOKUP($A907,RA_result!$B$3:$N$62,12,0),"")</f>
        <v/>
      </c>
      <c r="J907" s="55" t="str">
        <f aca="false">IFERROR(VLOOKUP($A907,RA_result!$B$3:$N$62,13,0),"")</f>
        <v/>
      </c>
      <c r="K907" s="56"/>
      <c r="L907" s="56"/>
      <c r="M907" s="57" t="n">
        <f aca="false">G907</f>
        <v>0</v>
      </c>
      <c r="N907" s="54" t="n">
        <f aca="false">G907-M907</f>
        <v>0</v>
      </c>
      <c r="O907" s="55" t="str">
        <f aca="false">IFERROR(VLOOKUP($A907,RA_result!$B$3:$N$62,7,0),"")</f>
        <v/>
      </c>
      <c r="P907" s="52" t="str">
        <f aca="false">IFERROR(VLOOKUP($A907,RA_result!$B$3:$N$62,9,0),"")</f>
        <v/>
      </c>
      <c r="Q907" s="52" t="str">
        <f aca="false">IFERROR(VLOOKUP($A907,RA_result!$B$3:$N$62,10,0),"")</f>
        <v/>
      </c>
      <c r="R907" s="58" t="s">
        <v>55</v>
      </c>
      <c r="S907" s="59" t="str">
        <f aca="false">IFERROR(VLOOKUP($A907,RA_result!$B$3:$N$62,4,0),"")</f>
        <v/>
      </c>
      <c r="T907" s="60" t="s">
        <v>56</v>
      </c>
      <c r="U907" s="59" t="str">
        <f aca="false">IFERROR(IF(VLOOKUP($A907,RA_result!$B$3:$N$62,6,0)="",S907*T907,VLOOKUP($A907,RA_result!$B$3:$N$62,6,0)),"")</f>
        <v/>
      </c>
      <c r="V907" s="61" t="s">
        <v>56</v>
      </c>
      <c r="W907" s="62" t="n">
        <f aca="false">IFERROR((S907*30%)/V907,0)</f>
        <v>0</v>
      </c>
      <c r="X907" s="63" t="n">
        <f aca="false">IFERROR(N907/W907,0)</f>
        <v>0</v>
      </c>
      <c r="Y907" s="68"/>
      <c r="Z907" s="57"/>
      <c r="AA907" s="69" t="str">
        <f aca="false">IF(OR(U907="",Y907="",Z907=""),"",IF(AND(U907&gt;Y907,-U907&lt;Z907),"Ok","Not Ok"))</f>
        <v/>
      </c>
      <c r="AB907" s="70"/>
    </row>
    <row r="908" customFormat="false" ht="12.8" hidden="false" customHeight="false" outlineLevel="0" collapsed="false">
      <c r="A908" s="48" t="n">
        <f aca="false">TB_audited!A891</f>
        <v>0</v>
      </c>
      <c r="B908" s="49"/>
      <c r="C908" s="50"/>
      <c r="D908" s="51" t="n">
        <f aca="false">TB_audited!B891</f>
        <v>0</v>
      </c>
      <c r="E908" s="52" t="n">
        <f aca="false">TB_audited!C891</f>
        <v>0</v>
      </c>
      <c r="F908" s="53" t="n">
        <f aca="false">TB_audited!D891</f>
        <v>0</v>
      </c>
      <c r="G908" s="54" t="n">
        <f aca="false">IF($D$8="Interim",TB_audited!G891,TB_audited!E891)</f>
        <v>0</v>
      </c>
      <c r="H908" s="55" t="str">
        <f aca="false">IFERROR(VLOOKUP($A908,RA_result!$B$3:$N$62,11,0),"")</f>
        <v/>
      </c>
      <c r="I908" s="55" t="str">
        <f aca="false">IFERROR(VLOOKUP($A908,RA_result!$B$3:$N$62,12,0),"")</f>
        <v/>
      </c>
      <c r="J908" s="55" t="str">
        <f aca="false">IFERROR(VLOOKUP($A908,RA_result!$B$3:$N$62,13,0),"")</f>
        <v/>
      </c>
      <c r="K908" s="56"/>
      <c r="L908" s="56"/>
      <c r="M908" s="57" t="n">
        <f aca="false">G908</f>
        <v>0</v>
      </c>
      <c r="N908" s="54" t="n">
        <f aca="false">G908-M908</f>
        <v>0</v>
      </c>
      <c r="O908" s="55" t="str">
        <f aca="false">IFERROR(VLOOKUP($A908,RA_result!$B$3:$N$62,7,0),"")</f>
        <v/>
      </c>
      <c r="P908" s="52" t="str">
        <f aca="false">IFERROR(VLOOKUP($A908,RA_result!$B$3:$N$62,9,0),"")</f>
        <v/>
      </c>
      <c r="Q908" s="52" t="str">
        <f aca="false">IFERROR(VLOOKUP($A908,RA_result!$B$3:$N$62,10,0),"")</f>
        <v/>
      </c>
      <c r="R908" s="58" t="s">
        <v>55</v>
      </c>
      <c r="S908" s="59" t="str">
        <f aca="false">IFERROR(VLOOKUP($A908,RA_result!$B$3:$N$62,4,0),"")</f>
        <v/>
      </c>
      <c r="T908" s="60" t="s">
        <v>56</v>
      </c>
      <c r="U908" s="59" t="str">
        <f aca="false">IFERROR(IF(VLOOKUP($A908,RA_result!$B$3:$N$62,6,0)="",S908*T908,VLOOKUP($A908,RA_result!$B$3:$N$62,6,0)),"")</f>
        <v/>
      </c>
      <c r="V908" s="61" t="s">
        <v>56</v>
      </c>
      <c r="W908" s="62" t="n">
        <f aca="false">IFERROR((S908*30%)/V908,0)</f>
        <v>0</v>
      </c>
      <c r="X908" s="63" t="n">
        <f aca="false">IFERROR(N908/W908,0)</f>
        <v>0</v>
      </c>
      <c r="Y908" s="68"/>
      <c r="Z908" s="57"/>
      <c r="AA908" s="69" t="str">
        <f aca="false">IF(OR(U908="",Y908="",Z908=""),"",IF(AND(U908&gt;Y908,-U908&lt;Z908),"Ok","Not Ok"))</f>
        <v/>
      </c>
      <c r="AB908" s="70"/>
    </row>
    <row r="909" customFormat="false" ht="12.8" hidden="false" customHeight="false" outlineLevel="0" collapsed="false">
      <c r="A909" s="48" t="n">
        <f aca="false">TB_audited!A892</f>
        <v>0</v>
      </c>
      <c r="B909" s="49"/>
      <c r="C909" s="50"/>
      <c r="D909" s="51" t="n">
        <f aca="false">TB_audited!B892</f>
        <v>0</v>
      </c>
      <c r="E909" s="52" t="n">
        <f aca="false">TB_audited!C892</f>
        <v>0</v>
      </c>
      <c r="F909" s="53" t="n">
        <f aca="false">TB_audited!D892</f>
        <v>0</v>
      </c>
      <c r="G909" s="54" t="n">
        <f aca="false">IF($D$8="Interim",TB_audited!G892,TB_audited!E892)</f>
        <v>0</v>
      </c>
      <c r="H909" s="55" t="str">
        <f aca="false">IFERROR(VLOOKUP($A909,RA_result!$B$3:$N$62,11,0),"")</f>
        <v/>
      </c>
      <c r="I909" s="55" t="str">
        <f aca="false">IFERROR(VLOOKUP($A909,RA_result!$B$3:$N$62,12,0),"")</f>
        <v/>
      </c>
      <c r="J909" s="55" t="str">
        <f aca="false">IFERROR(VLOOKUP($A909,RA_result!$B$3:$N$62,13,0),"")</f>
        <v/>
      </c>
      <c r="K909" s="56"/>
      <c r="L909" s="56"/>
      <c r="M909" s="57" t="n">
        <f aca="false">G909</f>
        <v>0</v>
      </c>
      <c r="N909" s="54" t="n">
        <f aca="false">G909-M909</f>
        <v>0</v>
      </c>
      <c r="O909" s="55" t="str">
        <f aca="false">IFERROR(VLOOKUP($A909,RA_result!$B$3:$N$62,7,0),"")</f>
        <v/>
      </c>
      <c r="P909" s="52" t="str">
        <f aca="false">IFERROR(VLOOKUP($A909,RA_result!$B$3:$N$62,9,0),"")</f>
        <v/>
      </c>
      <c r="Q909" s="52" t="str">
        <f aca="false">IFERROR(VLOOKUP($A909,RA_result!$B$3:$N$62,10,0),"")</f>
        <v/>
      </c>
      <c r="R909" s="58" t="s">
        <v>55</v>
      </c>
      <c r="S909" s="59" t="str">
        <f aca="false">IFERROR(VLOOKUP($A909,RA_result!$B$3:$N$62,4,0),"")</f>
        <v/>
      </c>
      <c r="T909" s="60" t="s">
        <v>56</v>
      </c>
      <c r="U909" s="59" t="str">
        <f aca="false">IFERROR(IF(VLOOKUP($A909,RA_result!$B$3:$N$62,6,0)="",S909*T909,VLOOKUP($A909,RA_result!$B$3:$N$62,6,0)),"")</f>
        <v/>
      </c>
      <c r="V909" s="61" t="s">
        <v>56</v>
      </c>
      <c r="W909" s="62" t="n">
        <f aca="false">IFERROR((S909*30%)/V909,0)</f>
        <v>0</v>
      </c>
      <c r="X909" s="63" t="n">
        <f aca="false">IFERROR(N909/W909,0)</f>
        <v>0</v>
      </c>
      <c r="Y909" s="68"/>
      <c r="Z909" s="57"/>
      <c r="AA909" s="69" t="str">
        <f aca="false">IF(OR(U909="",Y909="",Z909=""),"",IF(AND(U909&gt;Y909,-U909&lt;Z909),"Ok","Not Ok"))</f>
        <v/>
      </c>
      <c r="AB909" s="70"/>
    </row>
    <row r="910" customFormat="false" ht="12.8" hidden="false" customHeight="false" outlineLevel="0" collapsed="false">
      <c r="A910" s="48" t="n">
        <f aca="false">TB_audited!A893</f>
        <v>0</v>
      </c>
      <c r="B910" s="49"/>
      <c r="C910" s="50"/>
      <c r="D910" s="51" t="n">
        <f aca="false">TB_audited!B893</f>
        <v>0</v>
      </c>
      <c r="E910" s="52" t="n">
        <f aca="false">TB_audited!C893</f>
        <v>0</v>
      </c>
      <c r="F910" s="53" t="n">
        <f aca="false">TB_audited!D893</f>
        <v>0</v>
      </c>
      <c r="G910" s="54" t="n">
        <f aca="false">IF($D$8="Interim",TB_audited!G893,TB_audited!E893)</f>
        <v>0</v>
      </c>
      <c r="H910" s="55" t="str">
        <f aca="false">IFERROR(VLOOKUP($A910,RA_result!$B$3:$N$62,11,0),"")</f>
        <v/>
      </c>
      <c r="I910" s="55" t="str">
        <f aca="false">IFERROR(VLOOKUP($A910,RA_result!$B$3:$N$62,12,0),"")</f>
        <v/>
      </c>
      <c r="J910" s="55" t="str">
        <f aca="false">IFERROR(VLOOKUP($A910,RA_result!$B$3:$N$62,13,0),"")</f>
        <v/>
      </c>
      <c r="K910" s="56"/>
      <c r="L910" s="56"/>
      <c r="M910" s="57" t="n">
        <f aca="false">G910</f>
        <v>0</v>
      </c>
      <c r="N910" s="54" t="n">
        <f aca="false">G910-M910</f>
        <v>0</v>
      </c>
      <c r="O910" s="55" t="str">
        <f aca="false">IFERROR(VLOOKUP($A910,RA_result!$B$3:$N$62,7,0),"")</f>
        <v/>
      </c>
      <c r="P910" s="52" t="str">
        <f aca="false">IFERROR(VLOOKUP($A910,RA_result!$B$3:$N$62,9,0),"")</f>
        <v/>
      </c>
      <c r="Q910" s="52" t="str">
        <f aca="false">IFERROR(VLOOKUP($A910,RA_result!$B$3:$N$62,10,0),"")</f>
        <v/>
      </c>
      <c r="R910" s="58" t="s">
        <v>55</v>
      </c>
      <c r="S910" s="59" t="str">
        <f aca="false">IFERROR(VLOOKUP($A910,RA_result!$B$3:$N$62,4,0),"")</f>
        <v/>
      </c>
      <c r="T910" s="60" t="s">
        <v>56</v>
      </c>
      <c r="U910" s="59" t="str">
        <f aca="false">IFERROR(IF(VLOOKUP($A910,RA_result!$B$3:$N$62,6,0)="",S910*T910,VLOOKUP($A910,RA_result!$B$3:$N$62,6,0)),"")</f>
        <v/>
      </c>
      <c r="V910" s="61" t="s">
        <v>56</v>
      </c>
      <c r="W910" s="62" t="n">
        <f aca="false">IFERROR((S910*30%)/V910,0)</f>
        <v>0</v>
      </c>
      <c r="X910" s="63" t="n">
        <f aca="false">IFERROR(N910/W910,0)</f>
        <v>0</v>
      </c>
      <c r="Y910" s="68"/>
      <c r="Z910" s="57"/>
      <c r="AA910" s="69" t="str">
        <f aca="false">IF(OR(U910="",Y910="",Z910=""),"",IF(AND(U910&gt;Y910,-U910&lt;Z910),"Ok","Not Ok"))</f>
        <v/>
      </c>
      <c r="AB910" s="70"/>
    </row>
    <row r="911" customFormat="false" ht="12.8" hidden="false" customHeight="false" outlineLevel="0" collapsed="false">
      <c r="A911" s="48" t="n">
        <f aca="false">TB_audited!A894</f>
        <v>0</v>
      </c>
      <c r="B911" s="49"/>
      <c r="C911" s="50"/>
      <c r="D911" s="51" t="n">
        <f aca="false">TB_audited!B894</f>
        <v>0</v>
      </c>
      <c r="E911" s="52" t="n">
        <f aca="false">TB_audited!C894</f>
        <v>0</v>
      </c>
      <c r="F911" s="53" t="n">
        <f aca="false">TB_audited!D894</f>
        <v>0</v>
      </c>
      <c r="G911" s="54" t="n">
        <f aca="false">IF($D$8="Interim",TB_audited!G894,TB_audited!E894)</f>
        <v>0</v>
      </c>
      <c r="H911" s="55" t="str">
        <f aca="false">IFERROR(VLOOKUP($A911,RA_result!$B$3:$N$62,11,0),"")</f>
        <v/>
      </c>
      <c r="I911" s="55" t="str">
        <f aca="false">IFERROR(VLOOKUP($A911,RA_result!$B$3:$N$62,12,0),"")</f>
        <v/>
      </c>
      <c r="J911" s="55" t="str">
        <f aca="false">IFERROR(VLOOKUP($A911,RA_result!$B$3:$N$62,13,0),"")</f>
        <v/>
      </c>
      <c r="K911" s="56"/>
      <c r="L911" s="56"/>
      <c r="M911" s="57" t="n">
        <f aca="false">G911</f>
        <v>0</v>
      </c>
      <c r="N911" s="54" t="n">
        <f aca="false">G911-M911</f>
        <v>0</v>
      </c>
      <c r="O911" s="55" t="str">
        <f aca="false">IFERROR(VLOOKUP($A911,RA_result!$B$3:$N$62,7,0),"")</f>
        <v/>
      </c>
      <c r="P911" s="52" t="str">
        <f aca="false">IFERROR(VLOOKUP($A911,RA_result!$B$3:$N$62,9,0),"")</f>
        <v/>
      </c>
      <c r="Q911" s="52" t="str">
        <f aca="false">IFERROR(VLOOKUP($A911,RA_result!$B$3:$N$62,10,0),"")</f>
        <v/>
      </c>
      <c r="R911" s="58" t="s">
        <v>55</v>
      </c>
      <c r="S911" s="59" t="str">
        <f aca="false">IFERROR(VLOOKUP($A911,RA_result!$B$3:$N$62,4,0),"")</f>
        <v/>
      </c>
      <c r="T911" s="60" t="s">
        <v>56</v>
      </c>
      <c r="U911" s="59" t="str">
        <f aca="false">IFERROR(IF(VLOOKUP($A911,RA_result!$B$3:$N$62,6,0)="",S911*T911,VLOOKUP($A911,RA_result!$B$3:$N$62,6,0)),"")</f>
        <v/>
      </c>
      <c r="V911" s="61" t="s">
        <v>56</v>
      </c>
      <c r="W911" s="62" t="n">
        <f aca="false">IFERROR((S911*30%)/V911,0)</f>
        <v>0</v>
      </c>
      <c r="X911" s="63" t="n">
        <f aca="false">IFERROR(N911/W911,0)</f>
        <v>0</v>
      </c>
      <c r="Y911" s="68"/>
      <c r="Z911" s="57"/>
      <c r="AA911" s="69" t="str">
        <f aca="false">IF(OR(U911="",Y911="",Z911=""),"",IF(AND(U911&gt;Y911,-U911&lt;Z911),"Ok","Not Ok"))</f>
        <v/>
      </c>
      <c r="AB911" s="70"/>
    </row>
    <row r="912" customFormat="false" ht="12.8" hidden="false" customHeight="false" outlineLevel="0" collapsed="false">
      <c r="A912" s="48" t="n">
        <f aca="false">TB_audited!A895</f>
        <v>0</v>
      </c>
      <c r="B912" s="49"/>
      <c r="C912" s="50"/>
      <c r="D912" s="51" t="n">
        <f aca="false">TB_audited!B895</f>
        <v>0</v>
      </c>
      <c r="E912" s="52" t="n">
        <f aca="false">TB_audited!C895</f>
        <v>0</v>
      </c>
      <c r="F912" s="53" t="n">
        <f aca="false">TB_audited!D895</f>
        <v>0</v>
      </c>
      <c r="G912" s="54" t="n">
        <f aca="false">IF($D$8="Interim",TB_audited!G895,TB_audited!E895)</f>
        <v>0</v>
      </c>
      <c r="H912" s="55" t="str">
        <f aca="false">IFERROR(VLOOKUP($A912,RA_result!$B$3:$N$62,11,0),"")</f>
        <v/>
      </c>
      <c r="I912" s="55" t="str">
        <f aca="false">IFERROR(VLOOKUP($A912,RA_result!$B$3:$N$62,12,0),"")</f>
        <v/>
      </c>
      <c r="J912" s="55" t="str">
        <f aca="false">IFERROR(VLOOKUP($A912,RA_result!$B$3:$N$62,13,0),"")</f>
        <v/>
      </c>
      <c r="K912" s="56"/>
      <c r="L912" s="56"/>
      <c r="M912" s="57" t="n">
        <f aca="false">G912</f>
        <v>0</v>
      </c>
      <c r="N912" s="54" t="n">
        <f aca="false">G912-M912</f>
        <v>0</v>
      </c>
      <c r="O912" s="55" t="str">
        <f aca="false">IFERROR(VLOOKUP($A912,RA_result!$B$3:$N$62,7,0),"")</f>
        <v/>
      </c>
      <c r="P912" s="52" t="str">
        <f aca="false">IFERROR(VLOOKUP($A912,RA_result!$B$3:$N$62,9,0),"")</f>
        <v/>
      </c>
      <c r="Q912" s="52" t="str">
        <f aca="false">IFERROR(VLOOKUP($A912,RA_result!$B$3:$N$62,10,0),"")</f>
        <v/>
      </c>
      <c r="R912" s="58" t="s">
        <v>55</v>
      </c>
      <c r="S912" s="59" t="str">
        <f aca="false">IFERROR(VLOOKUP($A912,RA_result!$B$3:$N$62,4,0),"")</f>
        <v/>
      </c>
      <c r="T912" s="60" t="s">
        <v>56</v>
      </c>
      <c r="U912" s="59" t="str">
        <f aca="false">IFERROR(IF(VLOOKUP($A912,RA_result!$B$3:$N$62,6,0)="",S912*T912,VLOOKUP($A912,RA_result!$B$3:$N$62,6,0)),"")</f>
        <v/>
      </c>
      <c r="V912" s="61" t="s">
        <v>56</v>
      </c>
      <c r="W912" s="62" t="n">
        <f aca="false">IFERROR((S912*30%)/V912,0)</f>
        <v>0</v>
      </c>
      <c r="X912" s="63" t="n">
        <f aca="false">IFERROR(N912/W912,0)</f>
        <v>0</v>
      </c>
      <c r="Y912" s="68"/>
      <c r="Z912" s="57"/>
      <c r="AA912" s="69" t="str">
        <f aca="false">IF(OR(U912="",Y912="",Z912=""),"",IF(AND(U912&gt;Y912,-U912&lt;Z912),"Ok","Not Ok"))</f>
        <v/>
      </c>
      <c r="AB912" s="70"/>
    </row>
    <row r="913" customFormat="false" ht="12.8" hidden="false" customHeight="false" outlineLevel="0" collapsed="false">
      <c r="A913" s="48" t="n">
        <f aca="false">TB_audited!A896</f>
        <v>0</v>
      </c>
      <c r="B913" s="49"/>
      <c r="C913" s="50"/>
      <c r="D913" s="51" t="n">
        <f aca="false">TB_audited!B896</f>
        <v>0</v>
      </c>
      <c r="E913" s="52" t="n">
        <f aca="false">TB_audited!C896</f>
        <v>0</v>
      </c>
      <c r="F913" s="53" t="n">
        <f aca="false">TB_audited!D896</f>
        <v>0</v>
      </c>
      <c r="G913" s="54" t="n">
        <f aca="false">IF($D$8="Interim",TB_audited!G896,TB_audited!E896)</f>
        <v>0</v>
      </c>
      <c r="H913" s="55" t="str">
        <f aca="false">IFERROR(VLOOKUP($A913,RA_result!$B$3:$N$62,11,0),"")</f>
        <v/>
      </c>
      <c r="I913" s="55" t="str">
        <f aca="false">IFERROR(VLOOKUP($A913,RA_result!$B$3:$N$62,12,0),"")</f>
        <v/>
      </c>
      <c r="J913" s="55" t="str">
        <f aca="false">IFERROR(VLOOKUP($A913,RA_result!$B$3:$N$62,13,0),"")</f>
        <v/>
      </c>
      <c r="K913" s="56"/>
      <c r="L913" s="56"/>
      <c r="M913" s="57" t="n">
        <f aca="false">G913</f>
        <v>0</v>
      </c>
      <c r="N913" s="54" t="n">
        <f aca="false">G913-M913</f>
        <v>0</v>
      </c>
      <c r="O913" s="55" t="str">
        <f aca="false">IFERROR(VLOOKUP($A913,RA_result!$B$3:$N$62,7,0),"")</f>
        <v/>
      </c>
      <c r="P913" s="52" t="str">
        <f aca="false">IFERROR(VLOOKUP($A913,RA_result!$B$3:$N$62,9,0),"")</f>
        <v/>
      </c>
      <c r="Q913" s="52" t="str">
        <f aca="false">IFERROR(VLOOKUP($A913,RA_result!$B$3:$N$62,10,0),"")</f>
        <v/>
      </c>
      <c r="R913" s="58" t="s">
        <v>55</v>
      </c>
      <c r="S913" s="59" t="str">
        <f aca="false">IFERROR(VLOOKUP($A913,RA_result!$B$3:$N$62,4,0),"")</f>
        <v/>
      </c>
      <c r="T913" s="60" t="s">
        <v>56</v>
      </c>
      <c r="U913" s="59" t="str">
        <f aca="false">IFERROR(IF(VLOOKUP($A913,RA_result!$B$3:$N$62,6,0)="",S913*T913,VLOOKUP($A913,RA_result!$B$3:$N$62,6,0)),"")</f>
        <v/>
      </c>
      <c r="V913" s="61" t="s">
        <v>56</v>
      </c>
      <c r="W913" s="62" t="n">
        <f aca="false">IFERROR((S913*30%)/V913,0)</f>
        <v>0</v>
      </c>
      <c r="X913" s="63" t="n">
        <f aca="false">IFERROR(N913/W913,0)</f>
        <v>0</v>
      </c>
      <c r="Y913" s="68"/>
      <c r="Z913" s="57"/>
      <c r="AA913" s="69" t="str">
        <f aca="false">IF(OR(U913="",Y913="",Z913=""),"",IF(AND(U913&gt;Y913,-U913&lt;Z913),"Ok","Not Ok"))</f>
        <v/>
      </c>
      <c r="AB913" s="70"/>
    </row>
    <row r="914" customFormat="false" ht="12.8" hidden="false" customHeight="false" outlineLevel="0" collapsed="false">
      <c r="A914" s="48" t="n">
        <f aca="false">TB_audited!A897</f>
        <v>0</v>
      </c>
      <c r="B914" s="49"/>
      <c r="C914" s="50"/>
      <c r="D914" s="51" t="n">
        <f aca="false">TB_audited!B897</f>
        <v>0</v>
      </c>
      <c r="E914" s="52" t="n">
        <f aca="false">TB_audited!C897</f>
        <v>0</v>
      </c>
      <c r="F914" s="53" t="n">
        <f aca="false">TB_audited!D897</f>
        <v>0</v>
      </c>
      <c r="G914" s="54" t="n">
        <f aca="false">IF($D$8="Interim",TB_audited!G897,TB_audited!E897)</f>
        <v>0</v>
      </c>
      <c r="H914" s="55" t="str">
        <f aca="false">IFERROR(VLOOKUP($A914,RA_result!$B$3:$N$62,11,0),"")</f>
        <v/>
      </c>
      <c r="I914" s="55" t="str">
        <f aca="false">IFERROR(VLOOKUP($A914,RA_result!$B$3:$N$62,12,0),"")</f>
        <v/>
      </c>
      <c r="J914" s="55" t="str">
        <f aca="false">IFERROR(VLOOKUP($A914,RA_result!$B$3:$N$62,13,0),"")</f>
        <v/>
      </c>
      <c r="K914" s="56"/>
      <c r="L914" s="56"/>
      <c r="M914" s="57" t="n">
        <f aca="false">G914</f>
        <v>0</v>
      </c>
      <c r="N914" s="54" t="n">
        <f aca="false">G914-M914</f>
        <v>0</v>
      </c>
      <c r="O914" s="55" t="str">
        <f aca="false">IFERROR(VLOOKUP($A914,RA_result!$B$3:$N$62,7,0),"")</f>
        <v/>
      </c>
      <c r="P914" s="52" t="str">
        <f aca="false">IFERROR(VLOOKUP($A914,RA_result!$B$3:$N$62,9,0),"")</f>
        <v/>
      </c>
      <c r="Q914" s="52" t="str">
        <f aca="false">IFERROR(VLOOKUP($A914,RA_result!$B$3:$N$62,10,0),"")</f>
        <v/>
      </c>
      <c r="R914" s="58" t="s">
        <v>55</v>
      </c>
      <c r="S914" s="59" t="str">
        <f aca="false">IFERROR(VLOOKUP($A914,RA_result!$B$3:$N$62,4,0),"")</f>
        <v/>
      </c>
      <c r="T914" s="60" t="s">
        <v>56</v>
      </c>
      <c r="U914" s="59" t="str">
        <f aca="false">IFERROR(IF(VLOOKUP($A914,RA_result!$B$3:$N$62,6,0)="",S914*T914,VLOOKUP($A914,RA_result!$B$3:$N$62,6,0)),"")</f>
        <v/>
      </c>
      <c r="V914" s="61" t="s">
        <v>56</v>
      </c>
      <c r="W914" s="62" t="n">
        <f aca="false">IFERROR((S914*30%)/V914,0)</f>
        <v>0</v>
      </c>
      <c r="X914" s="63" t="n">
        <f aca="false">IFERROR(N914/W914,0)</f>
        <v>0</v>
      </c>
      <c r="Y914" s="68"/>
      <c r="Z914" s="57"/>
      <c r="AA914" s="69" t="str">
        <f aca="false">IF(OR(U914="",Y914="",Z914=""),"",IF(AND(U914&gt;Y914,-U914&lt;Z914),"Ok","Not Ok"))</f>
        <v/>
      </c>
      <c r="AB914" s="70"/>
    </row>
    <row r="915" customFormat="false" ht="12.8" hidden="false" customHeight="false" outlineLevel="0" collapsed="false">
      <c r="A915" s="48" t="n">
        <f aca="false">TB_audited!A898</f>
        <v>0</v>
      </c>
      <c r="B915" s="49"/>
      <c r="C915" s="50"/>
      <c r="D915" s="51" t="n">
        <f aca="false">TB_audited!B898</f>
        <v>0</v>
      </c>
      <c r="E915" s="52" t="n">
        <f aca="false">TB_audited!C898</f>
        <v>0</v>
      </c>
      <c r="F915" s="53" t="n">
        <f aca="false">TB_audited!D898</f>
        <v>0</v>
      </c>
      <c r="G915" s="54" t="n">
        <f aca="false">IF($D$8="Interim",TB_audited!G898,TB_audited!E898)</f>
        <v>0</v>
      </c>
      <c r="H915" s="55" t="str">
        <f aca="false">IFERROR(VLOOKUP($A915,RA_result!$B$3:$N$62,11,0),"")</f>
        <v/>
      </c>
      <c r="I915" s="55" t="str">
        <f aca="false">IFERROR(VLOOKUP($A915,RA_result!$B$3:$N$62,12,0),"")</f>
        <v/>
      </c>
      <c r="J915" s="55" t="str">
        <f aca="false">IFERROR(VLOOKUP($A915,RA_result!$B$3:$N$62,13,0),"")</f>
        <v/>
      </c>
      <c r="K915" s="56"/>
      <c r="L915" s="56"/>
      <c r="M915" s="57" t="n">
        <f aca="false">G915</f>
        <v>0</v>
      </c>
      <c r="N915" s="54" t="n">
        <f aca="false">G915-M915</f>
        <v>0</v>
      </c>
      <c r="O915" s="55" t="str">
        <f aca="false">IFERROR(VLOOKUP($A915,RA_result!$B$3:$N$62,7,0),"")</f>
        <v/>
      </c>
      <c r="P915" s="52" t="str">
        <f aca="false">IFERROR(VLOOKUP($A915,RA_result!$B$3:$N$62,9,0),"")</f>
        <v/>
      </c>
      <c r="Q915" s="52" t="str">
        <f aca="false">IFERROR(VLOOKUP($A915,RA_result!$B$3:$N$62,10,0),"")</f>
        <v/>
      </c>
      <c r="R915" s="58" t="s">
        <v>55</v>
      </c>
      <c r="S915" s="59" t="str">
        <f aca="false">IFERROR(VLOOKUP($A915,RA_result!$B$3:$N$62,4,0),"")</f>
        <v/>
      </c>
      <c r="T915" s="60" t="s">
        <v>56</v>
      </c>
      <c r="U915" s="59" t="str">
        <f aca="false">IFERROR(IF(VLOOKUP($A915,RA_result!$B$3:$N$62,6,0)="",S915*T915,VLOOKUP($A915,RA_result!$B$3:$N$62,6,0)),"")</f>
        <v/>
      </c>
      <c r="V915" s="61" t="s">
        <v>56</v>
      </c>
      <c r="W915" s="62" t="n">
        <f aca="false">IFERROR((S915*30%)/V915,0)</f>
        <v>0</v>
      </c>
      <c r="X915" s="63" t="n">
        <f aca="false">IFERROR(N915/W915,0)</f>
        <v>0</v>
      </c>
      <c r="Y915" s="68"/>
      <c r="Z915" s="57"/>
      <c r="AA915" s="69" t="str">
        <f aca="false">IF(OR(U915="",Y915="",Z915=""),"",IF(AND(U915&gt;Y915,-U915&lt;Z915),"Ok","Not Ok"))</f>
        <v/>
      </c>
      <c r="AB915" s="70"/>
    </row>
    <row r="916" customFormat="false" ht="12.8" hidden="false" customHeight="false" outlineLevel="0" collapsed="false">
      <c r="A916" s="48" t="n">
        <f aca="false">TB_audited!A899</f>
        <v>0</v>
      </c>
      <c r="B916" s="49"/>
      <c r="C916" s="50"/>
      <c r="D916" s="51" t="n">
        <f aca="false">TB_audited!B899</f>
        <v>0</v>
      </c>
      <c r="E916" s="52" t="n">
        <f aca="false">TB_audited!C899</f>
        <v>0</v>
      </c>
      <c r="F916" s="53" t="n">
        <f aca="false">TB_audited!D899</f>
        <v>0</v>
      </c>
      <c r="G916" s="54" t="n">
        <f aca="false">IF($D$8="Interim",TB_audited!G899,TB_audited!E899)</f>
        <v>0</v>
      </c>
      <c r="H916" s="55" t="str">
        <f aca="false">IFERROR(VLOOKUP($A916,RA_result!$B$3:$N$62,11,0),"")</f>
        <v/>
      </c>
      <c r="I916" s="55" t="str">
        <f aca="false">IFERROR(VLOOKUP($A916,RA_result!$B$3:$N$62,12,0),"")</f>
        <v/>
      </c>
      <c r="J916" s="55" t="str">
        <f aca="false">IFERROR(VLOOKUP($A916,RA_result!$B$3:$N$62,13,0),"")</f>
        <v/>
      </c>
      <c r="K916" s="56"/>
      <c r="L916" s="56"/>
      <c r="M916" s="57" t="n">
        <f aca="false">G916</f>
        <v>0</v>
      </c>
      <c r="N916" s="54" t="n">
        <f aca="false">G916-M916</f>
        <v>0</v>
      </c>
      <c r="O916" s="55" t="str">
        <f aca="false">IFERROR(VLOOKUP($A916,RA_result!$B$3:$N$62,7,0),"")</f>
        <v/>
      </c>
      <c r="P916" s="52" t="str">
        <f aca="false">IFERROR(VLOOKUP($A916,RA_result!$B$3:$N$62,9,0),"")</f>
        <v/>
      </c>
      <c r="Q916" s="52" t="str">
        <f aca="false">IFERROR(VLOOKUP($A916,RA_result!$B$3:$N$62,10,0),"")</f>
        <v/>
      </c>
      <c r="R916" s="58" t="s">
        <v>55</v>
      </c>
      <c r="S916" s="59" t="str">
        <f aca="false">IFERROR(VLOOKUP($A916,RA_result!$B$3:$N$62,4,0),"")</f>
        <v/>
      </c>
      <c r="T916" s="60" t="s">
        <v>56</v>
      </c>
      <c r="U916" s="59" t="str">
        <f aca="false">IFERROR(IF(VLOOKUP($A916,RA_result!$B$3:$N$62,6,0)="",S916*T916,VLOOKUP($A916,RA_result!$B$3:$N$62,6,0)),"")</f>
        <v/>
      </c>
      <c r="V916" s="61" t="s">
        <v>56</v>
      </c>
      <c r="W916" s="62" t="n">
        <f aca="false">IFERROR((S916*30%)/V916,0)</f>
        <v>0</v>
      </c>
      <c r="X916" s="63" t="n">
        <f aca="false">IFERROR(N916/W916,0)</f>
        <v>0</v>
      </c>
      <c r="Y916" s="68"/>
      <c r="Z916" s="57"/>
      <c r="AA916" s="69" t="str">
        <f aca="false">IF(OR(U916="",Y916="",Z916=""),"",IF(AND(U916&gt;Y916,-U916&lt;Z916),"Ok","Not Ok"))</f>
        <v/>
      </c>
      <c r="AB916" s="70"/>
    </row>
    <row r="917" customFormat="false" ht="12.8" hidden="false" customHeight="false" outlineLevel="0" collapsed="false">
      <c r="A917" s="48" t="n">
        <f aca="false">TB_audited!A900</f>
        <v>0</v>
      </c>
      <c r="B917" s="49"/>
      <c r="C917" s="50"/>
      <c r="D917" s="51" t="n">
        <f aca="false">TB_audited!B900</f>
        <v>0</v>
      </c>
      <c r="E917" s="52" t="n">
        <f aca="false">TB_audited!C900</f>
        <v>0</v>
      </c>
      <c r="F917" s="53" t="n">
        <f aca="false">TB_audited!D900</f>
        <v>0</v>
      </c>
      <c r="G917" s="54" t="n">
        <f aca="false">IF($D$8="Interim",TB_audited!G900,TB_audited!E900)</f>
        <v>0</v>
      </c>
      <c r="H917" s="55" t="str">
        <f aca="false">IFERROR(VLOOKUP($A917,RA_result!$B$3:$N$62,11,0),"")</f>
        <v/>
      </c>
      <c r="I917" s="55" t="str">
        <f aca="false">IFERROR(VLOOKUP($A917,RA_result!$B$3:$N$62,12,0),"")</f>
        <v/>
      </c>
      <c r="J917" s="55" t="str">
        <f aca="false">IFERROR(VLOOKUP($A917,RA_result!$B$3:$N$62,13,0),"")</f>
        <v/>
      </c>
      <c r="K917" s="56"/>
      <c r="L917" s="56"/>
      <c r="M917" s="57" t="n">
        <f aca="false">G917</f>
        <v>0</v>
      </c>
      <c r="N917" s="54" t="n">
        <f aca="false">G917-M917</f>
        <v>0</v>
      </c>
      <c r="O917" s="55" t="str">
        <f aca="false">IFERROR(VLOOKUP($A917,RA_result!$B$3:$N$62,7,0),"")</f>
        <v/>
      </c>
      <c r="P917" s="52" t="str">
        <f aca="false">IFERROR(VLOOKUP($A917,RA_result!$B$3:$N$62,9,0),"")</f>
        <v/>
      </c>
      <c r="Q917" s="52" t="str">
        <f aca="false">IFERROR(VLOOKUP($A917,RA_result!$B$3:$N$62,10,0),"")</f>
        <v/>
      </c>
      <c r="R917" s="58" t="s">
        <v>55</v>
      </c>
      <c r="S917" s="59" t="str">
        <f aca="false">IFERROR(VLOOKUP($A917,RA_result!$B$3:$N$62,4,0),"")</f>
        <v/>
      </c>
      <c r="T917" s="60" t="s">
        <v>56</v>
      </c>
      <c r="U917" s="59" t="str">
        <f aca="false">IFERROR(IF(VLOOKUP($A917,RA_result!$B$3:$N$62,6,0)="",S917*T917,VLOOKUP($A917,RA_result!$B$3:$N$62,6,0)),"")</f>
        <v/>
      </c>
      <c r="V917" s="61" t="s">
        <v>56</v>
      </c>
      <c r="W917" s="62" t="n">
        <f aca="false">IFERROR((S917*30%)/V917,0)</f>
        <v>0</v>
      </c>
      <c r="X917" s="63" t="n">
        <f aca="false">IFERROR(N917/W917,0)</f>
        <v>0</v>
      </c>
      <c r="Y917" s="68"/>
      <c r="Z917" s="57"/>
      <c r="AA917" s="69" t="str">
        <f aca="false">IF(OR(U917="",Y917="",Z917=""),"",IF(AND(U917&gt;Y917,-U917&lt;Z917),"Ok","Not Ok"))</f>
        <v/>
      </c>
      <c r="AB917" s="70"/>
    </row>
    <row r="918" customFormat="false" ht="12.8" hidden="false" customHeight="false" outlineLevel="0" collapsed="false">
      <c r="A918" s="48" t="n">
        <f aca="false">TB_audited!A901</f>
        <v>0</v>
      </c>
      <c r="B918" s="49"/>
      <c r="C918" s="50"/>
      <c r="D918" s="51" t="n">
        <f aca="false">TB_audited!B901</f>
        <v>0</v>
      </c>
      <c r="E918" s="52" t="n">
        <f aca="false">TB_audited!C901</f>
        <v>0</v>
      </c>
      <c r="F918" s="53" t="n">
        <f aca="false">TB_audited!D901</f>
        <v>0</v>
      </c>
      <c r="G918" s="54" t="n">
        <f aca="false">IF($D$8="Interim",TB_audited!G901,TB_audited!E901)</f>
        <v>0</v>
      </c>
      <c r="H918" s="55" t="str">
        <f aca="false">IFERROR(VLOOKUP($A918,RA_result!$B$3:$N$62,11,0),"")</f>
        <v/>
      </c>
      <c r="I918" s="55" t="str">
        <f aca="false">IFERROR(VLOOKUP($A918,RA_result!$B$3:$N$62,12,0),"")</f>
        <v/>
      </c>
      <c r="J918" s="55" t="str">
        <f aca="false">IFERROR(VLOOKUP($A918,RA_result!$B$3:$N$62,13,0),"")</f>
        <v/>
      </c>
      <c r="K918" s="56"/>
      <c r="L918" s="56"/>
      <c r="M918" s="57" t="n">
        <f aca="false">G918</f>
        <v>0</v>
      </c>
      <c r="N918" s="54" t="n">
        <f aca="false">G918-M918</f>
        <v>0</v>
      </c>
      <c r="O918" s="55" t="str">
        <f aca="false">IFERROR(VLOOKUP($A918,RA_result!$B$3:$N$62,7,0),"")</f>
        <v/>
      </c>
      <c r="P918" s="52" t="str">
        <f aca="false">IFERROR(VLOOKUP($A918,RA_result!$B$3:$N$62,9,0),"")</f>
        <v/>
      </c>
      <c r="Q918" s="52" t="str">
        <f aca="false">IFERROR(VLOOKUP($A918,RA_result!$B$3:$N$62,10,0),"")</f>
        <v/>
      </c>
      <c r="R918" s="58" t="s">
        <v>55</v>
      </c>
      <c r="S918" s="59" t="str">
        <f aca="false">IFERROR(VLOOKUP($A918,RA_result!$B$3:$N$62,4,0),"")</f>
        <v/>
      </c>
      <c r="T918" s="60" t="s">
        <v>56</v>
      </c>
      <c r="U918" s="59" t="str">
        <f aca="false">IFERROR(IF(VLOOKUP($A918,RA_result!$B$3:$N$62,6,0)="",S918*T918,VLOOKUP($A918,RA_result!$B$3:$N$62,6,0)),"")</f>
        <v/>
      </c>
      <c r="V918" s="61" t="s">
        <v>56</v>
      </c>
      <c r="W918" s="62" t="n">
        <f aca="false">IFERROR((S918*30%)/V918,0)</f>
        <v>0</v>
      </c>
      <c r="X918" s="63" t="n">
        <f aca="false">IFERROR(N918/W918,0)</f>
        <v>0</v>
      </c>
      <c r="Y918" s="68"/>
      <c r="Z918" s="57"/>
      <c r="AA918" s="69" t="str">
        <f aca="false">IF(OR(U918="",Y918="",Z918=""),"",IF(AND(U918&gt;Y918,-U918&lt;Z918),"Ok","Not Ok"))</f>
        <v/>
      </c>
      <c r="AB918" s="70"/>
    </row>
    <row r="919" customFormat="false" ht="12.8" hidden="false" customHeight="false" outlineLevel="0" collapsed="false">
      <c r="A919" s="48" t="n">
        <f aca="false">TB_audited!A902</f>
        <v>0</v>
      </c>
      <c r="B919" s="49"/>
      <c r="C919" s="50"/>
      <c r="D919" s="51" t="n">
        <f aca="false">TB_audited!B902</f>
        <v>0</v>
      </c>
      <c r="E919" s="52" t="n">
        <f aca="false">TB_audited!C902</f>
        <v>0</v>
      </c>
      <c r="F919" s="53" t="n">
        <f aca="false">TB_audited!D902</f>
        <v>0</v>
      </c>
      <c r="G919" s="54" t="n">
        <f aca="false">IF($D$8="Interim",TB_audited!G902,TB_audited!E902)</f>
        <v>0</v>
      </c>
      <c r="H919" s="55" t="str">
        <f aca="false">IFERROR(VLOOKUP($A919,RA_result!$B$3:$N$62,11,0),"")</f>
        <v/>
      </c>
      <c r="I919" s="55" t="str">
        <f aca="false">IFERROR(VLOOKUP($A919,RA_result!$B$3:$N$62,12,0),"")</f>
        <v/>
      </c>
      <c r="J919" s="55" t="str">
        <f aca="false">IFERROR(VLOOKUP($A919,RA_result!$B$3:$N$62,13,0),"")</f>
        <v/>
      </c>
      <c r="K919" s="56"/>
      <c r="L919" s="56"/>
      <c r="M919" s="57" t="n">
        <f aca="false">G919</f>
        <v>0</v>
      </c>
      <c r="N919" s="54" t="n">
        <f aca="false">G919-M919</f>
        <v>0</v>
      </c>
      <c r="O919" s="55" t="str">
        <f aca="false">IFERROR(VLOOKUP($A919,RA_result!$B$3:$N$62,7,0),"")</f>
        <v/>
      </c>
      <c r="P919" s="52" t="str">
        <f aca="false">IFERROR(VLOOKUP($A919,RA_result!$B$3:$N$62,9,0),"")</f>
        <v/>
      </c>
      <c r="Q919" s="52" t="str">
        <f aca="false">IFERROR(VLOOKUP($A919,RA_result!$B$3:$N$62,10,0),"")</f>
        <v/>
      </c>
      <c r="R919" s="58" t="s">
        <v>55</v>
      </c>
      <c r="S919" s="59" t="str">
        <f aca="false">IFERROR(VLOOKUP($A919,RA_result!$B$3:$N$62,4,0),"")</f>
        <v/>
      </c>
      <c r="T919" s="60" t="s">
        <v>56</v>
      </c>
      <c r="U919" s="59" t="str">
        <f aca="false">IFERROR(IF(VLOOKUP($A919,RA_result!$B$3:$N$62,6,0)="",S919*T919,VLOOKUP($A919,RA_result!$B$3:$N$62,6,0)),"")</f>
        <v/>
      </c>
      <c r="V919" s="61" t="s">
        <v>56</v>
      </c>
      <c r="W919" s="62" t="n">
        <f aca="false">IFERROR((S919*30%)/V919,0)</f>
        <v>0</v>
      </c>
      <c r="X919" s="63" t="n">
        <f aca="false">IFERROR(N919/W919,0)</f>
        <v>0</v>
      </c>
      <c r="Y919" s="68"/>
      <c r="Z919" s="57"/>
      <c r="AA919" s="69" t="str">
        <f aca="false">IF(OR(U919="",Y919="",Z919=""),"",IF(AND(U919&gt;Y919,-U919&lt;Z919),"Ok","Not Ok"))</f>
        <v/>
      </c>
      <c r="AB919" s="70"/>
    </row>
    <row r="920" customFormat="false" ht="12.8" hidden="false" customHeight="false" outlineLevel="0" collapsed="false">
      <c r="A920" s="48" t="n">
        <f aca="false">TB_audited!A903</f>
        <v>0</v>
      </c>
      <c r="B920" s="49"/>
      <c r="C920" s="50"/>
      <c r="D920" s="51" t="n">
        <f aca="false">TB_audited!B903</f>
        <v>0</v>
      </c>
      <c r="E920" s="52" t="n">
        <f aca="false">TB_audited!C903</f>
        <v>0</v>
      </c>
      <c r="F920" s="53" t="n">
        <f aca="false">TB_audited!D903</f>
        <v>0</v>
      </c>
      <c r="G920" s="54" t="n">
        <f aca="false">IF($D$8="Interim",TB_audited!G903,TB_audited!E903)</f>
        <v>0</v>
      </c>
      <c r="H920" s="55" t="str">
        <f aca="false">IFERROR(VLOOKUP($A920,RA_result!$B$3:$N$62,11,0),"")</f>
        <v/>
      </c>
      <c r="I920" s="55" t="str">
        <f aca="false">IFERROR(VLOOKUP($A920,RA_result!$B$3:$N$62,12,0),"")</f>
        <v/>
      </c>
      <c r="J920" s="55" t="str">
        <f aca="false">IFERROR(VLOOKUP($A920,RA_result!$B$3:$N$62,13,0),"")</f>
        <v/>
      </c>
      <c r="K920" s="56"/>
      <c r="L920" s="56"/>
      <c r="M920" s="57" t="n">
        <f aca="false">G920</f>
        <v>0</v>
      </c>
      <c r="N920" s="54" t="n">
        <f aca="false">G920-M920</f>
        <v>0</v>
      </c>
      <c r="O920" s="55" t="str">
        <f aca="false">IFERROR(VLOOKUP($A920,RA_result!$B$3:$N$62,7,0),"")</f>
        <v/>
      </c>
      <c r="P920" s="52" t="str">
        <f aca="false">IFERROR(VLOOKUP($A920,RA_result!$B$3:$N$62,9,0),"")</f>
        <v/>
      </c>
      <c r="Q920" s="52" t="str">
        <f aca="false">IFERROR(VLOOKUP($A920,RA_result!$B$3:$N$62,10,0),"")</f>
        <v/>
      </c>
      <c r="R920" s="58" t="s">
        <v>55</v>
      </c>
      <c r="S920" s="59" t="str">
        <f aca="false">IFERROR(VLOOKUP($A920,RA_result!$B$3:$N$62,4,0),"")</f>
        <v/>
      </c>
      <c r="T920" s="60" t="s">
        <v>56</v>
      </c>
      <c r="U920" s="59" t="str">
        <f aca="false">IFERROR(IF(VLOOKUP($A920,RA_result!$B$3:$N$62,6,0)="",S920*T920,VLOOKUP($A920,RA_result!$B$3:$N$62,6,0)),"")</f>
        <v/>
      </c>
      <c r="V920" s="61" t="s">
        <v>56</v>
      </c>
      <c r="W920" s="62" t="n">
        <f aca="false">IFERROR((S920*30%)/V920,0)</f>
        <v>0</v>
      </c>
      <c r="X920" s="63" t="n">
        <f aca="false">IFERROR(N920/W920,0)</f>
        <v>0</v>
      </c>
      <c r="Y920" s="68"/>
      <c r="Z920" s="57"/>
      <c r="AA920" s="69" t="str">
        <f aca="false">IF(OR(U920="",Y920="",Z920=""),"",IF(AND(U920&gt;Y920,-U920&lt;Z920),"Ok","Not Ok"))</f>
        <v/>
      </c>
      <c r="AB920" s="70"/>
    </row>
    <row r="921" customFormat="false" ht="12.8" hidden="false" customHeight="false" outlineLevel="0" collapsed="false">
      <c r="A921" s="48" t="n">
        <f aca="false">TB_audited!A904</f>
        <v>0</v>
      </c>
      <c r="B921" s="49"/>
      <c r="C921" s="50"/>
      <c r="D921" s="51" t="n">
        <f aca="false">TB_audited!B904</f>
        <v>0</v>
      </c>
      <c r="E921" s="52" t="n">
        <f aca="false">TB_audited!C904</f>
        <v>0</v>
      </c>
      <c r="F921" s="53" t="n">
        <f aca="false">TB_audited!D904</f>
        <v>0</v>
      </c>
      <c r="G921" s="54" t="n">
        <f aca="false">IF($D$8="Interim",TB_audited!G904,TB_audited!E904)</f>
        <v>0</v>
      </c>
      <c r="H921" s="55" t="str">
        <f aca="false">IFERROR(VLOOKUP($A921,RA_result!$B$3:$N$62,11,0),"")</f>
        <v/>
      </c>
      <c r="I921" s="55" t="str">
        <f aca="false">IFERROR(VLOOKUP($A921,RA_result!$B$3:$N$62,12,0),"")</f>
        <v/>
      </c>
      <c r="J921" s="55" t="str">
        <f aca="false">IFERROR(VLOOKUP($A921,RA_result!$B$3:$N$62,13,0),"")</f>
        <v/>
      </c>
      <c r="K921" s="56"/>
      <c r="L921" s="56"/>
      <c r="M921" s="57" t="n">
        <f aca="false">G921</f>
        <v>0</v>
      </c>
      <c r="N921" s="54" t="n">
        <f aca="false">G921-M921</f>
        <v>0</v>
      </c>
      <c r="O921" s="55" t="str">
        <f aca="false">IFERROR(VLOOKUP($A921,RA_result!$B$3:$N$62,7,0),"")</f>
        <v/>
      </c>
      <c r="P921" s="52" t="str">
        <f aca="false">IFERROR(VLOOKUP($A921,RA_result!$B$3:$N$62,9,0),"")</f>
        <v/>
      </c>
      <c r="Q921" s="52" t="str">
        <f aca="false">IFERROR(VLOOKUP($A921,RA_result!$B$3:$N$62,10,0),"")</f>
        <v/>
      </c>
      <c r="R921" s="58" t="s">
        <v>55</v>
      </c>
      <c r="S921" s="59" t="str">
        <f aca="false">IFERROR(VLOOKUP($A921,RA_result!$B$3:$N$62,4,0),"")</f>
        <v/>
      </c>
      <c r="T921" s="60" t="s">
        <v>56</v>
      </c>
      <c r="U921" s="59" t="str">
        <f aca="false">IFERROR(IF(VLOOKUP($A921,RA_result!$B$3:$N$62,6,0)="",S921*T921,VLOOKUP($A921,RA_result!$B$3:$N$62,6,0)),"")</f>
        <v/>
      </c>
      <c r="V921" s="61" t="s">
        <v>56</v>
      </c>
      <c r="W921" s="62" t="n">
        <f aca="false">IFERROR((S921*30%)/V921,0)</f>
        <v>0</v>
      </c>
      <c r="X921" s="63" t="n">
        <f aca="false">IFERROR(N921/W921,0)</f>
        <v>0</v>
      </c>
      <c r="Y921" s="68"/>
      <c r="Z921" s="57"/>
      <c r="AA921" s="69" t="str">
        <f aca="false">IF(OR(U921="",Y921="",Z921=""),"",IF(AND(U921&gt;Y921,-U921&lt;Z921),"Ok","Not Ok"))</f>
        <v/>
      </c>
      <c r="AB921" s="70"/>
    </row>
    <row r="922" customFormat="false" ht="12.8" hidden="false" customHeight="false" outlineLevel="0" collapsed="false">
      <c r="A922" s="48" t="n">
        <f aca="false">TB_audited!A905</f>
        <v>0</v>
      </c>
      <c r="B922" s="49"/>
      <c r="C922" s="50"/>
      <c r="D922" s="51" t="n">
        <f aca="false">TB_audited!B905</f>
        <v>0</v>
      </c>
      <c r="E922" s="52" t="n">
        <f aca="false">TB_audited!C905</f>
        <v>0</v>
      </c>
      <c r="F922" s="53" t="n">
        <f aca="false">TB_audited!D905</f>
        <v>0</v>
      </c>
      <c r="G922" s="54" t="n">
        <f aca="false">IF($D$8="Interim",TB_audited!G905,TB_audited!E905)</f>
        <v>0</v>
      </c>
      <c r="H922" s="55" t="str">
        <f aca="false">IFERROR(VLOOKUP($A922,RA_result!$B$3:$N$62,11,0),"")</f>
        <v/>
      </c>
      <c r="I922" s="55" t="str">
        <f aca="false">IFERROR(VLOOKUP($A922,RA_result!$B$3:$N$62,12,0),"")</f>
        <v/>
      </c>
      <c r="J922" s="55" t="str">
        <f aca="false">IFERROR(VLOOKUP($A922,RA_result!$B$3:$N$62,13,0),"")</f>
        <v/>
      </c>
      <c r="K922" s="56"/>
      <c r="L922" s="56"/>
      <c r="M922" s="57" t="n">
        <f aca="false">G922</f>
        <v>0</v>
      </c>
      <c r="N922" s="54" t="n">
        <f aca="false">G922-M922</f>
        <v>0</v>
      </c>
      <c r="O922" s="55" t="str">
        <f aca="false">IFERROR(VLOOKUP($A922,RA_result!$B$3:$N$62,7,0),"")</f>
        <v/>
      </c>
      <c r="P922" s="52" t="str">
        <f aca="false">IFERROR(VLOOKUP($A922,RA_result!$B$3:$N$62,9,0),"")</f>
        <v/>
      </c>
      <c r="Q922" s="52" t="str">
        <f aca="false">IFERROR(VLOOKUP($A922,RA_result!$B$3:$N$62,10,0),"")</f>
        <v/>
      </c>
      <c r="R922" s="58" t="s">
        <v>55</v>
      </c>
      <c r="S922" s="59" t="str">
        <f aca="false">IFERROR(VLOOKUP($A922,RA_result!$B$3:$N$62,4,0),"")</f>
        <v/>
      </c>
      <c r="T922" s="60" t="s">
        <v>56</v>
      </c>
      <c r="U922" s="59" t="str">
        <f aca="false">IFERROR(IF(VLOOKUP($A922,RA_result!$B$3:$N$62,6,0)="",S922*T922,VLOOKUP($A922,RA_result!$B$3:$N$62,6,0)),"")</f>
        <v/>
      </c>
      <c r="V922" s="61" t="s">
        <v>56</v>
      </c>
      <c r="W922" s="62" t="n">
        <f aca="false">IFERROR((S922*30%)/V922,0)</f>
        <v>0</v>
      </c>
      <c r="X922" s="63" t="n">
        <f aca="false">IFERROR(N922/W922,0)</f>
        <v>0</v>
      </c>
      <c r="Y922" s="68"/>
      <c r="Z922" s="57"/>
      <c r="AA922" s="69" t="str">
        <f aca="false">IF(OR(U922="",Y922="",Z922=""),"",IF(AND(U922&gt;Y922,-U922&lt;Z922),"Ok","Not Ok"))</f>
        <v/>
      </c>
      <c r="AB922" s="70"/>
    </row>
    <row r="923" customFormat="false" ht="12.8" hidden="false" customHeight="false" outlineLevel="0" collapsed="false">
      <c r="A923" s="48" t="n">
        <f aca="false">TB_audited!A906</f>
        <v>0</v>
      </c>
      <c r="B923" s="49"/>
      <c r="C923" s="50"/>
      <c r="D923" s="51" t="n">
        <f aca="false">TB_audited!B906</f>
        <v>0</v>
      </c>
      <c r="E923" s="52" t="n">
        <f aca="false">TB_audited!C906</f>
        <v>0</v>
      </c>
      <c r="F923" s="53" t="n">
        <f aca="false">TB_audited!D906</f>
        <v>0</v>
      </c>
      <c r="G923" s="54" t="n">
        <f aca="false">IF($D$8="Interim",TB_audited!G906,TB_audited!E906)</f>
        <v>0</v>
      </c>
      <c r="H923" s="55" t="str">
        <f aca="false">IFERROR(VLOOKUP($A923,RA_result!$B$3:$N$62,11,0),"")</f>
        <v/>
      </c>
      <c r="I923" s="55" t="str">
        <f aca="false">IFERROR(VLOOKUP($A923,RA_result!$B$3:$N$62,12,0),"")</f>
        <v/>
      </c>
      <c r="J923" s="55" t="str">
        <f aca="false">IFERROR(VLOOKUP($A923,RA_result!$B$3:$N$62,13,0),"")</f>
        <v/>
      </c>
      <c r="K923" s="56"/>
      <c r="L923" s="56"/>
      <c r="M923" s="57" t="n">
        <f aca="false">G923</f>
        <v>0</v>
      </c>
      <c r="N923" s="54" t="n">
        <f aca="false">G923-M923</f>
        <v>0</v>
      </c>
      <c r="O923" s="55" t="str">
        <f aca="false">IFERROR(VLOOKUP($A923,RA_result!$B$3:$N$62,7,0),"")</f>
        <v/>
      </c>
      <c r="P923" s="52" t="str">
        <f aca="false">IFERROR(VLOOKUP($A923,RA_result!$B$3:$N$62,9,0),"")</f>
        <v/>
      </c>
      <c r="Q923" s="52" t="str">
        <f aca="false">IFERROR(VLOOKUP($A923,RA_result!$B$3:$N$62,10,0),"")</f>
        <v/>
      </c>
      <c r="R923" s="58" t="s">
        <v>55</v>
      </c>
      <c r="S923" s="59" t="str">
        <f aca="false">IFERROR(VLOOKUP($A923,RA_result!$B$3:$N$62,4,0),"")</f>
        <v/>
      </c>
      <c r="T923" s="60" t="s">
        <v>56</v>
      </c>
      <c r="U923" s="59" t="str">
        <f aca="false">IFERROR(IF(VLOOKUP($A923,RA_result!$B$3:$N$62,6,0)="",S923*T923,VLOOKUP($A923,RA_result!$B$3:$N$62,6,0)),"")</f>
        <v/>
      </c>
      <c r="V923" s="61" t="s">
        <v>56</v>
      </c>
      <c r="W923" s="62" t="n">
        <f aca="false">IFERROR((S923*30%)/V923,0)</f>
        <v>0</v>
      </c>
      <c r="X923" s="63" t="n">
        <f aca="false">IFERROR(N923/W923,0)</f>
        <v>0</v>
      </c>
      <c r="Y923" s="68"/>
      <c r="Z923" s="57"/>
      <c r="AA923" s="69" t="str">
        <f aca="false">IF(OR(U923="",Y923="",Z923=""),"",IF(AND(U923&gt;Y923,-U923&lt;Z923),"Ok","Not Ok"))</f>
        <v/>
      </c>
      <c r="AB923" s="70"/>
    </row>
    <row r="924" customFormat="false" ht="12.8" hidden="false" customHeight="false" outlineLevel="0" collapsed="false">
      <c r="A924" s="48" t="n">
        <f aca="false">TB_audited!A907</f>
        <v>0</v>
      </c>
      <c r="B924" s="49"/>
      <c r="C924" s="50"/>
      <c r="D924" s="51" t="n">
        <f aca="false">TB_audited!B907</f>
        <v>0</v>
      </c>
      <c r="E924" s="52" t="n">
        <f aca="false">TB_audited!C907</f>
        <v>0</v>
      </c>
      <c r="F924" s="53" t="n">
        <f aca="false">TB_audited!D907</f>
        <v>0</v>
      </c>
      <c r="G924" s="54" t="n">
        <f aca="false">IF($D$8="Interim",TB_audited!G907,TB_audited!E907)</f>
        <v>0</v>
      </c>
      <c r="H924" s="55" t="str">
        <f aca="false">IFERROR(VLOOKUP($A924,RA_result!$B$3:$N$62,11,0),"")</f>
        <v/>
      </c>
      <c r="I924" s="55" t="str">
        <f aca="false">IFERROR(VLOOKUP($A924,RA_result!$B$3:$N$62,12,0),"")</f>
        <v/>
      </c>
      <c r="J924" s="55" t="str">
        <f aca="false">IFERROR(VLOOKUP($A924,RA_result!$B$3:$N$62,13,0),"")</f>
        <v/>
      </c>
      <c r="K924" s="56"/>
      <c r="L924" s="56"/>
      <c r="M924" s="57" t="n">
        <f aca="false">G924</f>
        <v>0</v>
      </c>
      <c r="N924" s="54" t="n">
        <f aca="false">G924-M924</f>
        <v>0</v>
      </c>
      <c r="O924" s="55" t="str">
        <f aca="false">IFERROR(VLOOKUP($A924,RA_result!$B$3:$N$62,7,0),"")</f>
        <v/>
      </c>
      <c r="P924" s="52" t="str">
        <f aca="false">IFERROR(VLOOKUP($A924,RA_result!$B$3:$N$62,9,0),"")</f>
        <v/>
      </c>
      <c r="Q924" s="52" t="str">
        <f aca="false">IFERROR(VLOOKUP($A924,RA_result!$B$3:$N$62,10,0),"")</f>
        <v/>
      </c>
      <c r="R924" s="58" t="s">
        <v>55</v>
      </c>
      <c r="S924" s="59" t="str">
        <f aca="false">IFERROR(VLOOKUP($A924,RA_result!$B$3:$N$62,4,0),"")</f>
        <v/>
      </c>
      <c r="T924" s="60" t="s">
        <v>56</v>
      </c>
      <c r="U924" s="59" t="str">
        <f aca="false">IFERROR(IF(VLOOKUP($A924,RA_result!$B$3:$N$62,6,0)="",S924*T924,VLOOKUP($A924,RA_result!$B$3:$N$62,6,0)),"")</f>
        <v/>
      </c>
      <c r="V924" s="61" t="s">
        <v>56</v>
      </c>
      <c r="W924" s="62" t="n">
        <f aca="false">IFERROR((S924*30%)/V924,0)</f>
        <v>0</v>
      </c>
      <c r="X924" s="63" t="n">
        <f aca="false">IFERROR(N924/W924,0)</f>
        <v>0</v>
      </c>
      <c r="Y924" s="68"/>
      <c r="Z924" s="57"/>
      <c r="AA924" s="69" t="str">
        <f aca="false">IF(OR(U924="",Y924="",Z924=""),"",IF(AND(U924&gt;Y924,-U924&lt;Z924),"Ok","Not Ok"))</f>
        <v/>
      </c>
      <c r="AB924" s="70"/>
    </row>
    <row r="925" customFormat="false" ht="12.8" hidden="false" customHeight="false" outlineLevel="0" collapsed="false">
      <c r="A925" s="48" t="n">
        <f aca="false">TB_audited!A908</f>
        <v>0</v>
      </c>
      <c r="B925" s="49"/>
      <c r="C925" s="50"/>
      <c r="D925" s="51" t="n">
        <f aca="false">TB_audited!B908</f>
        <v>0</v>
      </c>
      <c r="E925" s="52" t="n">
        <f aca="false">TB_audited!C908</f>
        <v>0</v>
      </c>
      <c r="F925" s="53" t="n">
        <f aca="false">TB_audited!D908</f>
        <v>0</v>
      </c>
      <c r="G925" s="54" t="n">
        <f aca="false">IF($D$8="Interim",TB_audited!G908,TB_audited!E908)</f>
        <v>0</v>
      </c>
      <c r="H925" s="55" t="str">
        <f aca="false">IFERROR(VLOOKUP($A925,RA_result!$B$3:$N$62,11,0),"")</f>
        <v/>
      </c>
      <c r="I925" s="55" t="str">
        <f aca="false">IFERROR(VLOOKUP($A925,RA_result!$B$3:$N$62,12,0),"")</f>
        <v/>
      </c>
      <c r="J925" s="55" t="str">
        <f aca="false">IFERROR(VLOOKUP($A925,RA_result!$B$3:$N$62,13,0),"")</f>
        <v/>
      </c>
      <c r="K925" s="56"/>
      <c r="L925" s="56"/>
      <c r="M925" s="57" t="n">
        <f aca="false">G925</f>
        <v>0</v>
      </c>
      <c r="N925" s="54" t="n">
        <f aca="false">G925-M925</f>
        <v>0</v>
      </c>
      <c r="O925" s="55" t="str">
        <f aca="false">IFERROR(VLOOKUP($A925,RA_result!$B$3:$N$62,7,0),"")</f>
        <v/>
      </c>
      <c r="P925" s="52" t="str">
        <f aca="false">IFERROR(VLOOKUP($A925,RA_result!$B$3:$N$62,9,0),"")</f>
        <v/>
      </c>
      <c r="Q925" s="52" t="str">
        <f aca="false">IFERROR(VLOOKUP($A925,RA_result!$B$3:$N$62,10,0),"")</f>
        <v/>
      </c>
      <c r="R925" s="58" t="s">
        <v>55</v>
      </c>
      <c r="S925" s="59" t="str">
        <f aca="false">IFERROR(VLOOKUP($A925,RA_result!$B$3:$N$62,4,0),"")</f>
        <v/>
      </c>
      <c r="T925" s="60" t="s">
        <v>56</v>
      </c>
      <c r="U925" s="59" t="str">
        <f aca="false">IFERROR(IF(VLOOKUP($A925,RA_result!$B$3:$N$62,6,0)="",S925*T925,VLOOKUP($A925,RA_result!$B$3:$N$62,6,0)),"")</f>
        <v/>
      </c>
      <c r="V925" s="61" t="s">
        <v>56</v>
      </c>
      <c r="W925" s="62" t="n">
        <f aca="false">IFERROR((S925*30%)/V925,0)</f>
        <v>0</v>
      </c>
      <c r="X925" s="63" t="n">
        <f aca="false">IFERROR(N925/W925,0)</f>
        <v>0</v>
      </c>
      <c r="Y925" s="68"/>
      <c r="Z925" s="57"/>
      <c r="AA925" s="69" t="str">
        <f aca="false">IF(OR(U925="",Y925="",Z925=""),"",IF(AND(U925&gt;Y925,-U925&lt;Z925),"Ok","Not Ok"))</f>
        <v/>
      </c>
      <c r="AB925" s="70"/>
    </row>
    <row r="926" customFormat="false" ht="12.8" hidden="false" customHeight="false" outlineLevel="0" collapsed="false">
      <c r="A926" s="48" t="n">
        <f aca="false">TB_audited!A909</f>
        <v>0</v>
      </c>
      <c r="B926" s="49"/>
      <c r="C926" s="50"/>
      <c r="D926" s="51" t="n">
        <f aca="false">TB_audited!B909</f>
        <v>0</v>
      </c>
      <c r="E926" s="52" t="n">
        <f aca="false">TB_audited!C909</f>
        <v>0</v>
      </c>
      <c r="F926" s="53" t="n">
        <f aca="false">TB_audited!D909</f>
        <v>0</v>
      </c>
      <c r="G926" s="54" t="n">
        <f aca="false">IF($D$8="Interim",TB_audited!G909,TB_audited!E909)</f>
        <v>0</v>
      </c>
      <c r="H926" s="55" t="str">
        <f aca="false">IFERROR(VLOOKUP($A926,RA_result!$B$3:$N$62,11,0),"")</f>
        <v/>
      </c>
      <c r="I926" s="55" t="str">
        <f aca="false">IFERROR(VLOOKUP($A926,RA_result!$B$3:$N$62,12,0),"")</f>
        <v/>
      </c>
      <c r="J926" s="55" t="str">
        <f aca="false">IFERROR(VLOOKUP($A926,RA_result!$B$3:$N$62,13,0),"")</f>
        <v/>
      </c>
      <c r="K926" s="56"/>
      <c r="L926" s="56"/>
      <c r="M926" s="57" t="n">
        <f aca="false">G926</f>
        <v>0</v>
      </c>
      <c r="N926" s="54" t="n">
        <f aca="false">G926-M926</f>
        <v>0</v>
      </c>
      <c r="O926" s="55" t="str">
        <f aca="false">IFERROR(VLOOKUP($A926,RA_result!$B$3:$N$62,7,0),"")</f>
        <v/>
      </c>
      <c r="P926" s="52" t="str">
        <f aca="false">IFERROR(VLOOKUP($A926,RA_result!$B$3:$N$62,9,0),"")</f>
        <v/>
      </c>
      <c r="Q926" s="52" t="str">
        <f aca="false">IFERROR(VLOOKUP($A926,RA_result!$B$3:$N$62,10,0),"")</f>
        <v/>
      </c>
      <c r="R926" s="58" t="s">
        <v>55</v>
      </c>
      <c r="S926" s="59" t="str">
        <f aca="false">IFERROR(VLOOKUP($A926,RA_result!$B$3:$N$62,4,0),"")</f>
        <v/>
      </c>
      <c r="T926" s="60" t="s">
        <v>56</v>
      </c>
      <c r="U926" s="59" t="str">
        <f aca="false">IFERROR(IF(VLOOKUP($A926,RA_result!$B$3:$N$62,6,0)="",S926*T926,VLOOKUP($A926,RA_result!$B$3:$N$62,6,0)),"")</f>
        <v/>
      </c>
      <c r="V926" s="61" t="s">
        <v>56</v>
      </c>
      <c r="W926" s="62" t="n">
        <f aca="false">IFERROR((S926*30%)/V926,0)</f>
        <v>0</v>
      </c>
      <c r="X926" s="63" t="n">
        <f aca="false">IFERROR(N926/W926,0)</f>
        <v>0</v>
      </c>
      <c r="Y926" s="68"/>
      <c r="Z926" s="57"/>
      <c r="AA926" s="69" t="str">
        <f aca="false">IF(OR(U926="",Y926="",Z926=""),"",IF(AND(U926&gt;Y926,-U926&lt;Z926),"Ok","Not Ok"))</f>
        <v/>
      </c>
      <c r="AB926" s="70"/>
    </row>
    <row r="927" customFormat="false" ht="12.8" hidden="false" customHeight="false" outlineLevel="0" collapsed="false">
      <c r="A927" s="48" t="n">
        <f aca="false">TB_audited!A910</f>
        <v>0</v>
      </c>
      <c r="B927" s="49"/>
      <c r="C927" s="50"/>
      <c r="D927" s="51" t="n">
        <f aca="false">TB_audited!B910</f>
        <v>0</v>
      </c>
      <c r="E927" s="52" t="n">
        <f aca="false">TB_audited!C910</f>
        <v>0</v>
      </c>
      <c r="F927" s="53" t="n">
        <f aca="false">TB_audited!D910</f>
        <v>0</v>
      </c>
      <c r="G927" s="54" t="n">
        <f aca="false">IF($D$8="Interim",TB_audited!G910,TB_audited!E910)</f>
        <v>0</v>
      </c>
      <c r="H927" s="55" t="str">
        <f aca="false">IFERROR(VLOOKUP($A927,RA_result!$B$3:$N$62,11,0),"")</f>
        <v/>
      </c>
      <c r="I927" s="55" t="str">
        <f aca="false">IFERROR(VLOOKUP($A927,RA_result!$B$3:$N$62,12,0),"")</f>
        <v/>
      </c>
      <c r="J927" s="55" t="str">
        <f aca="false">IFERROR(VLOOKUP($A927,RA_result!$B$3:$N$62,13,0),"")</f>
        <v/>
      </c>
      <c r="K927" s="56"/>
      <c r="L927" s="56"/>
      <c r="M927" s="57" t="n">
        <f aca="false">G927</f>
        <v>0</v>
      </c>
      <c r="N927" s="54" t="n">
        <f aca="false">G927-M927</f>
        <v>0</v>
      </c>
      <c r="O927" s="55" t="str">
        <f aca="false">IFERROR(VLOOKUP($A927,RA_result!$B$3:$N$62,7,0),"")</f>
        <v/>
      </c>
      <c r="P927" s="52" t="str">
        <f aca="false">IFERROR(VLOOKUP($A927,RA_result!$B$3:$N$62,9,0),"")</f>
        <v/>
      </c>
      <c r="Q927" s="52" t="str">
        <f aca="false">IFERROR(VLOOKUP($A927,RA_result!$B$3:$N$62,10,0),"")</f>
        <v/>
      </c>
      <c r="R927" s="58" t="s">
        <v>55</v>
      </c>
      <c r="S927" s="59" t="str">
        <f aca="false">IFERROR(VLOOKUP($A927,RA_result!$B$3:$N$62,4,0),"")</f>
        <v/>
      </c>
      <c r="T927" s="60" t="s">
        <v>56</v>
      </c>
      <c r="U927" s="59" t="str">
        <f aca="false">IFERROR(IF(VLOOKUP($A927,RA_result!$B$3:$N$62,6,0)="",S927*T927,VLOOKUP($A927,RA_result!$B$3:$N$62,6,0)),"")</f>
        <v/>
      </c>
      <c r="V927" s="61" t="s">
        <v>56</v>
      </c>
      <c r="W927" s="62" t="n">
        <f aca="false">IFERROR((S927*30%)/V927,0)</f>
        <v>0</v>
      </c>
      <c r="X927" s="63" t="n">
        <f aca="false">IFERROR(N927/W927,0)</f>
        <v>0</v>
      </c>
      <c r="Y927" s="68"/>
      <c r="Z927" s="57"/>
      <c r="AA927" s="69" t="str">
        <f aca="false">IF(OR(U927="",Y927="",Z927=""),"",IF(AND(U927&gt;Y927,-U927&lt;Z927),"Ok","Not Ok"))</f>
        <v/>
      </c>
      <c r="AB927" s="70"/>
    </row>
    <row r="928" customFormat="false" ht="12.8" hidden="false" customHeight="false" outlineLevel="0" collapsed="false">
      <c r="A928" s="48" t="n">
        <f aca="false">TB_audited!A911</f>
        <v>0</v>
      </c>
      <c r="B928" s="49"/>
      <c r="C928" s="50"/>
      <c r="D928" s="51" t="n">
        <f aca="false">TB_audited!B911</f>
        <v>0</v>
      </c>
      <c r="E928" s="52" t="n">
        <f aca="false">TB_audited!C911</f>
        <v>0</v>
      </c>
      <c r="F928" s="53" t="n">
        <f aca="false">TB_audited!D911</f>
        <v>0</v>
      </c>
      <c r="G928" s="54" t="n">
        <f aca="false">IF($D$8="Interim",TB_audited!G911,TB_audited!E911)</f>
        <v>0</v>
      </c>
      <c r="H928" s="55" t="str">
        <f aca="false">IFERROR(VLOOKUP($A928,RA_result!$B$3:$N$62,11,0),"")</f>
        <v/>
      </c>
      <c r="I928" s="55" t="str">
        <f aca="false">IFERROR(VLOOKUP($A928,RA_result!$B$3:$N$62,12,0),"")</f>
        <v/>
      </c>
      <c r="J928" s="55" t="str">
        <f aca="false">IFERROR(VLOOKUP($A928,RA_result!$B$3:$N$62,13,0),"")</f>
        <v/>
      </c>
      <c r="K928" s="56"/>
      <c r="L928" s="56"/>
      <c r="M928" s="57" t="n">
        <f aca="false">G928</f>
        <v>0</v>
      </c>
      <c r="N928" s="54" t="n">
        <f aca="false">G928-M928</f>
        <v>0</v>
      </c>
      <c r="O928" s="55" t="str">
        <f aca="false">IFERROR(VLOOKUP($A928,RA_result!$B$3:$N$62,7,0),"")</f>
        <v/>
      </c>
      <c r="P928" s="52" t="str">
        <f aca="false">IFERROR(VLOOKUP($A928,RA_result!$B$3:$N$62,9,0),"")</f>
        <v/>
      </c>
      <c r="Q928" s="52" t="str">
        <f aca="false">IFERROR(VLOOKUP($A928,RA_result!$B$3:$N$62,10,0),"")</f>
        <v/>
      </c>
      <c r="R928" s="58" t="s">
        <v>55</v>
      </c>
      <c r="S928" s="59" t="str">
        <f aca="false">IFERROR(VLOOKUP($A928,RA_result!$B$3:$N$62,4,0),"")</f>
        <v/>
      </c>
      <c r="T928" s="60" t="s">
        <v>56</v>
      </c>
      <c r="U928" s="59" t="str">
        <f aca="false">IFERROR(IF(VLOOKUP($A928,RA_result!$B$3:$N$62,6,0)="",S928*T928,VLOOKUP($A928,RA_result!$B$3:$N$62,6,0)),"")</f>
        <v/>
      </c>
      <c r="V928" s="61" t="s">
        <v>56</v>
      </c>
      <c r="W928" s="62" t="n">
        <f aca="false">IFERROR((S928*30%)/V928,0)</f>
        <v>0</v>
      </c>
      <c r="X928" s="63" t="n">
        <f aca="false">IFERROR(N928/W928,0)</f>
        <v>0</v>
      </c>
      <c r="Y928" s="68"/>
      <c r="Z928" s="57"/>
      <c r="AA928" s="69" t="str">
        <f aca="false">IF(OR(U928="",Y928="",Z928=""),"",IF(AND(U928&gt;Y928,-U928&lt;Z928),"Ok","Not Ok"))</f>
        <v/>
      </c>
      <c r="AB928" s="70"/>
    </row>
    <row r="929" customFormat="false" ht="12.8" hidden="false" customHeight="false" outlineLevel="0" collapsed="false">
      <c r="A929" s="48" t="n">
        <f aca="false">TB_audited!A912</f>
        <v>0</v>
      </c>
      <c r="B929" s="49"/>
      <c r="C929" s="50"/>
      <c r="D929" s="51" t="n">
        <f aca="false">TB_audited!B912</f>
        <v>0</v>
      </c>
      <c r="E929" s="52" t="n">
        <f aca="false">TB_audited!C912</f>
        <v>0</v>
      </c>
      <c r="F929" s="53" t="n">
        <f aca="false">TB_audited!D912</f>
        <v>0</v>
      </c>
      <c r="G929" s="54" t="n">
        <f aca="false">IF($D$8="Interim",TB_audited!G912,TB_audited!E912)</f>
        <v>0</v>
      </c>
      <c r="H929" s="55" t="str">
        <f aca="false">IFERROR(VLOOKUP($A929,RA_result!$B$3:$N$62,11,0),"")</f>
        <v/>
      </c>
      <c r="I929" s="55" t="str">
        <f aca="false">IFERROR(VLOOKUP($A929,RA_result!$B$3:$N$62,12,0),"")</f>
        <v/>
      </c>
      <c r="J929" s="55" t="str">
        <f aca="false">IFERROR(VLOOKUP($A929,RA_result!$B$3:$N$62,13,0),"")</f>
        <v/>
      </c>
      <c r="K929" s="56"/>
      <c r="L929" s="56"/>
      <c r="M929" s="57" t="n">
        <f aca="false">G929</f>
        <v>0</v>
      </c>
      <c r="N929" s="54" t="n">
        <f aca="false">G929-M929</f>
        <v>0</v>
      </c>
      <c r="O929" s="55" t="str">
        <f aca="false">IFERROR(VLOOKUP($A929,RA_result!$B$3:$N$62,7,0),"")</f>
        <v/>
      </c>
      <c r="P929" s="52" t="str">
        <f aca="false">IFERROR(VLOOKUP($A929,RA_result!$B$3:$N$62,9,0),"")</f>
        <v/>
      </c>
      <c r="Q929" s="52" t="str">
        <f aca="false">IFERROR(VLOOKUP($A929,RA_result!$B$3:$N$62,10,0),"")</f>
        <v/>
      </c>
      <c r="R929" s="58" t="s">
        <v>55</v>
      </c>
      <c r="S929" s="59" t="str">
        <f aca="false">IFERROR(VLOOKUP($A929,RA_result!$B$3:$N$62,4,0),"")</f>
        <v/>
      </c>
      <c r="T929" s="60" t="s">
        <v>56</v>
      </c>
      <c r="U929" s="59" t="str">
        <f aca="false">IFERROR(IF(VLOOKUP($A929,RA_result!$B$3:$N$62,6,0)="",S929*T929,VLOOKUP($A929,RA_result!$B$3:$N$62,6,0)),"")</f>
        <v/>
      </c>
      <c r="V929" s="61" t="s">
        <v>56</v>
      </c>
      <c r="W929" s="62" t="n">
        <f aca="false">IFERROR((S929*30%)/V929,0)</f>
        <v>0</v>
      </c>
      <c r="X929" s="63" t="n">
        <f aca="false">IFERROR(N929/W929,0)</f>
        <v>0</v>
      </c>
      <c r="Y929" s="68"/>
      <c r="Z929" s="57"/>
      <c r="AA929" s="69" t="str">
        <f aca="false">IF(OR(U929="",Y929="",Z929=""),"",IF(AND(U929&gt;Y929,-U929&lt;Z929),"Ok","Not Ok"))</f>
        <v/>
      </c>
      <c r="AB929" s="70"/>
    </row>
    <row r="930" customFormat="false" ht="12.8" hidden="false" customHeight="false" outlineLevel="0" collapsed="false">
      <c r="A930" s="48" t="n">
        <f aca="false">TB_audited!A913</f>
        <v>0</v>
      </c>
      <c r="B930" s="49"/>
      <c r="C930" s="50"/>
      <c r="D930" s="51" t="n">
        <f aca="false">TB_audited!B913</f>
        <v>0</v>
      </c>
      <c r="E930" s="52" t="n">
        <f aca="false">TB_audited!C913</f>
        <v>0</v>
      </c>
      <c r="F930" s="53" t="n">
        <f aca="false">TB_audited!D913</f>
        <v>0</v>
      </c>
      <c r="G930" s="54" t="n">
        <f aca="false">IF($D$8="Interim",TB_audited!G913,TB_audited!E913)</f>
        <v>0</v>
      </c>
      <c r="H930" s="55" t="str">
        <f aca="false">IFERROR(VLOOKUP($A930,RA_result!$B$3:$N$62,11,0),"")</f>
        <v/>
      </c>
      <c r="I930" s="55" t="str">
        <f aca="false">IFERROR(VLOOKUP($A930,RA_result!$B$3:$N$62,12,0),"")</f>
        <v/>
      </c>
      <c r="J930" s="55" t="str">
        <f aca="false">IFERROR(VLOOKUP($A930,RA_result!$B$3:$N$62,13,0),"")</f>
        <v/>
      </c>
      <c r="K930" s="56"/>
      <c r="L930" s="56"/>
      <c r="M930" s="57" t="n">
        <f aca="false">G930</f>
        <v>0</v>
      </c>
      <c r="N930" s="54" t="n">
        <f aca="false">G930-M930</f>
        <v>0</v>
      </c>
      <c r="O930" s="55" t="str">
        <f aca="false">IFERROR(VLOOKUP($A930,RA_result!$B$3:$N$62,7,0),"")</f>
        <v/>
      </c>
      <c r="P930" s="52" t="str">
        <f aca="false">IFERROR(VLOOKUP($A930,RA_result!$B$3:$N$62,9,0),"")</f>
        <v/>
      </c>
      <c r="Q930" s="52" t="str">
        <f aca="false">IFERROR(VLOOKUP($A930,RA_result!$B$3:$N$62,10,0),"")</f>
        <v/>
      </c>
      <c r="R930" s="58" t="s">
        <v>55</v>
      </c>
      <c r="S930" s="59" t="str">
        <f aca="false">IFERROR(VLOOKUP($A930,RA_result!$B$3:$N$62,4,0),"")</f>
        <v/>
      </c>
      <c r="T930" s="60" t="s">
        <v>56</v>
      </c>
      <c r="U930" s="59" t="str">
        <f aca="false">IFERROR(IF(VLOOKUP($A930,RA_result!$B$3:$N$62,6,0)="",S930*T930,VLOOKUP($A930,RA_result!$B$3:$N$62,6,0)),"")</f>
        <v/>
      </c>
      <c r="V930" s="61" t="s">
        <v>56</v>
      </c>
      <c r="W930" s="62" t="n">
        <f aca="false">IFERROR((S930*30%)/V930,0)</f>
        <v>0</v>
      </c>
      <c r="X930" s="63" t="n">
        <f aca="false">IFERROR(N930/W930,0)</f>
        <v>0</v>
      </c>
      <c r="Y930" s="68"/>
      <c r="Z930" s="57"/>
      <c r="AA930" s="69" t="str">
        <f aca="false">IF(OR(U930="",Y930="",Z930=""),"",IF(AND(U930&gt;Y930,-U930&lt;Z930),"Ok","Not Ok"))</f>
        <v/>
      </c>
      <c r="AB930" s="70"/>
    </row>
    <row r="931" customFormat="false" ht="12.8" hidden="false" customHeight="false" outlineLevel="0" collapsed="false">
      <c r="A931" s="48" t="n">
        <f aca="false">TB_audited!A914</f>
        <v>0</v>
      </c>
      <c r="B931" s="49"/>
      <c r="C931" s="50"/>
      <c r="D931" s="51" t="n">
        <f aca="false">TB_audited!B914</f>
        <v>0</v>
      </c>
      <c r="E931" s="52" t="n">
        <f aca="false">TB_audited!C914</f>
        <v>0</v>
      </c>
      <c r="F931" s="53" t="n">
        <f aca="false">TB_audited!D914</f>
        <v>0</v>
      </c>
      <c r="G931" s="54" t="n">
        <f aca="false">IF($D$8="Interim",TB_audited!G914,TB_audited!E914)</f>
        <v>0</v>
      </c>
      <c r="H931" s="55" t="str">
        <f aca="false">IFERROR(VLOOKUP($A931,RA_result!$B$3:$N$62,11,0),"")</f>
        <v/>
      </c>
      <c r="I931" s="55" t="str">
        <f aca="false">IFERROR(VLOOKUP($A931,RA_result!$B$3:$N$62,12,0),"")</f>
        <v/>
      </c>
      <c r="J931" s="55" t="str">
        <f aca="false">IFERROR(VLOOKUP($A931,RA_result!$B$3:$N$62,13,0),"")</f>
        <v/>
      </c>
      <c r="K931" s="56"/>
      <c r="L931" s="56"/>
      <c r="M931" s="57" t="n">
        <f aca="false">G931</f>
        <v>0</v>
      </c>
      <c r="N931" s="54" t="n">
        <f aca="false">G931-M931</f>
        <v>0</v>
      </c>
      <c r="O931" s="55" t="str">
        <f aca="false">IFERROR(VLOOKUP($A931,RA_result!$B$3:$N$62,7,0),"")</f>
        <v/>
      </c>
      <c r="P931" s="52" t="str">
        <f aca="false">IFERROR(VLOOKUP($A931,RA_result!$B$3:$N$62,9,0),"")</f>
        <v/>
      </c>
      <c r="Q931" s="52" t="str">
        <f aca="false">IFERROR(VLOOKUP($A931,RA_result!$B$3:$N$62,10,0),"")</f>
        <v/>
      </c>
      <c r="R931" s="58" t="s">
        <v>55</v>
      </c>
      <c r="S931" s="59" t="str">
        <f aca="false">IFERROR(VLOOKUP($A931,RA_result!$B$3:$N$62,4,0),"")</f>
        <v/>
      </c>
      <c r="T931" s="60" t="s">
        <v>56</v>
      </c>
      <c r="U931" s="59" t="str">
        <f aca="false">IFERROR(IF(VLOOKUP($A931,RA_result!$B$3:$N$62,6,0)="",S931*T931,VLOOKUP($A931,RA_result!$B$3:$N$62,6,0)),"")</f>
        <v/>
      </c>
      <c r="V931" s="61" t="s">
        <v>56</v>
      </c>
      <c r="W931" s="62" t="n">
        <f aca="false">IFERROR((S931*30%)/V931,0)</f>
        <v>0</v>
      </c>
      <c r="X931" s="63" t="n">
        <f aca="false">IFERROR(N931/W931,0)</f>
        <v>0</v>
      </c>
      <c r="Y931" s="68"/>
      <c r="Z931" s="57"/>
      <c r="AA931" s="69" t="str">
        <f aca="false">IF(OR(U931="",Y931="",Z931=""),"",IF(AND(U931&gt;Y931,-U931&lt;Z931),"Ok","Not Ok"))</f>
        <v/>
      </c>
      <c r="AB931" s="70"/>
    </row>
    <row r="932" customFormat="false" ht="12.8" hidden="false" customHeight="false" outlineLevel="0" collapsed="false">
      <c r="A932" s="48" t="n">
        <f aca="false">TB_audited!A915</f>
        <v>0</v>
      </c>
      <c r="B932" s="49"/>
      <c r="C932" s="50"/>
      <c r="D932" s="51" t="n">
        <f aca="false">TB_audited!B915</f>
        <v>0</v>
      </c>
      <c r="E932" s="52" t="n">
        <f aca="false">TB_audited!C915</f>
        <v>0</v>
      </c>
      <c r="F932" s="53" t="n">
        <f aca="false">TB_audited!D915</f>
        <v>0</v>
      </c>
      <c r="G932" s="54" t="n">
        <f aca="false">IF($D$8="Interim",TB_audited!G915,TB_audited!E915)</f>
        <v>0</v>
      </c>
      <c r="H932" s="55" t="str">
        <f aca="false">IFERROR(VLOOKUP($A932,RA_result!$B$3:$N$62,11,0),"")</f>
        <v/>
      </c>
      <c r="I932" s="55" t="str">
        <f aca="false">IFERROR(VLOOKUP($A932,RA_result!$B$3:$N$62,12,0),"")</f>
        <v/>
      </c>
      <c r="J932" s="55" t="str">
        <f aca="false">IFERROR(VLOOKUP($A932,RA_result!$B$3:$N$62,13,0),"")</f>
        <v/>
      </c>
      <c r="K932" s="56"/>
      <c r="L932" s="56"/>
      <c r="M932" s="57" t="n">
        <f aca="false">G932</f>
        <v>0</v>
      </c>
      <c r="N932" s="54" t="n">
        <f aca="false">G932-M932</f>
        <v>0</v>
      </c>
      <c r="O932" s="55" t="str">
        <f aca="false">IFERROR(VLOOKUP($A932,RA_result!$B$3:$N$62,7,0),"")</f>
        <v/>
      </c>
      <c r="P932" s="52" t="str">
        <f aca="false">IFERROR(VLOOKUP($A932,RA_result!$B$3:$N$62,9,0),"")</f>
        <v/>
      </c>
      <c r="Q932" s="52" t="str">
        <f aca="false">IFERROR(VLOOKUP($A932,RA_result!$B$3:$N$62,10,0),"")</f>
        <v/>
      </c>
      <c r="R932" s="58" t="s">
        <v>55</v>
      </c>
      <c r="S932" s="59" t="str">
        <f aca="false">IFERROR(VLOOKUP($A932,RA_result!$B$3:$N$62,4,0),"")</f>
        <v/>
      </c>
      <c r="T932" s="60" t="s">
        <v>56</v>
      </c>
      <c r="U932" s="59" t="str">
        <f aca="false">IFERROR(IF(VLOOKUP($A932,RA_result!$B$3:$N$62,6,0)="",S932*T932,VLOOKUP($A932,RA_result!$B$3:$N$62,6,0)),"")</f>
        <v/>
      </c>
      <c r="V932" s="61" t="s">
        <v>56</v>
      </c>
      <c r="W932" s="62" t="n">
        <f aca="false">IFERROR((S932*30%)/V932,0)</f>
        <v>0</v>
      </c>
      <c r="X932" s="63" t="n">
        <f aca="false">IFERROR(N932/W932,0)</f>
        <v>0</v>
      </c>
      <c r="Y932" s="68"/>
      <c r="Z932" s="57"/>
      <c r="AA932" s="69" t="str">
        <f aca="false">IF(OR(U932="",Y932="",Z932=""),"",IF(AND(U932&gt;Y932,-U932&lt;Z932),"Ok","Not Ok"))</f>
        <v/>
      </c>
      <c r="AB932" s="70"/>
    </row>
    <row r="933" customFormat="false" ht="12.8" hidden="false" customHeight="false" outlineLevel="0" collapsed="false">
      <c r="A933" s="48" t="n">
        <f aca="false">TB_audited!A916</f>
        <v>0</v>
      </c>
      <c r="B933" s="49"/>
      <c r="C933" s="50"/>
      <c r="D933" s="51" t="n">
        <f aca="false">TB_audited!B916</f>
        <v>0</v>
      </c>
      <c r="E933" s="52" t="n">
        <f aca="false">TB_audited!C916</f>
        <v>0</v>
      </c>
      <c r="F933" s="53" t="n">
        <f aca="false">TB_audited!D916</f>
        <v>0</v>
      </c>
      <c r="G933" s="54" t="n">
        <f aca="false">IF($D$8="Interim",TB_audited!G916,TB_audited!E916)</f>
        <v>0</v>
      </c>
      <c r="H933" s="55" t="str">
        <f aca="false">IFERROR(VLOOKUP($A933,RA_result!$B$3:$N$62,11,0),"")</f>
        <v/>
      </c>
      <c r="I933" s="55" t="str">
        <f aca="false">IFERROR(VLOOKUP($A933,RA_result!$B$3:$N$62,12,0),"")</f>
        <v/>
      </c>
      <c r="J933" s="55" t="str">
        <f aca="false">IFERROR(VLOOKUP($A933,RA_result!$B$3:$N$62,13,0),"")</f>
        <v/>
      </c>
      <c r="K933" s="56"/>
      <c r="L933" s="56"/>
      <c r="M933" s="57" t="n">
        <f aca="false">G933</f>
        <v>0</v>
      </c>
      <c r="N933" s="54" t="n">
        <f aca="false">G933-M933</f>
        <v>0</v>
      </c>
      <c r="O933" s="55" t="str">
        <f aca="false">IFERROR(VLOOKUP($A933,RA_result!$B$3:$N$62,7,0),"")</f>
        <v/>
      </c>
      <c r="P933" s="52" t="str">
        <f aca="false">IFERROR(VLOOKUP($A933,RA_result!$B$3:$N$62,9,0),"")</f>
        <v/>
      </c>
      <c r="Q933" s="52" t="str">
        <f aca="false">IFERROR(VLOOKUP($A933,RA_result!$B$3:$N$62,10,0),"")</f>
        <v/>
      </c>
      <c r="R933" s="58" t="s">
        <v>55</v>
      </c>
      <c r="S933" s="59" t="str">
        <f aca="false">IFERROR(VLOOKUP($A933,RA_result!$B$3:$N$62,4,0),"")</f>
        <v/>
      </c>
      <c r="T933" s="60" t="s">
        <v>56</v>
      </c>
      <c r="U933" s="59" t="str">
        <f aca="false">IFERROR(IF(VLOOKUP($A933,RA_result!$B$3:$N$62,6,0)="",S933*T933,VLOOKUP($A933,RA_result!$B$3:$N$62,6,0)),"")</f>
        <v/>
      </c>
      <c r="V933" s="61" t="s">
        <v>56</v>
      </c>
      <c r="W933" s="62" t="n">
        <f aca="false">IFERROR((S933*30%)/V933,0)</f>
        <v>0</v>
      </c>
      <c r="X933" s="63" t="n">
        <f aca="false">IFERROR(N933/W933,0)</f>
        <v>0</v>
      </c>
      <c r="Y933" s="68"/>
      <c r="Z933" s="57"/>
      <c r="AA933" s="69" t="str">
        <f aca="false">IF(OR(U933="",Y933="",Z933=""),"",IF(AND(U933&gt;Y933,-U933&lt;Z933),"Ok","Not Ok"))</f>
        <v/>
      </c>
      <c r="AB933" s="70"/>
    </row>
    <row r="934" customFormat="false" ht="12.8" hidden="false" customHeight="false" outlineLevel="0" collapsed="false">
      <c r="A934" s="48" t="n">
        <f aca="false">TB_audited!A917</f>
        <v>0</v>
      </c>
      <c r="B934" s="49"/>
      <c r="C934" s="50"/>
      <c r="D934" s="51" t="n">
        <f aca="false">TB_audited!B917</f>
        <v>0</v>
      </c>
      <c r="E934" s="52" t="n">
        <f aca="false">TB_audited!C917</f>
        <v>0</v>
      </c>
      <c r="F934" s="53" t="n">
        <f aca="false">TB_audited!D917</f>
        <v>0</v>
      </c>
      <c r="G934" s="54" t="n">
        <f aca="false">IF($D$8="Interim",TB_audited!G917,TB_audited!E917)</f>
        <v>0</v>
      </c>
      <c r="H934" s="55" t="str">
        <f aca="false">IFERROR(VLOOKUP($A934,RA_result!$B$3:$N$62,11,0),"")</f>
        <v/>
      </c>
      <c r="I934" s="55" t="str">
        <f aca="false">IFERROR(VLOOKUP($A934,RA_result!$B$3:$N$62,12,0),"")</f>
        <v/>
      </c>
      <c r="J934" s="55" t="str">
        <f aca="false">IFERROR(VLOOKUP($A934,RA_result!$B$3:$N$62,13,0),"")</f>
        <v/>
      </c>
      <c r="K934" s="56"/>
      <c r="L934" s="56"/>
      <c r="M934" s="57" t="n">
        <f aca="false">G934</f>
        <v>0</v>
      </c>
      <c r="N934" s="54" t="n">
        <f aca="false">G934-M934</f>
        <v>0</v>
      </c>
      <c r="O934" s="55" t="str">
        <f aca="false">IFERROR(VLOOKUP($A934,RA_result!$B$3:$N$62,7,0),"")</f>
        <v/>
      </c>
      <c r="P934" s="52" t="str">
        <f aca="false">IFERROR(VLOOKUP($A934,RA_result!$B$3:$N$62,9,0),"")</f>
        <v/>
      </c>
      <c r="Q934" s="52" t="str">
        <f aca="false">IFERROR(VLOOKUP($A934,RA_result!$B$3:$N$62,10,0),"")</f>
        <v/>
      </c>
      <c r="R934" s="58" t="s">
        <v>55</v>
      </c>
      <c r="S934" s="59" t="str">
        <f aca="false">IFERROR(VLOOKUP($A934,RA_result!$B$3:$N$62,4,0),"")</f>
        <v/>
      </c>
      <c r="T934" s="60" t="s">
        <v>56</v>
      </c>
      <c r="U934" s="59" t="str">
        <f aca="false">IFERROR(IF(VLOOKUP($A934,RA_result!$B$3:$N$62,6,0)="",S934*T934,VLOOKUP($A934,RA_result!$B$3:$N$62,6,0)),"")</f>
        <v/>
      </c>
      <c r="V934" s="61" t="s">
        <v>56</v>
      </c>
      <c r="W934" s="62" t="n">
        <f aca="false">IFERROR((S934*30%)/V934,0)</f>
        <v>0</v>
      </c>
      <c r="X934" s="63" t="n">
        <f aca="false">IFERROR(N934/W934,0)</f>
        <v>0</v>
      </c>
      <c r="Y934" s="68"/>
      <c r="Z934" s="57"/>
      <c r="AA934" s="69" t="str">
        <f aca="false">IF(OR(U934="",Y934="",Z934=""),"",IF(AND(U934&gt;Y934,-U934&lt;Z934),"Ok","Not Ok"))</f>
        <v/>
      </c>
      <c r="AB934" s="70"/>
    </row>
    <row r="935" customFormat="false" ht="12.8" hidden="false" customHeight="false" outlineLevel="0" collapsed="false">
      <c r="A935" s="48" t="n">
        <f aca="false">TB_audited!A918</f>
        <v>0</v>
      </c>
      <c r="B935" s="49"/>
      <c r="C935" s="50"/>
      <c r="D935" s="51" t="n">
        <f aca="false">TB_audited!B918</f>
        <v>0</v>
      </c>
      <c r="E935" s="52" t="n">
        <f aca="false">TB_audited!C918</f>
        <v>0</v>
      </c>
      <c r="F935" s="53" t="n">
        <f aca="false">TB_audited!D918</f>
        <v>0</v>
      </c>
      <c r="G935" s="54" t="n">
        <f aca="false">IF($D$8="Interim",TB_audited!G918,TB_audited!E918)</f>
        <v>0</v>
      </c>
      <c r="H935" s="55" t="str">
        <f aca="false">IFERROR(VLOOKUP($A935,RA_result!$B$3:$N$62,11,0),"")</f>
        <v/>
      </c>
      <c r="I935" s="55" t="str">
        <f aca="false">IFERROR(VLOOKUP($A935,RA_result!$B$3:$N$62,12,0),"")</f>
        <v/>
      </c>
      <c r="J935" s="55" t="str">
        <f aca="false">IFERROR(VLOOKUP($A935,RA_result!$B$3:$N$62,13,0),"")</f>
        <v/>
      </c>
      <c r="K935" s="56"/>
      <c r="L935" s="56"/>
      <c r="M935" s="57" t="n">
        <f aca="false">G935</f>
        <v>0</v>
      </c>
      <c r="N935" s="54" t="n">
        <f aca="false">G935-M935</f>
        <v>0</v>
      </c>
      <c r="O935" s="55" t="str">
        <f aca="false">IFERROR(VLOOKUP($A935,RA_result!$B$3:$N$62,7,0),"")</f>
        <v/>
      </c>
      <c r="P935" s="52" t="str">
        <f aca="false">IFERROR(VLOOKUP($A935,RA_result!$B$3:$N$62,9,0),"")</f>
        <v/>
      </c>
      <c r="Q935" s="52" t="str">
        <f aca="false">IFERROR(VLOOKUP($A935,RA_result!$B$3:$N$62,10,0),"")</f>
        <v/>
      </c>
      <c r="R935" s="58" t="s">
        <v>55</v>
      </c>
      <c r="S935" s="59" t="str">
        <f aca="false">IFERROR(VLOOKUP($A935,RA_result!$B$3:$N$62,4,0),"")</f>
        <v/>
      </c>
      <c r="T935" s="60" t="s">
        <v>56</v>
      </c>
      <c r="U935" s="59" t="str">
        <f aca="false">IFERROR(IF(VLOOKUP($A935,RA_result!$B$3:$N$62,6,0)="",S935*T935,VLOOKUP($A935,RA_result!$B$3:$N$62,6,0)),"")</f>
        <v/>
      </c>
      <c r="V935" s="61" t="s">
        <v>56</v>
      </c>
      <c r="W935" s="62" t="n">
        <f aca="false">IFERROR((S935*30%)/V935,0)</f>
        <v>0</v>
      </c>
      <c r="X935" s="63" t="n">
        <f aca="false">IFERROR(N935/W935,0)</f>
        <v>0</v>
      </c>
      <c r="Y935" s="68"/>
      <c r="Z935" s="57"/>
      <c r="AA935" s="69" t="str">
        <f aca="false">IF(OR(U935="",Y935="",Z935=""),"",IF(AND(U935&gt;Y935,-U935&lt;Z935),"Ok","Not Ok"))</f>
        <v/>
      </c>
      <c r="AB935" s="70"/>
    </row>
    <row r="936" customFormat="false" ht="12.8" hidden="false" customHeight="false" outlineLevel="0" collapsed="false">
      <c r="A936" s="48" t="n">
        <f aca="false">TB_audited!A919</f>
        <v>0</v>
      </c>
      <c r="B936" s="49"/>
      <c r="C936" s="50"/>
      <c r="D936" s="51" t="n">
        <f aca="false">TB_audited!B919</f>
        <v>0</v>
      </c>
      <c r="E936" s="52" t="n">
        <f aca="false">TB_audited!C919</f>
        <v>0</v>
      </c>
      <c r="F936" s="53" t="n">
        <f aca="false">TB_audited!D919</f>
        <v>0</v>
      </c>
      <c r="G936" s="54" t="n">
        <f aca="false">IF($D$8="Interim",TB_audited!G919,TB_audited!E919)</f>
        <v>0</v>
      </c>
      <c r="H936" s="55" t="str">
        <f aca="false">IFERROR(VLOOKUP($A936,RA_result!$B$3:$N$62,11,0),"")</f>
        <v/>
      </c>
      <c r="I936" s="55" t="str">
        <f aca="false">IFERROR(VLOOKUP($A936,RA_result!$B$3:$N$62,12,0),"")</f>
        <v/>
      </c>
      <c r="J936" s="55" t="str">
        <f aca="false">IFERROR(VLOOKUP($A936,RA_result!$B$3:$N$62,13,0),"")</f>
        <v/>
      </c>
      <c r="K936" s="56"/>
      <c r="L936" s="56"/>
      <c r="M936" s="57" t="n">
        <f aca="false">G936</f>
        <v>0</v>
      </c>
      <c r="N936" s="54" t="n">
        <f aca="false">G936-M936</f>
        <v>0</v>
      </c>
      <c r="O936" s="55" t="str">
        <f aca="false">IFERROR(VLOOKUP($A936,RA_result!$B$3:$N$62,7,0),"")</f>
        <v/>
      </c>
      <c r="P936" s="52" t="str">
        <f aca="false">IFERROR(VLOOKUP($A936,RA_result!$B$3:$N$62,9,0),"")</f>
        <v/>
      </c>
      <c r="Q936" s="52" t="str">
        <f aca="false">IFERROR(VLOOKUP($A936,RA_result!$B$3:$N$62,10,0),"")</f>
        <v/>
      </c>
      <c r="R936" s="58" t="s">
        <v>55</v>
      </c>
      <c r="S936" s="59" t="str">
        <f aca="false">IFERROR(VLOOKUP($A936,RA_result!$B$3:$N$62,4,0),"")</f>
        <v/>
      </c>
      <c r="T936" s="60" t="s">
        <v>56</v>
      </c>
      <c r="U936" s="59" t="str">
        <f aca="false">IFERROR(IF(VLOOKUP($A936,RA_result!$B$3:$N$62,6,0)="",S936*T936,VLOOKUP($A936,RA_result!$B$3:$N$62,6,0)),"")</f>
        <v/>
      </c>
      <c r="V936" s="61" t="s">
        <v>56</v>
      </c>
      <c r="W936" s="62" t="n">
        <f aca="false">IFERROR((S936*30%)/V936,0)</f>
        <v>0</v>
      </c>
      <c r="X936" s="63" t="n">
        <f aca="false">IFERROR(N936/W936,0)</f>
        <v>0</v>
      </c>
      <c r="Y936" s="68"/>
      <c r="Z936" s="57"/>
      <c r="AA936" s="69" t="str">
        <f aca="false">IF(OR(U936="",Y936="",Z936=""),"",IF(AND(U936&gt;Y936,-U936&lt;Z936),"Ok","Not Ok"))</f>
        <v/>
      </c>
      <c r="AB936" s="70"/>
    </row>
    <row r="937" customFormat="false" ht="12.8" hidden="false" customHeight="false" outlineLevel="0" collapsed="false">
      <c r="A937" s="48" t="n">
        <f aca="false">TB_audited!A920</f>
        <v>0</v>
      </c>
      <c r="B937" s="49"/>
      <c r="C937" s="50"/>
      <c r="D937" s="51" t="n">
        <f aca="false">TB_audited!B920</f>
        <v>0</v>
      </c>
      <c r="E937" s="52" t="n">
        <f aca="false">TB_audited!C920</f>
        <v>0</v>
      </c>
      <c r="F937" s="53" t="n">
        <f aca="false">TB_audited!D920</f>
        <v>0</v>
      </c>
      <c r="G937" s="54" t="n">
        <f aca="false">IF($D$8="Interim",TB_audited!G920,TB_audited!E920)</f>
        <v>0</v>
      </c>
      <c r="H937" s="55" t="str">
        <f aca="false">IFERROR(VLOOKUP($A937,RA_result!$B$3:$N$62,11,0),"")</f>
        <v/>
      </c>
      <c r="I937" s="55" t="str">
        <f aca="false">IFERROR(VLOOKUP($A937,RA_result!$B$3:$N$62,12,0),"")</f>
        <v/>
      </c>
      <c r="J937" s="55" t="str">
        <f aca="false">IFERROR(VLOOKUP($A937,RA_result!$B$3:$N$62,13,0),"")</f>
        <v/>
      </c>
      <c r="K937" s="56"/>
      <c r="L937" s="56"/>
      <c r="M937" s="57" t="n">
        <f aca="false">G937</f>
        <v>0</v>
      </c>
      <c r="N937" s="54" t="n">
        <f aca="false">G937-M937</f>
        <v>0</v>
      </c>
      <c r="O937" s="55" t="str">
        <f aca="false">IFERROR(VLOOKUP($A937,RA_result!$B$3:$N$62,7,0),"")</f>
        <v/>
      </c>
      <c r="P937" s="52" t="str">
        <f aca="false">IFERROR(VLOOKUP($A937,RA_result!$B$3:$N$62,9,0),"")</f>
        <v/>
      </c>
      <c r="Q937" s="52" t="str">
        <f aca="false">IFERROR(VLOOKUP($A937,RA_result!$B$3:$N$62,10,0),"")</f>
        <v/>
      </c>
      <c r="R937" s="58" t="s">
        <v>55</v>
      </c>
      <c r="S937" s="59" t="str">
        <f aca="false">IFERROR(VLOOKUP($A937,RA_result!$B$3:$N$62,4,0),"")</f>
        <v/>
      </c>
      <c r="T937" s="60" t="s">
        <v>56</v>
      </c>
      <c r="U937" s="59" t="str">
        <f aca="false">IFERROR(IF(VLOOKUP($A937,RA_result!$B$3:$N$62,6,0)="",S937*T937,VLOOKUP($A937,RA_result!$B$3:$N$62,6,0)),"")</f>
        <v/>
      </c>
      <c r="V937" s="61" t="s">
        <v>56</v>
      </c>
      <c r="W937" s="62" t="n">
        <f aca="false">IFERROR((S937*30%)/V937,0)</f>
        <v>0</v>
      </c>
      <c r="X937" s="63" t="n">
        <f aca="false">IFERROR(N937/W937,0)</f>
        <v>0</v>
      </c>
      <c r="Y937" s="68"/>
      <c r="Z937" s="57"/>
      <c r="AA937" s="69" t="str">
        <f aca="false">IF(OR(U937="",Y937="",Z937=""),"",IF(AND(U937&gt;Y937,-U937&lt;Z937),"Ok","Not Ok"))</f>
        <v/>
      </c>
      <c r="AB937" s="70"/>
    </row>
    <row r="938" customFormat="false" ht="12.8" hidden="false" customHeight="false" outlineLevel="0" collapsed="false">
      <c r="A938" s="48" t="n">
        <f aca="false">TB_audited!A921</f>
        <v>0</v>
      </c>
      <c r="B938" s="49"/>
      <c r="C938" s="50"/>
      <c r="D938" s="51" t="n">
        <f aca="false">TB_audited!B921</f>
        <v>0</v>
      </c>
      <c r="E938" s="52" t="n">
        <f aca="false">TB_audited!C921</f>
        <v>0</v>
      </c>
      <c r="F938" s="53" t="n">
        <f aca="false">TB_audited!D921</f>
        <v>0</v>
      </c>
      <c r="G938" s="54" t="n">
        <f aca="false">IF($D$8="Interim",TB_audited!G921,TB_audited!E921)</f>
        <v>0</v>
      </c>
      <c r="H938" s="55" t="str">
        <f aca="false">IFERROR(VLOOKUP($A938,RA_result!$B$3:$N$62,11,0),"")</f>
        <v/>
      </c>
      <c r="I938" s="55" t="str">
        <f aca="false">IFERROR(VLOOKUP($A938,RA_result!$B$3:$N$62,12,0),"")</f>
        <v/>
      </c>
      <c r="J938" s="55" t="str">
        <f aca="false">IFERROR(VLOOKUP($A938,RA_result!$B$3:$N$62,13,0),"")</f>
        <v/>
      </c>
      <c r="K938" s="56"/>
      <c r="L938" s="56"/>
      <c r="M938" s="57" t="n">
        <f aca="false">G938</f>
        <v>0</v>
      </c>
      <c r="N938" s="54" t="n">
        <f aca="false">G938-M938</f>
        <v>0</v>
      </c>
      <c r="O938" s="55" t="str">
        <f aca="false">IFERROR(VLOOKUP($A938,RA_result!$B$3:$N$62,7,0),"")</f>
        <v/>
      </c>
      <c r="P938" s="52" t="str">
        <f aca="false">IFERROR(VLOOKUP($A938,RA_result!$B$3:$N$62,9,0),"")</f>
        <v/>
      </c>
      <c r="Q938" s="52" t="str">
        <f aca="false">IFERROR(VLOOKUP($A938,RA_result!$B$3:$N$62,10,0),"")</f>
        <v/>
      </c>
      <c r="R938" s="58" t="s">
        <v>55</v>
      </c>
      <c r="S938" s="59" t="str">
        <f aca="false">IFERROR(VLOOKUP($A938,RA_result!$B$3:$N$62,4,0),"")</f>
        <v/>
      </c>
      <c r="T938" s="60" t="s">
        <v>56</v>
      </c>
      <c r="U938" s="59" t="str">
        <f aca="false">IFERROR(IF(VLOOKUP($A938,RA_result!$B$3:$N$62,6,0)="",S938*T938,VLOOKUP($A938,RA_result!$B$3:$N$62,6,0)),"")</f>
        <v/>
      </c>
      <c r="V938" s="61" t="s">
        <v>56</v>
      </c>
      <c r="W938" s="62" t="n">
        <f aca="false">IFERROR((S938*30%)/V938,0)</f>
        <v>0</v>
      </c>
      <c r="X938" s="63" t="n">
        <f aca="false">IFERROR(N938/W938,0)</f>
        <v>0</v>
      </c>
      <c r="Y938" s="68"/>
      <c r="Z938" s="57"/>
      <c r="AA938" s="69" t="str">
        <f aca="false">IF(OR(U938="",Y938="",Z938=""),"",IF(AND(U938&gt;Y938,-U938&lt;Z938),"Ok","Not Ok"))</f>
        <v/>
      </c>
      <c r="AB938" s="70"/>
    </row>
    <row r="939" customFormat="false" ht="12.8" hidden="false" customHeight="false" outlineLevel="0" collapsed="false">
      <c r="A939" s="48" t="n">
        <f aca="false">TB_audited!A922</f>
        <v>0</v>
      </c>
      <c r="B939" s="49"/>
      <c r="C939" s="50"/>
      <c r="D939" s="51" t="n">
        <f aca="false">TB_audited!B922</f>
        <v>0</v>
      </c>
      <c r="E939" s="52" t="n">
        <f aca="false">TB_audited!C922</f>
        <v>0</v>
      </c>
      <c r="F939" s="53" t="n">
        <f aca="false">TB_audited!D922</f>
        <v>0</v>
      </c>
      <c r="G939" s="54" t="n">
        <f aca="false">IF($D$8="Interim",TB_audited!G922,TB_audited!E922)</f>
        <v>0</v>
      </c>
      <c r="H939" s="55" t="str">
        <f aca="false">IFERROR(VLOOKUP($A939,RA_result!$B$3:$N$62,11,0),"")</f>
        <v/>
      </c>
      <c r="I939" s="55" t="str">
        <f aca="false">IFERROR(VLOOKUP($A939,RA_result!$B$3:$N$62,12,0),"")</f>
        <v/>
      </c>
      <c r="J939" s="55" t="str">
        <f aca="false">IFERROR(VLOOKUP($A939,RA_result!$B$3:$N$62,13,0),"")</f>
        <v/>
      </c>
      <c r="K939" s="56"/>
      <c r="L939" s="56"/>
      <c r="M939" s="57" t="n">
        <f aca="false">G939</f>
        <v>0</v>
      </c>
      <c r="N939" s="54" t="n">
        <f aca="false">G939-M939</f>
        <v>0</v>
      </c>
      <c r="O939" s="55" t="str">
        <f aca="false">IFERROR(VLOOKUP($A939,RA_result!$B$3:$N$62,7,0),"")</f>
        <v/>
      </c>
      <c r="P939" s="52" t="str">
        <f aca="false">IFERROR(VLOOKUP($A939,RA_result!$B$3:$N$62,9,0),"")</f>
        <v/>
      </c>
      <c r="Q939" s="52" t="str">
        <f aca="false">IFERROR(VLOOKUP($A939,RA_result!$B$3:$N$62,10,0),"")</f>
        <v/>
      </c>
      <c r="R939" s="58" t="s">
        <v>55</v>
      </c>
      <c r="S939" s="59" t="str">
        <f aca="false">IFERROR(VLOOKUP($A939,RA_result!$B$3:$N$62,4,0),"")</f>
        <v/>
      </c>
      <c r="T939" s="60" t="s">
        <v>56</v>
      </c>
      <c r="U939" s="59" t="str">
        <f aca="false">IFERROR(IF(VLOOKUP($A939,RA_result!$B$3:$N$62,6,0)="",S939*T939,VLOOKUP($A939,RA_result!$B$3:$N$62,6,0)),"")</f>
        <v/>
      </c>
      <c r="V939" s="61" t="s">
        <v>56</v>
      </c>
      <c r="W939" s="62" t="n">
        <f aca="false">IFERROR((S939*30%)/V939,0)</f>
        <v>0</v>
      </c>
      <c r="X939" s="63" t="n">
        <f aca="false">IFERROR(N939/W939,0)</f>
        <v>0</v>
      </c>
      <c r="Y939" s="68"/>
      <c r="Z939" s="57"/>
      <c r="AA939" s="69" t="str">
        <f aca="false">IF(OR(U939="",Y939="",Z939=""),"",IF(AND(U939&gt;Y939,-U939&lt;Z939),"Ok","Not Ok"))</f>
        <v/>
      </c>
      <c r="AB939" s="70"/>
    </row>
    <row r="940" customFormat="false" ht="12.8" hidden="false" customHeight="false" outlineLevel="0" collapsed="false">
      <c r="A940" s="48" t="n">
        <f aca="false">TB_audited!A923</f>
        <v>0</v>
      </c>
      <c r="B940" s="49"/>
      <c r="C940" s="50"/>
      <c r="D940" s="51" t="n">
        <f aca="false">TB_audited!B923</f>
        <v>0</v>
      </c>
      <c r="E940" s="52" t="n">
        <f aca="false">TB_audited!C923</f>
        <v>0</v>
      </c>
      <c r="F940" s="53" t="n">
        <f aca="false">TB_audited!D923</f>
        <v>0</v>
      </c>
      <c r="G940" s="54" t="n">
        <f aca="false">IF($D$8="Interim",TB_audited!G923,TB_audited!E923)</f>
        <v>0</v>
      </c>
      <c r="H940" s="55" t="str">
        <f aca="false">IFERROR(VLOOKUP($A940,RA_result!$B$3:$N$62,11,0),"")</f>
        <v/>
      </c>
      <c r="I940" s="55" t="str">
        <f aca="false">IFERROR(VLOOKUP($A940,RA_result!$B$3:$N$62,12,0),"")</f>
        <v/>
      </c>
      <c r="J940" s="55" t="str">
        <f aca="false">IFERROR(VLOOKUP($A940,RA_result!$B$3:$N$62,13,0),"")</f>
        <v/>
      </c>
      <c r="K940" s="56"/>
      <c r="L940" s="56"/>
      <c r="M940" s="57" t="n">
        <f aca="false">G940</f>
        <v>0</v>
      </c>
      <c r="N940" s="54" t="n">
        <f aca="false">G940-M940</f>
        <v>0</v>
      </c>
      <c r="O940" s="55" t="str">
        <f aca="false">IFERROR(VLOOKUP($A940,RA_result!$B$3:$N$62,7,0),"")</f>
        <v/>
      </c>
      <c r="P940" s="52" t="str">
        <f aca="false">IFERROR(VLOOKUP($A940,RA_result!$B$3:$N$62,9,0),"")</f>
        <v/>
      </c>
      <c r="Q940" s="52" t="str">
        <f aca="false">IFERROR(VLOOKUP($A940,RA_result!$B$3:$N$62,10,0),"")</f>
        <v/>
      </c>
      <c r="R940" s="58" t="s">
        <v>55</v>
      </c>
      <c r="S940" s="59" t="str">
        <f aca="false">IFERROR(VLOOKUP($A940,RA_result!$B$3:$N$62,4,0),"")</f>
        <v/>
      </c>
      <c r="T940" s="60" t="s">
        <v>56</v>
      </c>
      <c r="U940" s="59" t="str">
        <f aca="false">IFERROR(IF(VLOOKUP($A940,RA_result!$B$3:$N$62,6,0)="",S940*T940,VLOOKUP($A940,RA_result!$B$3:$N$62,6,0)),"")</f>
        <v/>
      </c>
      <c r="V940" s="61" t="s">
        <v>56</v>
      </c>
      <c r="W940" s="62" t="n">
        <f aca="false">IFERROR((S940*30%)/V940,0)</f>
        <v>0</v>
      </c>
      <c r="X940" s="63" t="n">
        <f aca="false">IFERROR(N940/W940,0)</f>
        <v>0</v>
      </c>
      <c r="Y940" s="68"/>
      <c r="Z940" s="57"/>
      <c r="AA940" s="69" t="str">
        <f aca="false">IF(OR(U940="",Y940="",Z940=""),"",IF(AND(U940&gt;Y940,-U940&lt;Z940),"Ok","Not Ok"))</f>
        <v/>
      </c>
      <c r="AB940" s="70"/>
    </row>
    <row r="941" customFormat="false" ht="12.8" hidden="false" customHeight="false" outlineLevel="0" collapsed="false">
      <c r="A941" s="48" t="n">
        <f aca="false">TB_audited!A924</f>
        <v>0</v>
      </c>
      <c r="B941" s="49"/>
      <c r="C941" s="50"/>
      <c r="D941" s="51" t="n">
        <f aca="false">TB_audited!B924</f>
        <v>0</v>
      </c>
      <c r="E941" s="52" t="n">
        <f aca="false">TB_audited!C924</f>
        <v>0</v>
      </c>
      <c r="F941" s="53" t="n">
        <f aca="false">TB_audited!D924</f>
        <v>0</v>
      </c>
      <c r="G941" s="54" t="n">
        <f aca="false">IF($D$8="Interim",TB_audited!G924,TB_audited!E924)</f>
        <v>0</v>
      </c>
      <c r="H941" s="55" t="str">
        <f aca="false">IFERROR(VLOOKUP($A941,RA_result!$B$3:$N$62,11,0),"")</f>
        <v/>
      </c>
      <c r="I941" s="55" t="str">
        <f aca="false">IFERROR(VLOOKUP($A941,RA_result!$B$3:$N$62,12,0),"")</f>
        <v/>
      </c>
      <c r="J941" s="55" t="str">
        <f aca="false">IFERROR(VLOOKUP($A941,RA_result!$B$3:$N$62,13,0),"")</f>
        <v/>
      </c>
      <c r="K941" s="56"/>
      <c r="L941" s="56"/>
      <c r="M941" s="57" t="n">
        <f aca="false">G941</f>
        <v>0</v>
      </c>
      <c r="N941" s="54" t="n">
        <f aca="false">G941-M941</f>
        <v>0</v>
      </c>
      <c r="O941" s="55" t="str">
        <f aca="false">IFERROR(VLOOKUP($A941,RA_result!$B$3:$N$62,7,0),"")</f>
        <v/>
      </c>
      <c r="P941" s="52" t="str">
        <f aca="false">IFERROR(VLOOKUP($A941,RA_result!$B$3:$N$62,9,0),"")</f>
        <v/>
      </c>
      <c r="Q941" s="52" t="str">
        <f aca="false">IFERROR(VLOOKUP($A941,RA_result!$B$3:$N$62,10,0),"")</f>
        <v/>
      </c>
      <c r="R941" s="58" t="s">
        <v>55</v>
      </c>
      <c r="S941" s="59" t="str">
        <f aca="false">IFERROR(VLOOKUP($A941,RA_result!$B$3:$N$62,4,0),"")</f>
        <v/>
      </c>
      <c r="T941" s="60" t="s">
        <v>56</v>
      </c>
      <c r="U941" s="59" t="str">
        <f aca="false">IFERROR(IF(VLOOKUP($A941,RA_result!$B$3:$N$62,6,0)="",S941*T941,VLOOKUP($A941,RA_result!$B$3:$N$62,6,0)),"")</f>
        <v/>
      </c>
      <c r="V941" s="61" t="s">
        <v>56</v>
      </c>
      <c r="W941" s="62" t="n">
        <f aca="false">IFERROR((S941*30%)/V941,0)</f>
        <v>0</v>
      </c>
      <c r="X941" s="63" t="n">
        <f aca="false">IFERROR(N941/W941,0)</f>
        <v>0</v>
      </c>
      <c r="Y941" s="68"/>
      <c r="Z941" s="57"/>
      <c r="AA941" s="69" t="str">
        <f aca="false">IF(OR(U941="",Y941="",Z941=""),"",IF(AND(U941&gt;Y941,-U941&lt;Z941),"Ok","Not Ok"))</f>
        <v/>
      </c>
      <c r="AB941" s="70"/>
    </row>
    <row r="942" customFormat="false" ht="12.8" hidden="false" customHeight="false" outlineLevel="0" collapsed="false">
      <c r="A942" s="48" t="n">
        <f aca="false">TB_audited!A925</f>
        <v>0</v>
      </c>
      <c r="B942" s="49"/>
      <c r="C942" s="50"/>
      <c r="D942" s="51" t="n">
        <f aca="false">TB_audited!B925</f>
        <v>0</v>
      </c>
      <c r="E942" s="52" t="n">
        <f aca="false">TB_audited!C925</f>
        <v>0</v>
      </c>
      <c r="F942" s="53" t="n">
        <f aca="false">TB_audited!D925</f>
        <v>0</v>
      </c>
      <c r="G942" s="54" t="n">
        <f aca="false">IF($D$8="Interim",TB_audited!G925,TB_audited!E925)</f>
        <v>0</v>
      </c>
      <c r="H942" s="55" t="str">
        <f aca="false">IFERROR(VLOOKUP($A942,RA_result!$B$3:$N$62,11,0),"")</f>
        <v/>
      </c>
      <c r="I942" s="55" t="str">
        <f aca="false">IFERROR(VLOOKUP($A942,RA_result!$B$3:$N$62,12,0),"")</f>
        <v/>
      </c>
      <c r="J942" s="55" t="str">
        <f aca="false">IFERROR(VLOOKUP($A942,RA_result!$B$3:$N$62,13,0),"")</f>
        <v/>
      </c>
      <c r="K942" s="56"/>
      <c r="L942" s="56"/>
      <c r="M942" s="57" t="n">
        <f aca="false">G942</f>
        <v>0</v>
      </c>
      <c r="N942" s="54" t="n">
        <f aca="false">G942-M942</f>
        <v>0</v>
      </c>
      <c r="O942" s="55" t="str">
        <f aca="false">IFERROR(VLOOKUP($A942,RA_result!$B$3:$N$62,7,0),"")</f>
        <v/>
      </c>
      <c r="P942" s="52" t="str">
        <f aca="false">IFERROR(VLOOKUP($A942,RA_result!$B$3:$N$62,9,0),"")</f>
        <v/>
      </c>
      <c r="Q942" s="52" t="str">
        <f aca="false">IFERROR(VLOOKUP($A942,RA_result!$B$3:$N$62,10,0),"")</f>
        <v/>
      </c>
      <c r="R942" s="58" t="s">
        <v>55</v>
      </c>
      <c r="S942" s="59" t="str">
        <f aca="false">IFERROR(VLOOKUP($A942,RA_result!$B$3:$N$62,4,0),"")</f>
        <v/>
      </c>
      <c r="T942" s="60" t="s">
        <v>56</v>
      </c>
      <c r="U942" s="59" t="str">
        <f aca="false">IFERROR(IF(VLOOKUP($A942,RA_result!$B$3:$N$62,6,0)="",S942*T942,VLOOKUP($A942,RA_result!$B$3:$N$62,6,0)),"")</f>
        <v/>
      </c>
      <c r="V942" s="61" t="s">
        <v>56</v>
      </c>
      <c r="W942" s="62" t="n">
        <f aca="false">IFERROR((S942*30%)/V942,0)</f>
        <v>0</v>
      </c>
      <c r="X942" s="63" t="n">
        <f aca="false">IFERROR(N942/W942,0)</f>
        <v>0</v>
      </c>
      <c r="Y942" s="68"/>
      <c r="Z942" s="57"/>
      <c r="AA942" s="69" t="str">
        <f aca="false">IF(OR(U942="",Y942="",Z942=""),"",IF(AND(U942&gt;Y942,-U942&lt;Z942),"Ok","Not Ok"))</f>
        <v/>
      </c>
      <c r="AB942" s="70"/>
    </row>
    <row r="943" customFormat="false" ht="12.8" hidden="false" customHeight="false" outlineLevel="0" collapsed="false">
      <c r="A943" s="48" t="n">
        <f aca="false">TB_audited!A926</f>
        <v>0</v>
      </c>
      <c r="B943" s="49"/>
      <c r="C943" s="50"/>
      <c r="D943" s="51" t="n">
        <f aca="false">TB_audited!B926</f>
        <v>0</v>
      </c>
      <c r="E943" s="52" t="n">
        <f aca="false">TB_audited!C926</f>
        <v>0</v>
      </c>
      <c r="F943" s="53" t="n">
        <f aca="false">TB_audited!D926</f>
        <v>0</v>
      </c>
      <c r="G943" s="54" t="n">
        <f aca="false">IF($D$8="Interim",TB_audited!G926,TB_audited!E926)</f>
        <v>0</v>
      </c>
      <c r="H943" s="55" t="str">
        <f aca="false">IFERROR(VLOOKUP($A943,RA_result!$B$3:$N$62,11,0),"")</f>
        <v/>
      </c>
      <c r="I943" s="55" t="str">
        <f aca="false">IFERROR(VLOOKUP($A943,RA_result!$B$3:$N$62,12,0),"")</f>
        <v/>
      </c>
      <c r="J943" s="55" t="str">
        <f aca="false">IFERROR(VLOOKUP($A943,RA_result!$B$3:$N$62,13,0),"")</f>
        <v/>
      </c>
      <c r="K943" s="56"/>
      <c r="L943" s="56"/>
      <c r="M943" s="57" t="n">
        <f aca="false">G943</f>
        <v>0</v>
      </c>
      <c r="N943" s="54" t="n">
        <f aca="false">G943-M943</f>
        <v>0</v>
      </c>
      <c r="O943" s="55" t="str">
        <f aca="false">IFERROR(VLOOKUP($A943,RA_result!$B$3:$N$62,7,0),"")</f>
        <v/>
      </c>
      <c r="P943" s="52" t="str">
        <f aca="false">IFERROR(VLOOKUP($A943,RA_result!$B$3:$N$62,9,0),"")</f>
        <v/>
      </c>
      <c r="Q943" s="52" t="str">
        <f aca="false">IFERROR(VLOOKUP($A943,RA_result!$B$3:$N$62,10,0),"")</f>
        <v/>
      </c>
      <c r="R943" s="58" t="s">
        <v>55</v>
      </c>
      <c r="S943" s="59" t="str">
        <f aca="false">IFERROR(VLOOKUP($A943,RA_result!$B$3:$N$62,4,0),"")</f>
        <v/>
      </c>
      <c r="T943" s="60" t="s">
        <v>56</v>
      </c>
      <c r="U943" s="59" t="str">
        <f aca="false">IFERROR(IF(VLOOKUP($A943,RA_result!$B$3:$N$62,6,0)="",S943*T943,VLOOKUP($A943,RA_result!$B$3:$N$62,6,0)),"")</f>
        <v/>
      </c>
      <c r="V943" s="61" t="s">
        <v>56</v>
      </c>
      <c r="W943" s="62" t="n">
        <f aca="false">IFERROR((S943*30%)/V943,0)</f>
        <v>0</v>
      </c>
      <c r="X943" s="63" t="n">
        <f aca="false">IFERROR(N943/W943,0)</f>
        <v>0</v>
      </c>
      <c r="Y943" s="68"/>
      <c r="Z943" s="57"/>
      <c r="AA943" s="69" t="str">
        <f aca="false">IF(OR(U943="",Y943="",Z943=""),"",IF(AND(U943&gt;Y943,-U943&lt;Z943),"Ok","Not Ok"))</f>
        <v/>
      </c>
      <c r="AB943" s="70"/>
    </row>
    <row r="944" customFormat="false" ht="12.8" hidden="false" customHeight="false" outlineLevel="0" collapsed="false">
      <c r="A944" s="48" t="n">
        <f aca="false">TB_audited!A927</f>
        <v>0</v>
      </c>
      <c r="B944" s="49"/>
      <c r="C944" s="50"/>
      <c r="D944" s="51" t="n">
        <f aca="false">TB_audited!B927</f>
        <v>0</v>
      </c>
      <c r="E944" s="52" t="n">
        <f aca="false">TB_audited!C927</f>
        <v>0</v>
      </c>
      <c r="F944" s="53" t="n">
        <f aca="false">TB_audited!D927</f>
        <v>0</v>
      </c>
      <c r="G944" s="54" t="n">
        <f aca="false">IF($D$8="Interim",TB_audited!G927,TB_audited!E927)</f>
        <v>0</v>
      </c>
      <c r="H944" s="55" t="str">
        <f aca="false">IFERROR(VLOOKUP($A944,RA_result!$B$3:$N$62,11,0),"")</f>
        <v/>
      </c>
      <c r="I944" s="55" t="str">
        <f aca="false">IFERROR(VLOOKUP($A944,RA_result!$B$3:$N$62,12,0),"")</f>
        <v/>
      </c>
      <c r="J944" s="55" t="str">
        <f aca="false">IFERROR(VLOOKUP($A944,RA_result!$B$3:$N$62,13,0),"")</f>
        <v/>
      </c>
      <c r="K944" s="56"/>
      <c r="L944" s="56"/>
      <c r="M944" s="57" t="n">
        <f aca="false">G944</f>
        <v>0</v>
      </c>
      <c r="N944" s="54" t="n">
        <f aca="false">G944-M944</f>
        <v>0</v>
      </c>
      <c r="O944" s="55" t="str">
        <f aca="false">IFERROR(VLOOKUP($A944,RA_result!$B$3:$N$62,7,0),"")</f>
        <v/>
      </c>
      <c r="P944" s="52" t="str">
        <f aca="false">IFERROR(VLOOKUP($A944,RA_result!$B$3:$N$62,9,0),"")</f>
        <v/>
      </c>
      <c r="Q944" s="52" t="str">
        <f aca="false">IFERROR(VLOOKUP($A944,RA_result!$B$3:$N$62,10,0),"")</f>
        <v/>
      </c>
      <c r="R944" s="58" t="s">
        <v>55</v>
      </c>
      <c r="S944" s="59" t="str">
        <f aca="false">IFERROR(VLOOKUP($A944,RA_result!$B$3:$N$62,4,0),"")</f>
        <v/>
      </c>
      <c r="T944" s="60" t="s">
        <v>56</v>
      </c>
      <c r="U944" s="59" t="str">
        <f aca="false">IFERROR(IF(VLOOKUP($A944,RA_result!$B$3:$N$62,6,0)="",S944*T944,VLOOKUP($A944,RA_result!$B$3:$N$62,6,0)),"")</f>
        <v/>
      </c>
      <c r="V944" s="61" t="s">
        <v>56</v>
      </c>
      <c r="W944" s="62" t="n">
        <f aca="false">IFERROR((S944*30%)/V944,0)</f>
        <v>0</v>
      </c>
      <c r="X944" s="63" t="n">
        <f aca="false">IFERROR(N944/W944,0)</f>
        <v>0</v>
      </c>
      <c r="Y944" s="68"/>
      <c r="Z944" s="57"/>
      <c r="AA944" s="69" t="str">
        <f aca="false">IF(OR(U944="",Y944="",Z944=""),"",IF(AND(U944&gt;Y944,-U944&lt;Z944),"Ok","Not Ok"))</f>
        <v/>
      </c>
      <c r="AB944" s="70"/>
    </row>
    <row r="945" customFormat="false" ht="12.8" hidden="false" customHeight="false" outlineLevel="0" collapsed="false">
      <c r="A945" s="48" t="n">
        <f aca="false">TB_audited!A928</f>
        <v>0</v>
      </c>
      <c r="B945" s="49"/>
      <c r="C945" s="50"/>
      <c r="D945" s="51" t="n">
        <f aca="false">TB_audited!B928</f>
        <v>0</v>
      </c>
      <c r="E945" s="52" t="n">
        <f aca="false">TB_audited!C928</f>
        <v>0</v>
      </c>
      <c r="F945" s="53" t="n">
        <f aca="false">TB_audited!D928</f>
        <v>0</v>
      </c>
      <c r="G945" s="54" t="n">
        <f aca="false">IF($D$8="Interim",TB_audited!G928,TB_audited!E928)</f>
        <v>0</v>
      </c>
      <c r="H945" s="55" t="str">
        <f aca="false">IFERROR(VLOOKUP($A945,RA_result!$B$3:$N$62,11,0),"")</f>
        <v/>
      </c>
      <c r="I945" s="55" t="str">
        <f aca="false">IFERROR(VLOOKUP($A945,RA_result!$B$3:$N$62,12,0),"")</f>
        <v/>
      </c>
      <c r="J945" s="55" t="str">
        <f aca="false">IFERROR(VLOOKUP($A945,RA_result!$B$3:$N$62,13,0),"")</f>
        <v/>
      </c>
      <c r="K945" s="56"/>
      <c r="L945" s="56"/>
      <c r="M945" s="57" t="n">
        <f aca="false">G945</f>
        <v>0</v>
      </c>
      <c r="N945" s="54" t="n">
        <f aca="false">G945-M945</f>
        <v>0</v>
      </c>
      <c r="O945" s="55" t="str">
        <f aca="false">IFERROR(VLOOKUP($A945,RA_result!$B$3:$N$62,7,0),"")</f>
        <v/>
      </c>
      <c r="P945" s="52" t="str">
        <f aca="false">IFERROR(VLOOKUP($A945,RA_result!$B$3:$N$62,9,0),"")</f>
        <v/>
      </c>
      <c r="Q945" s="52" t="str">
        <f aca="false">IFERROR(VLOOKUP($A945,RA_result!$B$3:$N$62,10,0),"")</f>
        <v/>
      </c>
      <c r="R945" s="58" t="s">
        <v>55</v>
      </c>
      <c r="S945" s="59" t="str">
        <f aca="false">IFERROR(VLOOKUP($A945,RA_result!$B$3:$N$62,4,0),"")</f>
        <v/>
      </c>
      <c r="T945" s="60" t="s">
        <v>56</v>
      </c>
      <c r="U945" s="59" t="str">
        <f aca="false">IFERROR(IF(VLOOKUP($A945,RA_result!$B$3:$N$62,6,0)="",S945*T945,VLOOKUP($A945,RA_result!$B$3:$N$62,6,0)),"")</f>
        <v/>
      </c>
      <c r="V945" s="61" t="s">
        <v>56</v>
      </c>
      <c r="W945" s="62" t="n">
        <f aca="false">IFERROR((S945*30%)/V945,0)</f>
        <v>0</v>
      </c>
      <c r="X945" s="63" t="n">
        <f aca="false">IFERROR(N945/W945,0)</f>
        <v>0</v>
      </c>
      <c r="Y945" s="68"/>
      <c r="Z945" s="57"/>
      <c r="AA945" s="69" t="str">
        <f aca="false">IF(OR(U945="",Y945="",Z945=""),"",IF(AND(U945&gt;Y945,-U945&lt;Z945),"Ok","Not Ok"))</f>
        <v/>
      </c>
      <c r="AB945" s="70"/>
    </row>
    <row r="946" customFormat="false" ht="12.8" hidden="false" customHeight="false" outlineLevel="0" collapsed="false">
      <c r="A946" s="48" t="n">
        <f aca="false">TB_audited!A929</f>
        <v>0</v>
      </c>
      <c r="B946" s="49"/>
      <c r="C946" s="50"/>
      <c r="D946" s="51" t="n">
        <f aca="false">TB_audited!B929</f>
        <v>0</v>
      </c>
      <c r="E946" s="52" t="n">
        <f aca="false">TB_audited!C929</f>
        <v>0</v>
      </c>
      <c r="F946" s="53" t="n">
        <f aca="false">TB_audited!D929</f>
        <v>0</v>
      </c>
      <c r="G946" s="54" t="n">
        <f aca="false">IF($D$8="Interim",TB_audited!G929,TB_audited!E929)</f>
        <v>0</v>
      </c>
      <c r="H946" s="55" t="str">
        <f aca="false">IFERROR(VLOOKUP($A946,RA_result!$B$3:$N$62,11,0),"")</f>
        <v/>
      </c>
      <c r="I946" s="55" t="str">
        <f aca="false">IFERROR(VLOOKUP($A946,RA_result!$B$3:$N$62,12,0),"")</f>
        <v/>
      </c>
      <c r="J946" s="55" t="str">
        <f aca="false">IFERROR(VLOOKUP($A946,RA_result!$B$3:$N$62,13,0),"")</f>
        <v/>
      </c>
      <c r="K946" s="56"/>
      <c r="L946" s="56"/>
      <c r="M946" s="57" t="n">
        <f aca="false">G946</f>
        <v>0</v>
      </c>
      <c r="N946" s="54" t="n">
        <f aca="false">G946-M946</f>
        <v>0</v>
      </c>
      <c r="O946" s="55" t="str">
        <f aca="false">IFERROR(VLOOKUP($A946,RA_result!$B$3:$N$62,7,0),"")</f>
        <v/>
      </c>
      <c r="P946" s="52" t="str">
        <f aca="false">IFERROR(VLOOKUP($A946,RA_result!$B$3:$N$62,9,0),"")</f>
        <v/>
      </c>
      <c r="Q946" s="52" t="str">
        <f aca="false">IFERROR(VLOOKUP($A946,RA_result!$B$3:$N$62,10,0),"")</f>
        <v/>
      </c>
      <c r="R946" s="58" t="s">
        <v>55</v>
      </c>
      <c r="S946" s="59" t="str">
        <f aca="false">IFERROR(VLOOKUP($A946,RA_result!$B$3:$N$62,4,0),"")</f>
        <v/>
      </c>
      <c r="T946" s="60" t="s">
        <v>56</v>
      </c>
      <c r="U946" s="59" t="str">
        <f aca="false">IFERROR(IF(VLOOKUP($A946,RA_result!$B$3:$N$62,6,0)="",S946*T946,VLOOKUP($A946,RA_result!$B$3:$N$62,6,0)),"")</f>
        <v/>
      </c>
      <c r="V946" s="61" t="s">
        <v>56</v>
      </c>
      <c r="W946" s="62" t="n">
        <f aca="false">IFERROR((S946*30%)/V946,0)</f>
        <v>0</v>
      </c>
      <c r="X946" s="63" t="n">
        <f aca="false">IFERROR(N946/W946,0)</f>
        <v>0</v>
      </c>
      <c r="Y946" s="68"/>
      <c r="Z946" s="57"/>
      <c r="AA946" s="69" t="str">
        <f aca="false">IF(OR(U946="",Y946="",Z946=""),"",IF(AND(U946&gt;Y946,-U946&lt;Z946),"Ok","Not Ok"))</f>
        <v/>
      </c>
      <c r="AB946" s="70"/>
    </row>
    <row r="947" customFormat="false" ht="12.8" hidden="false" customHeight="false" outlineLevel="0" collapsed="false">
      <c r="A947" s="48" t="n">
        <f aca="false">TB_audited!A930</f>
        <v>0</v>
      </c>
      <c r="B947" s="49"/>
      <c r="C947" s="50"/>
      <c r="D947" s="51" t="n">
        <f aca="false">TB_audited!B930</f>
        <v>0</v>
      </c>
      <c r="E947" s="52" t="n">
        <f aca="false">TB_audited!C930</f>
        <v>0</v>
      </c>
      <c r="F947" s="53" t="n">
        <f aca="false">TB_audited!D930</f>
        <v>0</v>
      </c>
      <c r="G947" s="54" t="n">
        <f aca="false">IF($D$8="Interim",TB_audited!G930,TB_audited!E930)</f>
        <v>0</v>
      </c>
      <c r="H947" s="55" t="str">
        <f aca="false">IFERROR(VLOOKUP($A947,RA_result!$B$3:$N$62,11,0),"")</f>
        <v/>
      </c>
      <c r="I947" s="55" t="str">
        <f aca="false">IFERROR(VLOOKUP($A947,RA_result!$B$3:$N$62,12,0),"")</f>
        <v/>
      </c>
      <c r="J947" s="55" t="str">
        <f aca="false">IFERROR(VLOOKUP($A947,RA_result!$B$3:$N$62,13,0),"")</f>
        <v/>
      </c>
      <c r="K947" s="56"/>
      <c r="L947" s="56"/>
      <c r="M947" s="57" t="n">
        <f aca="false">G947</f>
        <v>0</v>
      </c>
      <c r="N947" s="54" t="n">
        <f aca="false">G947-M947</f>
        <v>0</v>
      </c>
      <c r="O947" s="55" t="str">
        <f aca="false">IFERROR(VLOOKUP($A947,RA_result!$B$3:$N$62,7,0),"")</f>
        <v/>
      </c>
      <c r="P947" s="52" t="str">
        <f aca="false">IFERROR(VLOOKUP($A947,RA_result!$B$3:$N$62,9,0),"")</f>
        <v/>
      </c>
      <c r="Q947" s="52" t="str">
        <f aca="false">IFERROR(VLOOKUP($A947,RA_result!$B$3:$N$62,10,0),"")</f>
        <v/>
      </c>
      <c r="R947" s="58" t="s">
        <v>55</v>
      </c>
      <c r="S947" s="59" t="str">
        <f aca="false">IFERROR(VLOOKUP($A947,RA_result!$B$3:$N$62,4,0),"")</f>
        <v/>
      </c>
      <c r="T947" s="60" t="s">
        <v>56</v>
      </c>
      <c r="U947" s="59" t="str">
        <f aca="false">IFERROR(IF(VLOOKUP($A947,RA_result!$B$3:$N$62,6,0)="",S947*T947,VLOOKUP($A947,RA_result!$B$3:$N$62,6,0)),"")</f>
        <v/>
      </c>
      <c r="V947" s="61" t="s">
        <v>56</v>
      </c>
      <c r="W947" s="62" t="n">
        <f aca="false">IFERROR((S947*30%)/V947,0)</f>
        <v>0</v>
      </c>
      <c r="X947" s="63" t="n">
        <f aca="false">IFERROR(N947/W947,0)</f>
        <v>0</v>
      </c>
      <c r="Y947" s="68"/>
      <c r="Z947" s="57"/>
      <c r="AA947" s="69" t="str">
        <f aca="false">IF(OR(U947="",Y947="",Z947=""),"",IF(AND(U947&gt;Y947,-U947&lt;Z947),"Ok","Not Ok"))</f>
        <v/>
      </c>
      <c r="AB947" s="70"/>
    </row>
    <row r="948" customFormat="false" ht="12.8" hidden="false" customHeight="false" outlineLevel="0" collapsed="false">
      <c r="A948" s="48" t="n">
        <f aca="false">TB_audited!A931</f>
        <v>0</v>
      </c>
      <c r="B948" s="49"/>
      <c r="C948" s="50"/>
      <c r="D948" s="51" t="n">
        <f aca="false">TB_audited!B931</f>
        <v>0</v>
      </c>
      <c r="E948" s="52" t="n">
        <f aca="false">TB_audited!C931</f>
        <v>0</v>
      </c>
      <c r="F948" s="53" t="n">
        <f aca="false">TB_audited!D931</f>
        <v>0</v>
      </c>
      <c r="G948" s="54" t="n">
        <f aca="false">IF($D$8="Interim",TB_audited!G931,TB_audited!E931)</f>
        <v>0</v>
      </c>
      <c r="H948" s="55" t="str">
        <f aca="false">IFERROR(VLOOKUP($A948,RA_result!$B$3:$N$62,11,0),"")</f>
        <v/>
      </c>
      <c r="I948" s="55" t="str">
        <f aca="false">IFERROR(VLOOKUP($A948,RA_result!$B$3:$N$62,12,0),"")</f>
        <v/>
      </c>
      <c r="J948" s="55" t="str">
        <f aca="false">IFERROR(VLOOKUP($A948,RA_result!$B$3:$N$62,13,0),"")</f>
        <v/>
      </c>
      <c r="K948" s="56"/>
      <c r="L948" s="56"/>
      <c r="M948" s="57" t="n">
        <f aca="false">G948</f>
        <v>0</v>
      </c>
      <c r="N948" s="54" t="n">
        <f aca="false">G948-M948</f>
        <v>0</v>
      </c>
      <c r="O948" s="55" t="str">
        <f aca="false">IFERROR(VLOOKUP($A948,RA_result!$B$3:$N$62,7,0),"")</f>
        <v/>
      </c>
      <c r="P948" s="52" t="str">
        <f aca="false">IFERROR(VLOOKUP($A948,RA_result!$B$3:$N$62,9,0),"")</f>
        <v/>
      </c>
      <c r="Q948" s="52" t="str">
        <f aca="false">IFERROR(VLOOKUP($A948,RA_result!$B$3:$N$62,10,0),"")</f>
        <v/>
      </c>
      <c r="R948" s="58" t="s">
        <v>55</v>
      </c>
      <c r="S948" s="59" t="str">
        <f aca="false">IFERROR(VLOOKUP($A948,RA_result!$B$3:$N$62,4,0),"")</f>
        <v/>
      </c>
      <c r="T948" s="60" t="s">
        <v>56</v>
      </c>
      <c r="U948" s="59" t="str">
        <f aca="false">IFERROR(IF(VLOOKUP($A948,RA_result!$B$3:$N$62,6,0)="",S948*T948,VLOOKUP($A948,RA_result!$B$3:$N$62,6,0)),"")</f>
        <v/>
      </c>
      <c r="V948" s="61" t="s">
        <v>56</v>
      </c>
      <c r="W948" s="62" t="n">
        <f aca="false">IFERROR((S948*30%)/V948,0)</f>
        <v>0</v>
      </c>
      <c r="X948" s="63" t="n">
        <f aca="false">IFERROR(N948/W948,0)</f>
        <v>0</v>
      </c>
      <c r="Y948" s="68"/>
      <c r="Z948" s="57"/>
      <c r="AA948" s="69" t="str">
        <f aca="false">IF(OR(U948="",Y948="",Z948=""),"",IF(AND(U948&gt;Y948,-U948&lt;Z948),"Ok","Not Ok"))</f>
        <v/>
      </c>
      <c r="AB948" s="70"/>
    </row>
    <row r="949" customFormat="false" ht="12.8" hidden="false" customHeight="false" outlineLevel="0" collapsed="false">
      <c r="A949" s="48" t="n">
        <f aca="false">TB_audited!A932</f>
        <v>0</v>
      </c>
      <c r="B949" s="49"/>
      <c r="C949" s="50"/>
      <c r="D949" s="51" t="n">
        <f aca="false">TB_audited!B932</f>
        <v>0</v>
      </c>
      <c r="E949" s="52" t="n">
        <f aca="false">TB_audited!C932</f>
        <v>0</v>
      </c>
      <c r="F949" s="53" t="n">
        <f aca="false">TB_audited!D932</f>
        <v>0</v>
      </c>
      <c r="G949" s="54" t="n">
        <f aca="false">IF($D$8="Interim",TB_audited!G932,TB_audited!E932)</f>
        <v>0</v>
      </c>
      <c r="H949" s="55" t="str">
        <f aca="false">IFERROR(VLOOKUP($A949,RA_result!$B$3:$N$62,11,0),"")</f>
        <v/>
      </c>
      <c r="I949" s="55" t="str">
        <f aca="false">IFERROR(VLOOKUP($A949,RA_result!$B$3:$N$62,12,0),"")</f>
        <v/>
      </c>
      <c r="J949" s="55" t="str">
        <f aca="false">IFERROR(VLOOKUP($A949,RA_result!$B$3:$N$62,13,0),"")</f>
        <v/>
      </c>
      <c r="K949" s="56"/>
      <c r="L949" s="56"/>
      <c r="M949" s="57" t="n">
        <f aca="false">G949</f>
        <v>0</v>
      </c>
      <c r="N949" s="54" t="n">
        <f aca="false">G949-M949</f>
        <v>0</v>
      </c>
      <c r="O949" s="55" t="str">
        <f aca="false">IFERROR(VLOOKUP($A949,RA_result!$B$3:$N$62,7,0),"")</f>
        <v/>
      </c>
      <c r="P949" s="52" t="str">
        <f aca="false">IFERROR(VLOOKUP($A949,RA_result!$B$3:$N$62,9,0),"")</f>
        <v/>
      </c>
      <c r="Q949" s="52" t="str">
        <f aca="false">IFERROR(VLOOKUP($A949,RA_result!$B$3:$N$62,10,0),"")</f>
        <v/>
      </c>
      <c r="R949" s="58" t="s">
        <v>55</v>
      </c>
      <c r="S949" s="59" t="str">
        <f aca="false">IFERROR(VLOOKUP($A949,RA_result!$B$3:$N$62,4,0),"")</f>
        <v/>
      </c>
      <c r="T949" s="60" t="s">
        <v>56</v>
      </c>
      <c r="U949" s="59" t="str">
        <f aca="false">IFERROR(IF(VLOOKUP($A949,RA_result!$B$3:$N$62,6,0)="",S949*T949,VLOOKUP($A949,RA_result!$B$3:$N$62,6,0)),"")</f>
        <v/>
      </c>
      <c r="V949" s="61" t="s">
        <v>56</v>
      </c>
      <c r="W949" s="62" t="n">
        <f aca="false">IFERROR((S949*30%)/V949,0)</f>
        <v>0</v>
      </c>
      <c r="X949" s="63" t="n">
        <f aca="false">IFERROR(N949/W949,0)</f>
        <v>0</v>
      </c>
      <c r="Y949" s="68"/>
      <c r="Z949" s="57"/>
      <c r="AA949" s="69" t="str">
        <f aca="false">IF(OR(U949="",Y949="",Z949=""),"",IF(AND(U949&gt;Y949,-U949&lt;Z949),"Ok","Not Ok"))</f>
        <v/>
      </c>
      <c r="AB949" s="70"/>
    </row>
    <row r="950" customFormat="false" ht="12.8" hidden="false" customHeight="false" outlineLevel="0" collapsed="false">
      <c r="A950" s="48" t="n">
        <f aca="false">TB_audited!A933</f>
        <v>0</v>
      </c>
      <c r="B950" s="49"/>
      <c r="C950" s="50"/>
      <c r="D950" s="51" t="n">
        <f aca="false">TB_audited!B933</f>
        <v>0</v>
      </c>
      <c r="E950" s="52" t="n">
        <f aca="false">TB_audited!C933</f>
        <v>0</v>
      </c>
      <c r="F950" s="53" t="n">
        <f aca="false">TB_audited!D933</f>
        <v>0</v>
      </c>
      <c r="G950" s="54" t="n">
        <f aca="false">IF($D$8="Interim",TB_audited!G933,TB_audited!E933)</f>
        <v>0</v>
      </c>
      <c r="H950" s="55" t="str">
        <f aca="false">IFERROR(VLOOKUP($A950,RA_result!$B$3:$N$62,11,0),"")</f>
        <v/>
      </c>
      <c r="I950" s="55" t="str">
        <f aca="false">IFERROR(VLOOKUP($A950,RA_result!$B$3:$N$62,12,0),"")</f>
        <v/>
      </c>
      <c r="J950" s="55" t="str">
        <f aca="false">IFERROR(VLOOKUP($A950,RA_result!$B$3:$N$62,13,0),"")</f>
        <v/>
      </c>
      <c r="K950" s="56"/>
      <c r="L950" s="56"/>
      <c r="M950" s="57" t="n">
        <f aca="false">G950</f>
        <v>0</v>
      </c>
      <c r="N950" s="54" t="n">
        <f aca="false">G950-M950</f>
        <v>0</v>
      </c>
      <c r="O950" s="55" t="str">
        <f aca="false">IFERROR(VLOOKUP($A950,RA_result!$B$3:$N$62,7,0),"")</f>
        <v/>
      </c>
      <c r="P950" s="52" t="str">
        <f aca="false">IFERROR(VLOOKUP($A950,RA_result!$B$3:$N$62,9,0),"")</f>
        <v/>
      </c>
      <c r="Q950" s="52" t="str">
        <f aca="false">IFERROR(VLOOKUP($A950,RA_result!$B$3:$N$62,10,0),"")</f>
        <v/>
      </c>
      <c r="R950" s="58" t="s">
        <v>55</v>
      </c>
      <c r="S950" s="59" t="str">
        <f aca="false">IFERROR(VLOOKUP($A950,RA_result!$B$3:$N$62,4,0),"")</f>
        <v/>
      </c>
      <c r="T950" s="60" t="s">
        <v>56</v>
      </c>
      <c r="U950" s="59" t="str">
        <f aca="false">IFERROR(IF(VLOOKUP($A950,RA_result!$B$3:$N$62,6,0)="",S950*T950,VLOOKUP($A950,RA_result!$B$3:$N$62,6,0)),"")</f>
        <v/>
      </c>
      <c r="V950" s="61" t="s">
        <v>56</v>
      </c>
      <c r="W950" s="62" t="n">
        <f aca="false">IFERROR((S950*30%)/V950,0)</f>
        <v>0</v>
      </c>
      <c r="X950" s="63" t="n">
        <f aca="false">IFERROR(N950/W950,0)</f>
        <v>0</v>
      </c>
      <c r="Y950" s="68"/>
      <c r="Z950" s="57"/>
      <c r="AA950" s="69" t="str">
        <f aca="false">IF(OR(U950="",Y950="",Z950=""),"",IF(AND(U950&gt;Y950,-U950&lt;Z950),"Ok","Not Ok"))</f>
        <v/>
      </c>
      <c r="AB950" s="70"/>
    </row>
    <row r="951" customFormat="false" ht="12.8" hidden="false" customHeight="false" outlineLevel="0" collapsed="false">
      <c r="A951" s="48" t="n">
        <f aca="false">TB_audited!A934</f>
        <v>0</v>
      </c>
      <c r="B951" s="49"/>
      <c r="C951" s="50"/>
      <c r="D951" s="51" t="n">
        <f aca="false">TB_audited!B934</f>
        <v>0</v>
      </c>
      <c r="E951" s="52" t="n">
        <f aca="false">TB_audited!C934</f>
        <v>0</v>
      </c>
      <c r="F951" s="53" t="n">
        <f aca="false">TB_audited!D934</f>
        <v>0</v>
      </c>
      <c r="G951" s="54" t="n">
        <f aca="false">IF($D$8="Interim",TB_audited!G934,TB_audited!E934)</f>
        <v>0</v>
      </c>
      <c r="H951" s="55" t="str">
        <f aca="false">IFERROR(VLOOKUP($A951,RA_result!$B$3:$N$62,11,0),"")</f>
        <v/>
      </c>
      <c r="I951" s="55" t="str">
        <f aca="false">IFERROR(VLOOKUP($A951,RA_result!$B$3:$N$62,12,0),"")</f>
        <v/>
      </c>
      <c r="J951" s="55" t="str">
        <f aca="false">IFERROR(VLOOKUP($A951,RA_result!$B$3:$N$62,13,0),"")</f>
        <v/>
      </c>
      <c r="K951" s="56"/>
      <c r="L951" s="56"/>
      <c r="M951" s="57" t="n">
        <f aca="false">G951</f>
        <v>0</v>
      </c>
      <c r="N951" s="54" t="n">
        <f aca="false">G951-M951</f>
        <v>0</v>
      </c>
      <c r="O951" s="55" t="str">
        <f aca="false">IFERROR(VLOOKUP($A951,RA_result!$B$3:$N$62,7,0),"")</f>
        <v/>
      </c>
      <c r="P951" s="52" t="str">
        <f aca="false">IFERROR(VLOOKUP($A951,RA_result!$B$3:$N$62,9,0),"")</f>
        <v/>
      </c>
      <c r="Q951" s="52" t="str">
        <f aca="false">IFERROR(VLOOKUP($A951,RA_result!$B$3:$N$62,10,0),"")</f>
        <v/>
      </c>
      <c r="R951" s="58" t="s">
        <v>55</v>
      </c>
      <c r="S951" s="59" t="str">
        <f aca="false">IFERROR(VLOOKUP($A951,RA_result!$B$3:$N$62,4,0),"")</f>
        <v/>
      </c>
      <c r="T951" s="60" t="s">
        <v>56</v>
      </c>
      <c r="U951" s="59" t="str">
        <f aca="false">IFERROR(IF(VLOOKUP($A951,RA_result!$B$3:$N$62,6,0)="",S951*T951,VLOOKUP($A951,RA_result!$B$3:$N$62,6,0)),"")</f>
        <v/>
      </c>
      <c r="V951" s="61" t="s">
        <v>56</v>
      </c>
      <c r="W951" s="62" t="n">
        <f aca="false">IFERROR((S951*30%)/V951,0)</f>
        <v>0</v>
      </c>
      <c r="X951" s="63" t="n">
        <f aca="false">IFERROR(N951/W951,0)</f>
        <v>0</v>
      </c>
      <c r="Y951" s="68"/>
      <c r="Z951" s="57"/>
      <c r="AA951" s="69" t="str">
        <f aca="false">IF(OR(U951="",Y951="",Z951=""),"",IF(AND(U951&gt;Y951,-U951&lt;Z951),"Ok","Not Ok"))</f>
        <v/>
      </c>
      <c r="AB951" s="70"/>
    </row>
    <row r="952" customFormat="false" ht="12.8" hidden="false" customHeight="false" outlineLevel="0" collapsed="false">
      <c r="A952" s="48" t="n">
        <f aca="false">TB_audited!A935</f>
        <v>0</v>
      </c>
      <c r="B952" s="49"/>
      <c r="C952" s="50"/>
      <c r="D952" s="51" t="n">
        <f aca="false">TB_audited!B935</f>
        <v>0</v>
      </c>
      <c r="E952" s="52" t="n">
        <f aca="false">TB_audited!C935</f>
        <v>0</v>
      </c>
      <c r="F952" s="53" t="n">
        <f aca="false">TB_audited!D935</f>
        <v>0</v>
      </c>
      <c r="G952" s="54" t="n">
        <f aca="false">IF($D$8="Interim",TB_audited!G935,TB_audited!E935)</f>
        <v>0</v>
      </c>
      <c r="H952" s="55" t="str">
        <f aca="false">IFERROR(VLOOKUP($A952,RA_result!$B$3:$N$62,11,0),"")</f>
        <v/>
      </c>
      <c r="I952" s="55" t="str">
        <f aca="false">IFERROR(VLOOKUP($A952,RA_result!$B$3:$N$62,12,0),"")</f>
        <v/>
      </c>
      <c r="J952" s="55" t="str">
        <f aca="false">IFERROR(VLOOKUP($A952,RA_result!$B$3:$N$62,13,0),"")</f>
        <v/>
      </c>
      <c r="K952" s="56"/>
      <c r="L952" s="56"/>
      <c r="M952" s="57" t="n">
        <f aca="false">G952</f>
        <v>0</v>
      </c>
      <c r="N952" s="54" t="n">
        <f aca="false">G952-M952</f>
        <v>0</v>
      </c>
      <c r="O952" s="55" t="str">
        <f aca="false">IFERROR(VLOOKUP($A952,RA_result!$B$3:$N$62,7,0),"")</f>
        <v/>
      </c>
      <c r="P952" s="52" t="str">
        <f aca="false">IFERROR(VLOOKUP($A952,RA_result!$B$3:$N$62,9,0),"")</f>
        <v/>
      </c>
      <c r="Q952" s="52" t="str">
        <f aca="false">IFERROR(VLOOKUP($A952,RA_result!$B$3:$N$62,10,0),"")</f>
        <v/>
      </c>
      <c r="R952" s="58" t="s">
        <v>55</v>
      </c>
      <c r="S952" s="59" t="str">
        <f aca="false">IFERROR(VLOOKUP($A952,RA_result!$B$3:$N$62,4,0),"")</f>
        <v/>
      </c>
      <c r="T952" s="60" t="s">
        <v>56</v>
      </c>
      <c r="U952" s="59" t="str">
        <f aca="false">IFERROR(IF(VLOOKUP($A952,RA_result!$B$3:$N$62,6,0)="",S952*T952,VLOOKUP($A952,RA_result!$B$3:$N$62,6,0)),"")</f>
        <v/>
      </c>
      <c r="V952" s="61" t="s">
        <v>56</v>
      </c>
      <c r="W952" s="62" t="n">
        <f aca="false">IFERROR((S952*30%)/V952,0)</f>
        <v>0</v>
      </c>
      <c r="X952" s="63" t="n">
        <f aca="false">IFERROR(N952/W952,0)</f>
        <v>0</v>
      </c>
      <c r="Y952" s="68"/>
      <c r="Z952" s="57"/>
      <c r="AA952" s="69" t="str">
        <f aca="false">IF(OR(U952="",Y952="",Z952=""),"",IF(AND(U952&gt;Y952,-U952&lt;Z952),"Ok","Not Ok"))</f>
        <v/>
      </c>
      <c r="AB952" s="70"/>
    </row>
    <row r="953" customFormat="false" ht="12.8" hidden="false" customHeight="false" outlineLevel="0" collapsed="false">
      <c r="A953" s="48" t="n">
        <f aca="false">TB_audited!A936</f>
        <v>0</v>
      </c>
      <c r="B953" s="49"/>
      <c r="C953" s="50"/>
      <c r="D953" s="51" t="n">
        <f aca="false">TB_audited!B936</f>
        <v>0</v>
      </c>
      <c r="E953" s="52" t="n">
        <f aca="false">TB_audited!C936</f>
        <v>0</v>
      </c>
      <c r="F953" s="53" t="n">
        <f aca="false">TB_audited!D936</f>
        <v>0</v>
      </c>
      <c r="G953" s="54" t="n">
        <f aca="false">IF($D$8="Interim",TB_audited!G936,TB_audited!E936)</f>
        <v>0</v>
      </c>
      <c r="H953" s="55" t="str">
        <f aca="false">IFERROR(VLOOKUP($A953,RA_result!$B$3:$N$62,11,0),"")</f>
        <v/>
      </c>
      <c r="I953" s="55" t="str">
        <f aca="false">IFERROR(VLOOKUP($A953,RA_result!$B$3:$N$62,12,0),"")</f>
        <v/>
      </c>
      <c r="J953" s="55" t="str">
        <f aca="false">IFERROR(VLOOKUP($A953,RA_result!$B$3:$N$62,13,0),"")</f>
        <v/>
      </c>
      <c r="K953" s="56"/>
      <c r="L953" s="56"/>
      <c r="M953" s="57" t="n">
        <f aca="false">G953</f>
        <v>0</v>
      </c>
      <c r="N953" s="54" t="n">
        <f aca="false">G953-M953</f>
        <v>0</v>
      </c>
      <c r="O953" s="55" t="str">
        <f aca="false">IFERROR(VLOOKUP($A953,RA_result!$B$3:$N$62,7,0),"")</f>
        <v/>
      </c>
      <c r="P953" s="52" t="str">
        <f aca="false">IFERROR(VLOOKUP($A953,RA_result!$B$3:$N$62,9,0),"")</f>
        <v/>
      </c>
      <c r="Q953" s="52" t="str">
        <f aca="false">IFERROR(VLOOKUP($A953,RA_result!$B$3:$N$62,10,0),"")</f>
        <v/>
      </c>
      <c r="R953" s="58" t="s">
        <v>55</v>
      </c>
      <c r="S953" s="59" t="str">
        <f aca="false">IFERROR(VLOOKUP($A953,RA_result!$B$3:$N$62,4,0),"")</f>
        <v/>
      </c>
      <c r="T953" s="60" t="s">
        <v>56</v>
      </c>
      <c r="U953" s="59" t="str">
        <f aca="false">IFERROR(IF(VLOOKUP($A953,RA_result!$B$3:$N$62,6,0)="",S953*T953,VLOOKUP($A953,RA_result!$B$3:$N$62,6,0)),"")</f>
        <v/>
      </c>
      <c r="V953" s="61" t="s">
        <v>56</v>
      </c>
      <c r="W953" s="62" t="n">
        <f aca="false">IFERROR((S953*30%)/V953,0)</f>
        <v>0</v>
      </c>
      <c r="X953" s="63" t="n">
        <f aca="false">IFERROR(N953/W953,0)</f>
        <v>0</v>
      </c>
      <c r="Y953" s="68"/>
      <c r="Z953" s="57"/>
      <c r="AA953" s="69" t="str">
        <f aca="false">IF(OR(U953="",Y953="",Z953=""),"",IF(AND(U953&gt;Y953,-U953&lt;Z953),"Ok","Not Ok"))</f>
        <v/>
      </c>
      <c r="AB953" s="70"/>
    </row>
    <row r="954" customFormat="false" ht="12.8" hidden="false" customHeight="false" outlineLevel="0" collapsed="false">
      <c r="A954" s="48" t="n">
        <f aca="false">TB_audited!A937</f>
        <v>0</v>
      </c>
      <c r="B954" s="49"/>
      <c r="C954" s="50"/>
      <c r="D954" s="51" t="n">
        <f aca="false">TB_audited!B937</f>
        <v>0</v>
      </c>
      <c r="E954" s="52" t="n">
        <f aca="false">TB_audited!C937</f>
        <v>0</v>
      </c>
      <c r="F954" s="53" t="n">
        <f aca="false">TB_audited!D937</f>
        <v>0</v>
      </c>
      <c r="G954" s="54" t="n">
        <f aca="false">IF($D$8="Interim",TB_audited!G937,TB_audited!E937)</f>
        <v>0</v>
      </c>
      <c r="H954" s="55" t="str">
        <f aca="false">IFERROR(VLOOKUP($A954,RA_result!$B$3:$N$62,11,0),"")</f>
        <v/>
      </c>
      <c r="I954" s="55" t="str">
        <f aca="false">IFERROR(VLOOKUP($A954,RA_result!$B$3:$N$62,12,0),"")</f>
        <v/>
      </c>
      <c r="J954" s="55" t="str">
        <f aca="false">IFERROR(VLOOKUP($A954,RA_result!$B$3:$N$62,13,0),"")</f>
        <v/>
      </c>
      <c r="K954" s="56"/>
      <c r="L954" s="56"/>
      <c r="M954" s="57" t="n">
        <f aca="false">G954</f>
        <v>0</v>
      </c>
      <c r="N954" s="54" t="n">
        <f aca="false">G954-M954</f>
        <v>0</v>
      </c>
      <c r="O954" s="55" t="str">
        <f aca="false">IFERROR(VLOOKUP($A954,RA_result!$B$3:$N$62,7,0),"")</f>
        <v/>
      </c>
      <c r="P954" s="52" t="str">
        <f aca="false">IFERROR(VLOOKUP($A954,RA_result!$B$3:$N$62,9,0),"")</f>
        <v/>
      </c>
      <c r="Q954" s="52" t="str">
        <f aca="false">IFERROR(VLOOKUP($A954,RA_result!$B$3:$N$62,10,0),"")</f>
        <v/>
      </c>
      <c r="R954" s="58" t="s">
        <v>55</v>
      </c>
      <c r="S954" s="59" t="str">
        <f aca="false">IFERROR(VLOOKUP($A954,RA_result!$B$3:$N$62,4,0),"")</f>
        <v/>
      </c>
      <c r="T954" s="60" t="s">
        <v>56</v>
      </c>
      <c r="U954" s="59" t="str">
        <f aca="false">IFERROR(IF(VLOOKUP($A954,RA_result!$B$3:$N$62,6,0)="",S954*T954,VLOOKUP($A954,RA_result!$B$3:$N$62,6,0)),"")</f>
        <v/>
      </c>
      <c r="V954" s="61" t="s">
        <v>56</v>
      </c>
      <c r="W954" s="62" t="n">
        <f aca="false">IFERROR((S954*30%)/V954,0)</f>
        <v>0</v>
      </c>
      <c r="X954" s="63" t="n">
        <f aca="false">IFERROR(N954/W954,0)</f>
        <v>0</v>
      </c>
      <c r="Y954" s="68"/>
      <c r="Z954" s="57"/>
      <c r="AA954" s="69" t="str">
        <f aca="false">IF(OR(U954="",Y954="",Z954=""),"",IF(AND(U954&gt;Y954,-U954&lt;Z954),"Ok","Not Ok"))</f>
        <v/>
      </c>
      <c r="AB954" s="70"/>
    </row>
    <row r="955" customFormat="false" ht="12.8" hidden="false" customHeight="false" outlineLevel="0" collapsed="false">
      <c r="A955" s="48" t="n">
        <f aca="false">TB_audited!A938</f>
        <v>0</v>
      </c>
      <c r="B955" s="49"/>
      <c r="C955" s="50"/>
      <c r="D955" s="51" t="n">
        <f aca="false">TB_audited!B938</f>
        <v>0</v>
      </c>
      <c r="E955" s="52" t="n">
        <f aca="false">TB_audited!C938</f>
        <v>0</v>
      </c>
      <c r="F955" s="53" t="n">
        <f aca="false">TB_audited!D938</f>
        <v>0</v>
      </c>
      <c r="G955" s="54" t="n">
        <f aca="false">IF($D$8="Interim",TB_audited!G938,TB_audited!E938)</f>
        <v>0</v>
      </c>
      <c r="H955" s="55" t="str">
        <f aca="false">IFERROR(VLOOKUP($A955,RA_result!$B$3:$N$62,11,0),"")</f>
        <v/>
      </c>
      <c r="I955" s="55" t="str">
        <f aca="false">IFERROR(VLOOKUP($A955,RA_result!$B$3:$N$62,12,0),"")</f>
        <v/>
      </c>
      <c r="J955" s="55" t="str">
        <f aca="false">IFERROR(VLOOKUP($A955,RA_result!$B$3:$N$62,13,0),"")</f>
        <v/>
      </c>
      <c r="K955" s="56"/>
      <c r="L955" s="56"/>
      <c r="M955" s="57" t="n">
        <f aca="false">G955</f>
        <v>0</v>
      </c>
      <c r="N955" s="54" t="n">
        <f aca="false">G955-M955</f>
        <v>0</v>
      </c>
      <c r="O955" s="55" t="str">
        <f aca="false">IFERROR(VLOOKUP($A955,RA_result!$B$3:$N$62,7,0),"")</f>
        <v/>
      </c>
      <c r="P955" s="52" t="str">
        <f aca="false">IFERROR(VLOOKUP($A955,RA_result!$B$3:$N$62,9,0),"")</f>
        <v/>
      </c>
      <c r="Q955" s="52" t="str">
        <f aca="false">IFERROR(VLOOKUP($A955,RA_result!$B$3:$N$62,10,0),"")</f>
        <v/>
      </c>
      <c r="R955" s="58" t="s">
        <v>55</v>
      </c>
      <c r="S955" s="59" t="str">
        <f aca="false">IFERROR(VLOOKUP($A955,RA_result!$B$3:$N$62,4,0),"")</f>
        <v/>
      </c>
      <c r="T955" s="60" t="s">
        <v>56</v>
      </c>
      <c r="U955" s="59" t="str">
        <f aca="false">IFERROR(IF(VLOOKUP($A955,RA_result!$B$3:$N$62,6,0)="",S955*T955,VLOOKUP($A955,RA_result!$B$3:$N$62,6,0)),"")</f>
        <v/>
      </c>
      <c r="V955" s="61" t="s">
        <v>56</v>
      </c>
      <c r="W955" s="62" t="n">
        <f aca="false">IFERROR((S955*30%)/V955,0)</f>
        <v>0</v>
      </c>
      <c r="X955" s="63" t="n">
        <f aca="false">IFERROR(N955/W955,0)</f>
        <v>0</v>
      </c>
      <c r="Y955" s="68"/>
      <c r="Z955" s="57"/>
      <c r="AA955" s="69" t="str">
        <f aca="false">IF(OR(U955="",Y955="",Z955=""),"",IF(AND(U955&gt;Y955,-U955&lt;Z955),"Ok","Not Ok"))</f>
        <v/>
      </c>
      <c r="AB955" s="70"/>
    </row>
    <row r="956" customFormat="false" ht="12.8" hidden="false" customHeight="false" outlineLevel="0" collapsed="false">
      <c r="A956" s="48" t="n">
        <f aca="false">TB_audited!A939</f>
        <v>0</v>
      </c>
      <c r="B956" s="49"/>
      <c r="C956" s="50"/>
      <c r="D956" s="51" t="n">
        <f aca="false">TB_audited!B939</f>
        <v>0</v>
      </c>
      <c r="E956" s="52" t="n">
        <f aca="false">TB_audited!C939</f>
        <v>0</v>
      </c>
      <c r="F956" s="53" t="n">
        <f aca="false">TB_audited!D939</f>
        <v>0</v>
      </c>
      <c r="G956" s="54" t="n">
        <f aca="false">IF($D$8="Interim",TB_audited!G939,TB_audited!E939)</f>
        <v>0</v>
      </c>
      <c r="H956" s="55" t="str">
        <f aca="false">IFERROR(VLOOKUP($A956,RA_result!$B$3:$N$62,11,0),"")</f>
        <v/>
      </c>
      <c r="I956" s="55" t="str">
        <f aca="false">IFERROR(VLOOKUP($A956,RA_result!$B$3:$N$62,12,0),"")</f>
        <v/>
      </c>
      <c r="J956" s="55" t="str">
        <f aca="false">IFERROR(VLOOKUP($A956,RA_result!$B$3:$N$62,13,0),"")</f>
        <v/>
      </c>
      <c r="K956" s="56"/>
      <c r="L956" s="56"/>
      <c r="M956" s="57" t="n">
        <f aca="false">G956</f>
        <v>0</v>
      </c>
      <c r="N956" s="54" t="n">
        <f aca="false">G956-M956</f>
        <v>0</v>
      </c>
      <c r="O956" s="55" t="str">
        <f aca="false">IFERROR(VLOOKUP($A956,RA_result!$B$3:$N$62,7,0),"")</f>
        <v/>
      </c>
      <c r="P956" s="52" t="str">
        <f aca="false">IFERROR(VLOOKUP($A956,RA_result!$B$3:$N$62,9,0),"")</f>
        <v/>
      </c>
      <c r="Q956" s="52" t="str">
        <f aca="false">IFERROR(VLOOKUP($A956,RA_result!$B$3:$N$62,10,0),"")</f>
        <v/>
      </c>
      <c r="R956" s="58" t="s">
        <v>55</v>
      </c>
      <c r="S956" s="59" t="str">
        <f aca="false">IFERROR(VLOOKUP($A956,RA_result!$B$3:$N$62,4,0),"")</f>
        <v/>
      </c>
      <c r="T956" s="60" t="s">
        <v>56</v>
      </c>
      <c r="U956" s="59" t="str">
        <f aca="false">IFERROR(IF(VLOOKUP($A956,RA_result!$B$3:$N$62,6,0)="",S956*T956,VLOOKUP($A956,RA_result!$B$3:$N$62,6,0)),"")</f>
        <v/>
      </c>
      <c r="V956" s="61" t="s">
        <v>56</v>
      </c>
      <c r="W956" s="62" t="n">
        <f aca="false">IFERROR((S956*30%)/V956,0)</f>
        <v>0</v>
      </c>
      <c r="X956" s="63" t="n">
        <f aca="false">IFERROR(N956/W956,0)</f>
        <v>0</v>
      </c>
      <c r="Y956" s="68"/>
      <c r="Z956" s="57"/>
      <c r="AA956" s="69" t="str">
        <f aca="false">IF(OR(U956="",Y956="",Z956=""),"",IF(AND(U956&gt;Y956,-U956&lt;Z956),"Ok","Not Ok"))</f>
        <v/>
      </c>
      <c r="AB956" s="70"/>
    </row>
    <row r="957" customFormat="false" ht="12.8" hidden="false" customHeight="false" outlineLevel="0" collapsed="false">
      <c r="A957" s="48" t="n">
        <f aca="false">TB_audited!A940</f>
        <v>0</v>
      </c>
      <c r="B957" s="49"/>
      <c r="C957" s="50"/>
      <c r="D957" s="51" t="n">
        <f aca="false">TB_audited!B940</f>
        <v>0</v>
      </c>
      <c r="E957" s="52" t="n">
        <f aca="false">TB_audited!C940</f>
        <v>0</v>
      </c>
      <c r="F957" s="53" t="n">
        <f aca="false">TB_audited!D940</f>
        <v>0</v>
      </c>
      <c r="G957" s="54" t="n">
        <f aca="false">IF($D$8="Interim",TB_audited!G940,TB_audited!E940)</f>
        <v>0</v>
      </c>
      <c r="H957" s="55" t="str">
        <f aca="false">IFERROR(VLOOKUP($A957,RA_result!$B$3:$N$62,11,0),"")</f>
        <v/>
      </c>
      <c r="I957" s="55" t="str">
        <f aca="false">IFERROR(VLOOKUP($A957,RA_result!$B$3:$N$62,12,0),"")</f>
        <v/>
      </c>
      <c r="J957" s="55" t="str">
        <f aca="false">IFERROR(VLOOKUP($A957,RA_result!$B$3:$N$62,13,0),"")</f>
        <v/>
      </c>
      <c r="K957" s="56"/>
      <c r="L957" s="56"/>
      <c r="M957" s="57" t="n">
        <f aca="false">G957</f>
        <v>0</v>
      </c>
      <c r="N957" s="54" t="n">
        <f aca="false">G957-M957</f>
        <v>0</v>
      </c>
      <c r="O957" s="55" t="str">
        <f aca="false">IFERROR(VLOOKUP($A957,RA_result!$B$3:$N$62,7,0),"")</f>
        <v/>
      </c>
      <c r="P957" s="52" t="str">
        <f aca="false">IFERROR(VLOOKUP($A957,RA_result!$B$3:$N$62,9,0),"")</f>
        <v/>
      </c>
      <c r="Q957" s="52" t="str">
        <f aca="false">IFERROR(VLOOKUP($A957,RA_result!$B$3:$N$62,10,0),"")</f>
        <v/>
      </c>
      <c r="R957" s="58" t="s">
        <v>55</v>
      </c>
      <c r="S957" s="59" t="str">
        <f aca="false">IFERROR(VLOOKUP($A957,RA_result!$B$3:$N$62,4,0),"")</f>
        <v/>
      </c>
      <c r="T957" s="60" t="s">
        <v>56</v>
      </c>
      <c r="U957" s="59" t="str">
        <f aca="false">IFERROR(IF(VLOOKUP($A957,RA_result!$B$3:$N$62,6,0)="",S957*T957,VLOOKUP($A957,RA_result!$B$3:$N$62,6,0)),"")</f>
        <v/>
      </c>
      <c r="V957" s="61" t="s">
        <v>56</v>
      </c>
      <c r="W957" s="62" t="n">
        <f aca="false">IFERROR((S957*30%)/V957,0)</f>
        <v>0</v>
      </c>
      <c r="X957" s="63" t="n">
        <f aca="false">IFERROR(N957/W957,0)</f>
        <v>0</v>
      </c>
      <c r="Y957" s="68"/>
      <c r="Z957" s="57"/>
      <c r="AA957" s="69" t="str">
        <f aca="false">IF(OR(U957="",Y957="",Z957=""),"",IF(AND(U957&gt;Y957,-U957&lt;Z957),"Ok","Not Ok"))</f>
        <v/>
      </c>
      <c r="AB957" s="70"/>
    </row>
    <row r="958" customFormat="false" ht="12.8" hidden="false" customHeight="false" outlineLevel="0" collapsed="false">
      <c r="A958" s="48" t="n">
        <f aca="false">TB_audited!A941</f>
        <v>0</v>
      </c>
      <c r="B958" s="49"/>
      <c r="C958" s="50"/>
      <c r="D958" s="51" t="n">
        <f aca="false">TB_audited!B941</f>
        <v>0</v>
      </c>
      <c r="E958" s="52" t="n">
        <f aca="false">TB_audited!C941</f>
        <v>0</v>
      </c>
      <c r="F958" s="53" t="n">
        <f aca="false">TB_audited!D941</f>
        <v>0</v>
      </c>
      <c r="G958" s="54" t="n">
        <f aca="false">IF($D$8="Interim",TB_audited!G941,TB_audited!E941)</f>
        <v>0</v>
      </c>
      <c r="H958" s="55" t="str">
        <f aca="false">IFERROR(VLOOKUP($A958,RA_result!$B$3:$N$62,11,0),"")</f>
        <v/>
      </c>
      <c r="I958" s="55" t="str">
        <f aca="false">IFERROR(VLOOKUP($A958,RA_result!$B$3:$N$62,12,0),"")</f>
        <v/>
      </c>
      <c r="J958" s="55" t="str">
        <f aca="false">IFERROR(VLOOKUP($A958,RA_result!$B$3:$N$62,13,0),"")</f>
        <v/>
      </c>
      <c r="K958" s="56"/>
      <c r="L958" s="56"/>
      <c r="M958" s="57" t="n">
        <f aca="false">G958</f>
        <v>0</v>
      </c>
      <c r="N958" s="54" t="n">
        <f aca="false">G958-M958</f>
        <v>0</v>
      </c>
      <c r="O958" s="55" t="str">
        <f aca="false">IFERROR(VLOOKUP($A958,RA_result!$B$3:$N$62,7,0),"")</f>
        <v/>
      </c>
      <c r="P958" s="52" t="str">
        <f aca="false">IFERROR(VLOOKUP($A958,RA_result!$B$3:$N$62,9,0),"")</f>
        <v/>
      </c>
      <c r="Q958" s="52" t="str">
        <f aca="false">IFERROR(VLOOKUP($A958,RA_result!$B$3:$N$62,10,0),"")</f>
        <v/>
      </c>
      <c r="R958" s="58" t="s">
        <v>55</v>
      </c>
      <c r="S958" s="59" t="str">
        <f aca="false">IFERROR(VLOOKUP($A958,RA_result!$B$3:$N$62,4,0),"")</f>
        <v/>
      </c>
      <c r="T958" s="60" t="s">
        <v>56</v>
      </c>
      <c r="U958" s="59" t="str">
        <f aca="false">IFERROR(IF(VLOOKUP($A958,RA_result!$B$3:$N$62,6,0)="",S958*T958,VLOOKUP($A958,RA_result!$B$3:$N$62,6,0)),"")</f>
        <v/>
      </c>
      <c r="V958" s="61" t="s">
        <v>56</v>
      </c>
      <c r="W958" s="62" t="n">
        <f aca="false">IFERROR((S958*30%)/V958,0)</f>
        <v>0</v>
      </c>
      <c r="X958" s="63" t="n">
        <f aca="false">IFERROR(N958/W958,0)</f>
        <v>0</v>
      </c>
      <c r="Y958" s="68"/>
      <c r="Z958" s="57"/>
      <c r="AA958" s="69" t="str">
        <f aca="false">IF(OR(U958="",Y958="",Z958=""),"",IF(AND(U958&gt;Y958,-U958&lt;Z958),"Ok","Not Ok"))</f>
        <v/>
      </c>
      <c r="AB958" s="70"/>
    </row>
    <row r="959" customFormat="false" ht="12.8" hidden="false" customHeight="false" outlineLevel="0" collapsed="false">
      <c r="A959" s="48" t="n">
        <f aca="false">TB_audited!A942</f>
        <v>0</v>
      </c>
      <c r="B959" s="49"/>
      <c r="C959" s="50"/>
      <c r="D959" s="51" t="n">
        <f aca="false">TB_audited!B942</f>
        <v>0</v>
      </c>
      <c r="E959" s="52" t="n">
        <f aca="false">TB_audited!C942</f>
        <v>0</v>
      </c>
      <c r="F959" s="53" t="n">
        <f aca="false">TB_audited!D942</f>
        <v>0</v>
      </c>
      <c r="G959" s="54" t="n">
        <f aca="false">IF($D$8="Interim",TB_audited!G942,TB_audited!E942)</f>
        <v>0</v>
      </c>
      <c r="H959" s="55" t="str">
        <f aca="false">IFERROR(VLOOKUP($A959,RA_result!$B$3:$N$62,11,0),"")</f>
        <v/>
      </c>
      <c r="I959" s="55" t="str">
        <f aca="false">IFERROR(VLOOKUP($A959,RA_result!$B$3:$N$62,12,0),"")</f>
        <v/>
      </c>
      <c r="J959" s="55" t="str">
        <f aca="false">IFERROR(VLOOKUP($A959,RA_result!$B$3:$N$62,13,0),"")</f>
        <v/>
      </c>
      <c r="K959" s="56"/>
      <c r="L959" s="56"/>
      <c r="M959" s="57" t="n">
        <f aca="false">G959</f>
        <v>0</v>
      </c>
      <c r="N959" s="54" t="n">
        <f aca="false">G959-M959</f>
        <v>0</v>
      </c>
      <c r="O959" s="55" t="str">
        <f aca="false">IFERROR(VLOOKUP($A959,RA_result!$B$3:$N$62,7,0),"")</f>
        <v/>
      </c>
      <c r="P959" s="52" t="str">
        <f aca="false">IFERROR(VLOOKUP($A959,RA_result!$B$3:$N$62,9,0),"")</f>
        <v/>
      </c>
      <c r="Q959" s="52" t="str">
        <f aca="false">IFERROR(VLOOKUP($A959,RA_result!$B$3:$N$62,10,0),"")</f>
        <v/>
      </c>
      <c r="R959" s="58" t="s">
        <v>55</v>
      </c>
      <c r="S959" s="59" t="str">
        <f aca="false">IFERROR(VLOOKUP($A959,RA_result!$B$3:$N$62,4,0),"")</f>
        <v/>
      </c>
      <c r="T959" s="60" t="s">
        <v>56</v>
      </c>
      <c r="U959" s="59" t="str">
        <f aca="false">IFERROR(IF(VLOOKUP($A959,RA_result!$B$3:$N$62,6,0)="",S959*T959,VLOOKUP($A959,RA_result!$B$3:$N$62,6,0)),"")</f>
        <v/>
      </c>
      <c r="V959" s="61" t="s">
        <v>56</v>
      </c>
      <c r="W959" s="62" t="n">
        <f aca="false">IFERROR((S959*30%)/V959,0)</f>
        <v>0</v>
      </c>
      <c r="X959" s="63" t="n">
        <f aca="false">IFERROR(N959/W959,0)</f>
        <v>0</v>
      </c>
      <c r="Y959" s="68"/>
      <c r="Z959" s="57"/>
      <c r="AA959" s="69" t="str">
        <f aca="false">IF(OR(U959="",Y959="",Z959=""),"",IF(AND(U959&gt;Y959,-U959&lt;Z959),"Ok","Not Ok"))</f>
        <v/>
      </c>
      <c r="AB959" s="70"/>
    </row>
    <row r="960" customFormat="false" ht="12.8" hidden="false" customHeight="false" outlineLevel="0" collapsed="false">
      <c r="A960" s="48" t="n">
        <f aca="false">TB_audited!A943</f>
        <v>0</v>
      </c>
      <c r="B960" s="49"/>
      <c r="C960" s="50"/>
      <c r="D960" s="51" t="n">
        <f aca="false">TB_audited!B943</f>
        <v>0</v>
      </c>
      <c r="E960" s="52" t="n">
        <f aca="false">TB_audited!C943</f>
        <v>0</v>
      </c>
      <c r="F960" s="53" t="n">
        <f aca="false">TB_audited!D943</f>
        <v>0</v>
      </c>
      <c r="G960" s="54" t="n">
        <f aca="false">IF($D$8="Interim",TB_audited!G943,TB_audited!E943)</f>
        <v>0</v>
      </c>
      <c r="H960" s="55" t="str">
        <f aca="false">IFERROR(VLOOKUP($A960,RA_result!$B$3:$N$62,11,0),"")</f>
        <v/>
      </c>
      <c r="I960" s="55" t="str">
        <f aca="false">IFERROR(VLOOKUP($A960,RA_result!$B$3:$N$62,12,0),"")</f>
        <v/>
      </c>
      <c r="J960" s="55" t="str">
        <f aca="false">IFERROR(VLOOKUP($A960,RA_result!$B$3:$N$62,13,0),"")</f>
        <v/>
      </c>
      <c r="K960" s="56"/>
      <c r="L960" s="56"/>
      <c r="M960" s="57" t="n">
        <f aca="false">G960</f>
        <v>0</v>
      </c>
      <c r="N960" s="54" t="n">
        <f aca="false">G960-M960</f>
        <v>0</v>
      </c>
      <c r="O960" s="55" t="str">
        <f aca="false">IFERROR(VLOOKUP($A960,RA_result!$B$3:$N$62,7,0),"")</f>
        <v/>
      </c>
      <c r="P960" s="52" t="str">
        <f aca="false">IFERROR(VLOOKUP($A960,RA_result!$B$3:$N$62,9,0),"")</f>
        <v/>
      </c>
      <c r="Q960" s="52" t="str">
        <f aca="false">IFERROR(VLOOKUP($A960,RA_result!$B$3:$N$62,10,0),"")</f>
        <v/>
      </c>
      <c r="R960" s="58" t="s">
        <v>55</v>
      </c>
      <c r="S960" s="59" t="str">
        <f aca="false">IFERROR(VLOOKUP($A960,RA_result!$B$3:$N$62,4,0),"")</f>
        <v/>
      </c>
      <c r="T960" s="60" t="s">
        <v>56</v>
      </c>
      <c r="U960" s="59" t="str">
        <f aca="false">IFERROR(IF(VLOOKUP($A960,RA_result!$B$3:$N$62,6,0)="",S960*T960,VLOOKUP($A960,RA_result!$B$3:$N$62,6,0)),"")</f>
        <v/>
      </c>
      <c r="V960" s="61" t="s">
        <v>56</v>
      </c>
      <c r="W960" s="62" t="n">
        <f aca="false">IFERROR((S960*30%)/V960,0)</f>
        <v>0</v>
      </c>
      <c r="X960" s="63" t="n">
        <f aca="false">IFERROR(N960/W960,0)</f>
        <v>0</v>
      </c>
      <c r="Y960" s="68"/>
      <c r="Z960" s="57"/>
      <c r="AA960" s="69" t="str">
        <f aca="false">IF(OR(U960="",Y960="",Z960=""),"",IF(AND(U960&gt;Y960,-U960&lt;Z960),"Ok","Not Ok"))</f>
        <v/>
      </c>
      <c r="AB960" s="70"/>
    </row>
    <row r="961" customFormat="false" ht="12.8" hidden="false" customHeight="false" outlineLevel="0" collapsed="false">
      <c r="A961" s="48" t="n">
        <f aca="false">TB_audited!A944</f>
        <v>0</v>
      </c>
      <c r="B961" s="49"/>
      <c r="C961" s="50"/>
      <c r="D961" s="51" t="n">
        <f aca="false">TB_audited!B944</f>
        <v>0</v>
      </c>
      <c r="E961" s="52" t="n">
        <f aca="false">TB_audited!C944</f>
        <v>0</v>
      </c>
      <c r="F961" s="53" t="n">
        <f aca="false">TB_audited!D944</f>
        <v>0</v>
      </c>
      <c r="G961" s="54" t="n">
        <f aca="false">IF($D$8="Interim",TB_audited!G944,TB_audited!E944)</f>
        <v>0</v>
      </c>
      <c r="H961" s="55" t="str">
        <f aca="false">IFERROR(VLOOKUP($A961,RA_result!$B$3:$N$62,11,0),"")</f>
        <v/>
      </c>
      <c r="I961" s="55" t="str">
        <f aca="false">IFERROR(VLOOKUP($A961,RA_result!$B$3:$N$62,12,0),"")</f>
        <v/>
      </c>
      <c r="J961" s="55" t="str">
        <f aca="false">IFERROR(VLOOKUP($A961,RA_result!$B$3:$N$62,13,0),"")</f>
        <v/>
      </c>
      <c r="K961" s="56"/>
      <c r="L961" s="56"/>
      <c r="M961" s="57" t="n">
        <f aca="false">G961</f>
        <v>0</v>
      </c>
      <c r="N961" s="54" t="n">
        <f aca="false">G961-M961</f>
        <v>0</v>
      </c>
      <c r="O961" s="55" t="str">
        <f aca="false">IFERROR(VLOOKUP($A961,RA_result!$B$3:$N$62,7,0),"")</f>
        <v/>
      </c>
      <c r="P961" s="52" t="str">
        <f aca="false">IFERROR(VLOOKUP($A961,RA_result!$B$3:$N$62,9,0),"")</f>
        <v/>
      </c>
      <c r="Q961" s="52" t="str">
        <f aca="false">IFERROR(VLOOKUP($A961,RA_result!$B$3:$N$62,10,0),"")</f>
        <v/>
      </c>
      <c r="R961" s="58" t="s">
        <v>55</v>
      </c>
      <c r="S961" s="59" t="str">
        <f aca="false">IFERROR(VLOOKUP($A961,RA_result!$B$3:$N$62,4,0),"")</f>
        <v/>
      </c>
      <c r="T961" s="60" t="s">
        <v>56</v>
      </c>
      <c r="U961" s="59" t="str">
        <f aca="false">IFERROR(IF(VLOOKUP($A961,RA_result!$B$3:$N$62,6,0)="",S961*T961,VLOOKUP($A961,RA_result!$B$3:$N$62,6,0)),"")</f>
        <v/>
      </c>
      <c r="V961" s="61" t="s">
        <v>56</v>
      </c>
      <c r="W961" s="62" t="n">
        <f aca="false">IFERROR((S961*30%)/V961,0)</f>
        <v>0</v>
      </c>
      <c r="X961" s="63" t="n">
        <f aca="false">IFERROR(N961/W961,0)</f>
        <v>0</v>
      </c>
      <c r="Y961" s="68"/>
      <c r="Z961" s="57"/>
      <c r="AA961" s="69" t="str">
        <f aca="false">IF(OR(U961="",Y961="",Z961=""),"",IF(AND(U961&gt;Y961,-U961&lt;Z961),"Ok","Not Ok"))</f>
        <v/>
      </c>
      <c r="AB961" s="70"/>
    </row>
    <row r="962" customFormat="false" ht="12.8" hidden="false" customHeight="false" outlineLevel="0" collapsed="false">
      <c r="A962" s="48" t="n">
        <f aca="false">TB_audited!A945</f>
        <v>0</v>
      </c>
      <c r="B962" s="49"/>
      <c r="C962" s="50"/>
      <c r="D962" s="51" t="n">
        <f aca="false">TB_audited!B945</f>
        <v>0</v>
      </c>
      <c r="E962" s="52" t="n">
        <f aca="false">TB_audited!C945</f>
        <v>0</v>
      </c>
      <c r="F962" s="53" t="n">
        <f aca="false">TB_audited!D945</f>
        <v>0</v>
      </c>
      <c r="G962" s="54" t="n">
        <f aca="false">IF($D$8="Interim",TB_audited!G945,TB_audited!E945)</f>
        <v>0</v>
      </c>
      <c r="H962" s="55" t="str">
        <f aca="false">IFERROR(VLOOKUP($A962,RA_result!$B$3:$N$62,11,0),"")</f>
        <v/>
      </c>
      <c r="I962" s="55" t="str">
        <f aca="false">IFERROR(VLOOKUP($A962,RA_result!$B$3:$N$62,12,0),"")</f>
        <v/>
      </c>
      <c r="J962" s="55" t="str">
        <f aca="false">IFERROR(VLOOKUP($A962,RA_result!$B$3:$N$62,13,0),"")</f>
        <v/>
      </c>
      <c r="K962" s="56"/>
      <c r="L962" s="56"/>
      <c r="M962" s="57" t="n">
        <f aca="false">G962</f>
        <v>0</v>
      </c>
      <c r="N962" s="54" t="n">
        <f aca="false">G962-M962</f>
        <v>0</v>
      </c>
      <c r="O962" s="55" t="str">
        <f aca="false">IFERROR(VLOOKUP($A962,RA_result!$B$3:$N$62,7,0),"")</f>
        <v/>
      </c>
      <c r="P962" s="52" t="str">
        <f aca="false">IFERROR(VLOOKUP($A962,RA_result!$B$3:$N$62,9,0),"")</f>
        <v/>
      </c>
      <c r="Q962" s="52" t="str">
        <f aca="false">IFERROR(VLOOKUP($A962,RA_result!$B$3:$N$62,10,0),"")</f>
        <v/>
      </c>
      <c r="R962" s="58" t="s">
        <v>55</v>
      </c>
      <c r="S962" s="59" t="str">
        <f aca="false">IFERROR(VLOOKUP($A962,RA_result!$B$3:$N$62,4,0),"")</f>
        <v/>
      </c>
      <c r="T962" s="60" t="s">
        <v>56</v>
      </c>
      <c r="U962" s="59" t="str">
        <f aca="false">IFERROR(IF(VLOOKUP($A962,RA_result!$B$3:$N$62,6,0)="",S962*T962,VLOOKUP($A962,RA_result!$B$3:$N$62,6,0)),"")</f>
        <v/>
      </c>
      <c r="V962" s="61" t="s">
        <v>56</v>
      </c>
      <c r="W962" s="62" t="n">
        <f aca="false">IFERROR((S962*30%)/V962,0)</f>
        <v>0</v>
      </c>
      <c r="X962" s="63" t="n">
        <f aca="false">IFERROR(N962/W962,0)</f>
        <v>0</v>
      </c>
      <c r="Y962" s="68"/>
      <c r="Z962" s="57"/>
      <c r="AA962" s="69" t="str">
        <f aca="false">IF(OR(U962="",Y962="",Z962=""),"",IF(AND(U962&gt;Y962,-U962&lt;Z962),"Ok","Not Ok"))</f>
        <v/>
      </c>
      <c r="AB962" s="70"/>
    </row>
    <row r="963" customFormat="false" ht="12.8" hidden="false" customHeight="false" outlineLevel="0" collapsed="false">
      <c r="A963" s="48" t="n">
        <f aca="false">TB_audited!A946</f>
        <v>0</v>
      </c>
      <c r="B963" s="49"/>
      <c r="C963" s="50"/>
      <c r="D963" s="51" t="n">
        <f aca="false">TB_audited!B946</f>
        <v>0</v>
      </c>
      <c r="E963" s="52" t="n">
        <f aca="false">TB_audited!C946</f>
        <v>0</v>
      </c>
      <c r="F963" s="53" t="n">
        <f aca="false">TB_audited!D946</f>
        <v>0</v>
      </c>
      <c r="G963" s="54" t="n">
        <f aca="false">IF($D$8="Interim",TB_audited!G946,TB_audited!E946)</f>
        <v>0</v>
      </c>
      <c r="H963" s="55" t="str">
        <f aca="false">IFERROR(VLOOKUP($A963,RA_result!$B$3:$N$62,11,0),"")</f>
        <v/>
      </c>
      <c r="I963" s="55" t="str">
        <f aca="false">IFERROR(VLOOKUP($A963,RA_result!$B$3:$N$62,12,0),"")</f>
        <v/>
      </c>
      <c r="J963" s="55" t="str">
        <f aca="false">IFERROR(VLOOKUP($A963,RA_result!$B$3:$N$62,13,0),"")</f>
        <v/>
      </c>
      <c r="K963" s="56"/>
      <c r="L963" s="56"/>
      <c r="M963" s="57" t="n">
        <f aca="false">G963</f>
        <v>0</v>
      </c>
      <c r="N963" s="54" t="n">
        <f aca="false">G963-M963</f>
        <v>0</v>
      </c>
      <c r="O963" s="55" t="str">
        <f aca="false">IFERROR(VLOOKUP($A963,RA_result!$B$3:$N$62,7,0),"")</f>
        <v/>
      </c>
      <c r="P963" s="52" t="str">
        <f aca="false">IFERROR(VLOOKUP($A963,RA_result!$B$3:$N$62,9,0),"")</f>
        <v/>
      </c>
      <c r="Q963" s="52" t="str">
        <f aca="false">IFERROR(VLOOKUP($A963,RA_result!$B$3:$N$62,10,0),"")</f>
        <v/>
      </c>
      <c r="R963" s="58" t="s">
        <v>55</v>
      </c>
      <c r="S963" s="59" t="str">
        <f aca="false">IFERROR(VLOOKUP($A963,RA_result!$B$3:$N$62,4,0),"")</f>
        <v/>
      </c>
      <c r="T963" s="60" t="s">
        <v>56</v>
      </c>
      <c r="U963" s="59" t="str">
        <f aca="false">IFERROR(IF(VLOOKUP($A963,RA_result!$B$3:$N$62,6,0)="",S963*T963,VLOOKUP($A963,RA_result!$B$3:$N$62,6,0)),"")</f>
        <v/>
      </c>
      <c r="V963" s="61" t="s">
        <v>56</v>
      </c>
      <c r="W963" s="62" t="n">
        <f aca="false">IFERROR((S963*30%)/V963,0)</f>
        <v>0</v>
      </c>
      <c r="X963" s="63" t="n">
        <f aca="false">IFERROR(N963/W963,0)</f>
        <v>0</v>
      </c>
      <c r="Y963" s="68"/>
      <c r="Z963" s="57"/>
      <c r="AA963" s="69" t="str">
        <f aca="false">IF(OR(U963="",Y963="",Z963=""),"",IF(AND(U963&gt;Y963,-U963&lt;Z963),"Ok","Not Ok"))</f>
        <v/>
      </c>
      <c r="AB963" s="70"/>
    </row>
    <row r="964" customFormat="false" ht="12.8" hidden="false" customHeight="false" outlineLevel="0" collapsed="false">
      <c r="A964" s="48" t="n">
        <f aca="false">TB_audited!A947</f>
        <v>0</v>
      </c>
      <c r="B964" s="49"/>
      <c r="C964" s="50"/>
      <c r="D964" s="51" t="n">
        <f aca="false">TB_audited!B947</f>
        <v>0</v>
      </c>
      <c r="E964" s="52" t="n">
        <f aca="false">TB_audited!C947</f>
        <v>0</v>
      </c>
      <c r="F964" s="53" t="n">
        <f aca="false">TB_audited!D947</f>
        <v>0</v>
      </c>
      <c r="G964" s="54" t="n">
        <f aca="false">IF($D$8="Interim",TB_audited!G947,TB_audited!E947)</f>
        <v>0</v>
      </c>
      <c r="H964" s="55" t="str">
        <f aca="false">IFERROR(VLOOKUP($A964,RA_result!$B$3:$N$62,11,0),"")</f>
        <v/>
      </c>
      <c r="I964" s="55" t="str">
        <f aca="false">IFERROR(VLOOKUP($A964,RA_result!$B$3:$N$62,12,0),"")</f>
        <v/>
      </c>
      <c r="J964" s="55" t="str">
        <f aca="false">IFERROR(VLOOKUP($A964,RA_result!$B$3:$N$62,13,0),"")</f>
        <v/>
      </c>
      <c r="K964" s="56"/>
      <c r="L964" s="56"/>
      <c r="M964" s="57" t="n">
        <f aca="false">G964</f>
        <v>0</v>
      </c>
      <c r="N964" s="54" t="n">
        <f aca="false">G964-M964</f>
        <v>0</v>
      </c>
      <c r="O964" s="55" t="str">
        <f aca="false">IFERROR(VLOOKUP($A964,RA_result!$B$3:$N$62,7,0),"")</f>
        <v/>
      </c>
      <c r="P964" s="52" t="str">
        <f aca="false">IFERROR(VLOOKUP($A964,RA_result!$B$3:$N$62,9,0),"")</f>
        <v/>
      </c>
      <c r="Q964" s="52" t="str">
        <f aca="false">IFERROR(VLOOKUP($A964,RA_result!$B$3:$N$62,10,0),"")</f>
        <v/>
      </c>
      <c r="R964" s="58" t="s">
        <v>55</v>
      </c>
      <c r="S964" s="59" t="str">
        <f aca="false">IFERROR(VLOOKUP($A964,RA_result!$B$3:$N$62,4,0),"")</f>
        <v/>
      </c>
      <c r="T964" s="60" t="s">
        <v>56</v>
      </c>
      <c r="U964" s="59" t="str">
        <f aca="false">IFERROR(IF(VLOOKUP($A964,RA_result!$B$3:$N$62,6,0)="",S964*T964,VLOOKUP($A964,RA_result!$B$3:$N$62,6,0)),"")</f>
        <v/>
      </c>
      <c r="V964" s="61" t="s">
        <v>56</v>
      </c>
      <c r="W964" s="62" t="n">
        <f aca="false">IFERROR((S964*30%)/V964,0)</f>
        <v>0</v>
      </c>
      <c r="X964" s="63" t="n">
        <f aca="false">IFERROR(N964/W964,0)</f>
        <v>0</v>
      </c>
      <c r="Y964" s="68"/>
      <c r="Z964" s="57"/>
      <c r="AA964" s="69" t="str">
        <f aca="false">IF(OR(U964="",Y964="",Z964=""),"",IF(AND(U964&gt;Y964,-U964&lt;Z964),"Ok","Not Ok"))</f>
        <v/>
      </c>
      <c r="AB964" s="70"/>
    </row>
    <row r="965" customFormat="false" ht="12.8" hidden="false" customHeight="false" outlineLevel="0" collapsed="false">
      <c r="A965" s="48" t="n">
        <f aca="false">TB_audited!A948</f>
        <v>0</v>
      </c>
      <c r="B965" s="49"/>
      <c r="C965" s="50"/>
      <c r="D965" s="51" t="n">
        <f aca="false">TB_audited!B948</f>
        <v>0</v>
      </c>
      <c r="E965" s="52" t="n">
        <f aca="false">TB_audited!C948</f>
        <v>0</v>
      </c>
      <c r="F965" s="53" t="n">
        <f aca="false">TB_audited!D948</f>
        <v>0</v>
      </c>
      <c r="G965" s="54" t="n">
        <f aca="false">IF($D$8="Interim",TB_audited!G948,TB_audited!E948)</f>
        <v>0</v>
      </c>
      <c r="H965" s="55" t="str">
        <f aca="false">IFERROR(VLOOKUP($A965,RA_result!$B$3:$N$62,11,0),"")</f>
        <v/>
      </c>
      <c r="I965" s="55" t="str">
        <f aca="false">IFERROR(VLOOKUP($A965,RA_result!$B$3:$N$62,12,0),"")</f>
        <v/>
      </c>
      <c r="J965" s="55" t="str">
        <f aca="false">IFERROR(VLOOKUP($A965,RA_result!$B$3:$N$62,13,0),"")</f>
        <v/>
      </c>
      <c r="K965" s="56"/>
      <c r="L965" s="56"/>
      <c r="M965" s="57" t="n">
        <f aca="false">G965</f>
        <v>0</v>
      </c>
      <c r="N965" s="54" t="n">
        <f aca="false">G965-M965</f>
        <v>0</v>
      </c>
      <c r="O965" s="55" t="str">
        <f aca="false">IFERROR(VLOOKUP($A965,RA_result!$B$3:$N$62,7,0),"")</f>
        <v/>
      </c>
      <c r="P965" s="52" t="str">
        <f aca="false">IFERROR(VLOOKUP($A965,RA_result!$B$3:$N$62,9,0),"")</f>
        <v/>
      </c>
      <c r="Q965" s="52" t="str">
        <f aca="false">IFERROR(VLOOKUP($A965,RA_result!$B$3:$N$62,10,0),"")</f>
        <v/>
      </c>
      <c r="R965" s="58" t="s">
        <v>55</v>
      </c>
      <c r="S965" s="59" t="str">
        <f aca="false">IFERROR(VLOOKUP($A965,RA_result!$B$3:$N$62,4,0),"")</f>
        <v/>
      </c>
      <c r="T965" s="60" t="s">
        <v>56</v>
      </c>
      <c r="U965" s="59" t="str">
        <f aca="false">IFERROR(IF(VLOOKUP($A965,RA_result!$B$3:$N$62,6,0)="",S965*T965,VLOOKUP($A965,RA_result!$B$3:$N$62,6,0)),"")</f>
        <v/>
      </c>
      <c r="V965" s="61" t="s">
        <v>56</v>
      </c>
      <c r="W965" s="62" t="n">
        <f aca="false">IFERROR((S965*30%)/V965,0)</f>
        <v>0</v>
      </c>
      <c r="X965" s="63" t="n">
        <f aca="false">IFERROR(N965/W965,0)</f>
        <v>0</v>
      </c>
      <c r="Y965" s="68"/>
      <c r="Z965" s="57"/>
      <c r="AA965" s="69" t="str">
        <f aca="false">IF(OR(U965="",Y965="",Z965=""),"",IF(AND(U965&gt;Y965,-U965&lt;Z965),"Ok","Not Ok"))</f>
        <v/>
      </c>
      <c r="AB965" s="70"/>
    </row>
    <row r="966" customFormat="false" ht="12.8" hidden="false" customHeight="false" outlineLevel="0" collapsed="false">
      <c r="A966" s="48" t="n">
        <f aca="false">TB_audited!A949</f>
        <v>0</v>
      </c>
      <c r="B966" s="49"/>
      <c r="C966" s="50"/>
      <c r="D966" s="51" t="n">
        <f aca="false">TB_audited!B949</f>
        <v>0</v>
      </c>
      <c r="E966" s="52" t="n">
        <f aca="false">TB_audited!C949</f>
        <v>0</v>
      </c>
      <c r="F966" s="53" t="n">
        <f aca="false">TB_audited!D949</f>
        <v>0</v>
      </c>
      <c r="G966" s="54" t="n">
        <f aca="false">IF($D$8="Interim",TB_audited!G949,TB_audited!E949)</f>
        <v>0</v>
      </c>
      <c r="H966" s="55" t="str">
        <f aca="false">IFERROR(VLOOKUP($A966,RA_result!$B$3:$N$62,11,0),"")</f>
        <v/>
      </c>
      <c r="I966" s="55" t="str">
        <f aca="false">IFERROR(VLOOKUP($A966,RA_result!$B$3:$N$62,12,0),"")</f>
        <v/>
      </c>
      <c r="J966" s="55" t="str">
        <f aca="false">IFERROR(VLOOKUP($A966,RA_result!$B$3:$N$62,13,0),"")</f>
        <v/>
      </c>
      <c r="K966" s="56"/>
      <c r="L966" s="56"/>
      <c r="M966" s="57" t="n">
        <f aca="false">G966</f>
        <v>0</v>
      </c>
      <c r="N966" s="54" t="n">
        <f aca="false">G966-M966</f>
        <v>0</v>
      </c>
      <c r="O966" s="55" t="str">
        <f aca="false">IFERROR(VLOOKUP($A966,RA_result!$B$3:$N$62,7,0),"")</f>
        <v/>
      </c>
      <c r="P966" s="52" t="str">
        <f aca="false">IFERROR(VLOOKUP($A966,RA_result!$B$3:$N$62,9,0),"")</f>
        <v/>
      </c>
      <c r="Q966" s="52" t="str">
        <f aca="false">IFERROR(VLOOKUP($A966,RA_result!$B$3:$N$62,10,0),"")</f>
        <v/>
      </c>
      <c r="R966" s="58" t="s">
        <v>55</v>
      </c>
      <c r="S966" s="59" t="str">
        <f aca="false">IFERROR(VLOOKUP($A966,RA_result!$B$3:$N$62,4,0),"")</f>
        <v/>
      </c>
      <c r="T966" s="60" t="s">
        <v>56</v>
      </c>
      <c r="U966" s="59" t="str">
        <f aca="false">IFERROR(IF(VLOOKUP($A966,RA_result!$B$3:$N$62,6,0)="",S966*T966,VLOOKUP($A966,RA_result!$B$3:$N$62,6,0)),"")</f>
        <v/>
      </c>
      <c r="V966" s="61" t="s">
        <v>56</v>
      </c>
      <c r="W966" s="62" t="n">
        <f aca="false">IFERROR((S966*30%)/V966,0)</f>
        <v>0</v>
      </c>
      <c r="X966" s="63" t="n">
        <f aca="false">IFERROR(N966/W966,0)</f>
        <v>0</v>
      </c>
      <c r="Y966" s="68"/>
      <c r="Z966" s="57"/>
      <c r="AA966" s="69" t="str">
        <f aca="false">IF(OR(U966="",Y966="",Z966=""),"",IF(AND(U966&gt;Y966,-U966&lt;Z966),"Ok","Not Ok"))</f>
        <v/>
      </c>
      <c r="AB966" s="70"/>
    </row>
    <row r="967" customFormat="false" ht="12.8" hidden="false" customHeight="false" outlineLevel="0" collapsed="false">
      <c r="A967" s="48" t="n">
        <f aca="false">TB_audited!A950</f>
        <v>0</v>
      </c>
      <c r="B967" s="49"/>
      <c r="C967" s="50"/>
      <c r="D967" s="51" t="n">
        <f aca="false">TB_audited!B950</f>
        <v>0</v>
      </c>
      <c r="E967" s="52" t="n">
        <f aca="false">TB_audited!C950</f>
        <v>0</v>
      </c>
      <c r="F967" s="53" t="n">
        <f aca="false">TB_audited!D950</f>
        <v>0</v>
      </c>
      <c r="G967" s="54" t="n">
        <f aca="false">IF($D$8="Interim",TB_audited!G950,TB_audited!E950)</f>
        <v>0</v>
      </c>
      <c r="H967" s="55" t="str">
        <f aca="false">IFERROR(VLOOKUP($A967,RA_result!$B$3:$N$62,11,0),"")</f>
        <v/>
      </c>
      <c r="I967" s="55" t="str">
        <f aca="false">IFERROR(VLOOKUP($A967,RA_result!$B$3:$N$62,12,0),"")</f>
        <v/>
      </c>
      <c r="J967" s="55" t="str">
        <f aca="false">IFERROR(VLOOKUP($A967,RA_result!$B$3:$N$62,13,0),"")</f>
        <v/>
      </c>
      <c r="K967" s="56"/>
      <c r="L967" s="56"/>
      <c r="M967" s="57" t="n">
        <f aca="false">G967</f>
        <v>0</v>
      </c>
      <c r="N967" s="54" t="n">
        <f aca="false">G967-M967</f>
        <v>0</v>
      </c>
      <c r="O967" s="55" t="str">
        <f aca="false">IFERROR(VLOOKUP($A967,RA_result!$B$3:$N$62,7,0),"")</f>
        <v/>
      </c>
      <c r="P967" s="52" t="str">
        <f aca="false">IFERROR(VLOOKUP($A967,RA_result!$B$3:$N$62,9,0),"")</f>
        <v/>
      </c>
      <c r="Q967" s="52" t="str">
        <f aca="false">IFERROR(VLOOKUP($A967,RA_result!$B$3:$N$62,10,0),"")</f>
        <v/>
      </c>
      <c r="R967" s="58" t="s">
        <v>55</v>
      </c>
      <c r="S967" s="59" t="str">
        <f aca="false">IFERROR(VLOOKUP($A967,RA_result!$B$3:$N$62,4,0),"")</f>
        <v/>
      </c>
      <c r="T967" s="60" t="s">
        <v>56</v>
      </c>
      <c r="U967" s="59" t="str">
        <f aca="false">IFERROR(IF(VLOOKUP($A967,RA_result!$B$3:$N$62,6,0)="",S967*T967,VLOOKUP($A967,RA_result!$B$3:$N$62,6,0)),"")</f>
        <v/>
      </c>
      <c r="V967" s="61" t="s">
        <v>56</v>
      </c>
      <c r="W967" s="62" t="n">
        <f aca="false">IFERROR((S967*30%)/V967,0)</f>
        <v>0</v>
      </c>
      <c r="X967" s="63" t="n">
        <f aca="false">IFERROR(N967/W967,0)</f>
        <v>0</v>
      </c>
      <c r="Y967" s="68"/>
      <c r="Z967" s="57"/>
      <c r="AA967" s="69" t="str">
        <f aca="false">IF(OR(U967="",Y967="",Z967=""),"",IF(AND(U967&gt;Y967,-U967&lt;Z967),"Ok","Not Ok"))</f>
        <v/>
      </c>
      <c r="AB967" s="70"/>
    </row>
    <row r="968" customFormat="false" ht="12.8" hidden="false" customHeight="false" outlineLevel="0" collapsed="false">
      <c r="A968" s="48" t="n">
        <f aca="false">TB_audited!A951</f>
        <v>0</v>
      </c>
      <c r="B968" s="49"/>
      <c r="C968" s="50"/>
      <c r="D968" s="51" t="n">
        <f aca="false">TB_audited!B951</f>
        <v>0</v>
      </c>
      <c r="E968" s="52" t="n">
        <f aca="false">TB_audited!C951</f>
        <v>0</v>
      </c>
      <c r="F968" s="53" t="n">
        <f aca="false">TB_audited!D951</f>
        <v>0</v>
      </c>
      <c r="G968" s="54" t="n">
        <f aca="false">IF($D$8="Interim",TB_audited!G951,TB_audited!E951)</f>
        <v>0</v>
      </c>
      <c r="H968" s="55" t="str">
        <f aca="false">IFERROR(VLOOKUP($A968,RA_result!$B$3:$N$62,11,0),"")</f>
        <v/>
      </c>
      <c r="I968" s="55" t="str">
        <f aca="false">IFERROR(VLOOKUP($A968,RA_result!$B$3:$N$62,12,0),"")</f>
        <v/>
      </c>
      <c r="J968" s="55" t="str">
        <f aca="false">IFERROR(VLOOKUP($A968,RA_result!$B$3:$N$62,13,0),"")</f>
        <v/>
      </c>
      <c r="K968" s="56"/>
      <c r="L968" s="56"/>
      <c r="M968" s="57" t="n">
        <f aca="false">G968</f>
        <v>0</v>
      </c>
      <c r="N968" s="54" t="n">
        <f aca="false">G968-M968</f>
        <v>0</v>
      </c>
      <c r="O968" s="55" t="str">
        <f aca="false">IFERROR(VLOOKUP($A968,RA_result!$B$3:$N$62,7,0),"")</f>
        <v/>
      </c>
      <c r="P968" s="52" t="str">
        <f aca="false">IFERROR(VLOOKUP($A968,RA_result!$B$3:$N$62,9,0),"")</f>
        <v/>
      </c>
      <c r="Q968" s="52" t="str">
        <f aca="false">IFERROR(VLOOKUP($A968,RA_result!$B$3:$N$62,10,0),"")</f>
        <v/>
      </c>
      <c r="R968" s="58" t="s">
        <v>55</v>
      </c>
      <c r="S968" s="59" t="str">
        <f aca="false">IFERROR(VLOOKUP($A968,RA_result!$B$3:$N$62,4,0),"")</f>
        <v/>
      </c>
      <c r="T968" s="60" t="s">
        <v>56</v>
      </c>
      <c r="U968" s="59" t="str">
        <f aca="false">IFERROR(IF(VLOOKUP($A968,RA_result!$B$3:$N$62,6,0)="",S968*T968,VLOOKUP($A968,RA_result!$B$3:$N$62,6,0)),"")</f>
        <v/>
      </c>
      <c r="V968" s="61" t="s">
        <v>56</v>
      </c>
      <c r="W968" s="62" t="n">
        <f aca="false">IFERROR((S968*30%)/V968,0)</f>
        <v>0</v>
      </c>
      <c r="X968" s="63" t="n">
        <f aca="false">IFERROR(N968/W968,0)</f>
        <v>0</v>
      </c>
      <c r="Y968" s="68"/>
      <c r="Z968" s="57"/>
      <c r="AA968" s="69" t="str">
        <f aca="false">IF(OR(U968="",Y968="",Z968=""),"",IF(AND(U968&gt;Y968,-U968&lt;Z968),"Ok","Not Ok"))</f>
        <v/>
      </c>
      <c r="AB968" s="70"/>
    </row>
    <row r="969" customFormat="false" ht="12.8" hidden="false" customHeight="false" outlineLevel="0" collapsed="false">
      <c r="A969" s="48" t="n">
        <f aca="false">TB_audited!A952</f>
        <v>0</v>
      </c>
      <c r="B969" s="49"/>
      <c r="C969" s="50"/>
      <c r="D969" s="51" t="n">
        <f aca="false">TB_audited!B952</f>
        <v>0</v>
      </c>
      <c r="E969" s="52" t="n">
        <f aca="false">TB_audited!C952</f>
        <v>0</v>
      </c>
      <c r="F969" s="53" t="n">
        <f aca="false">TB_audited!D952</f>
        <v>0</v>
      </c>
      <c r="G969" s="54" t="n">
        <f aca="false">IF($D$8="Interim",TB_audited!G952,TB_audited!E952)</f>
        <v>0</v>
      </c>
      <c r="H969" s="55" t="str">
        <f aca="false">IFERROR(VLOOKUP($A969,RA_result!$B$3:$N$62,11,0),"")</f>
        <v/>
      </c>
      <c r="I969" s="55" t="str">
        <f aca="false">IFERROR(VLOOKUP($A969,RA_result!$B$3:$N$62,12,0),"")</f>
        <v/>
      </c>
      <c r="J969" s="55" t="str">
        <f aca="false">IFERROR(VLOOKUP($A969,RA_result!$B$3:$N$62,13,0),"")</f>
        <v/>
      </c>
      <c r="K969" s="56"/>
      <c r="L969" s="56"/>
      <c r="M969" s="57" t="n">
        <f aca="false">G969</f>
        <v>0</v>
      </c>
      <c r="N969" s="54" t="n">
        <f aca="false">G969-M969</f>
        <v>0</v>
      </c>
      <c r="O969" s="55" t="str">
        <f aca="false">IFERROR(VLOOKUP($A969,RA_result!$B$3:$N$62,7,0),"")</f>
        <v/>
      </c>
      <c r="P969" s="52" t="str">
        <f aca="false">IFERROR(VLOOKUP($A969,RA_result!$B$3:$N$62,9,0),"")</f>
        <v/>
      </c>
      <c r="Q969" s="52" t="str">
        <f aca="false">IFERROR(VLOOKUP($A969,RA_result!$B$3:$N$62,10,0),"")</f>
        <v/>
      </c>
      <c r="R969" s="58" t="s">
        <v>55</v>
      </c>
      <c r="S969" s="59" t="str">
        <f aca="false">IFERROR(VLOOKUP($A969,RA_result!$B$3:$N$62,4,0),"")</f>
        <v/>
      </c>
      <c r="T969" s="60" t="s">
        <v>56</v>
      </c>
      <c r="U969" s="59" t="str">
        <f aca="false">IFERROR(IF(VLOOKUP($A969,RA_result!$B$3:$N$62,6,0)="",S969*T969,VLOOKUP($A969,RA_result!$B$3:$N$62,6,0)),"")</f>
        <v/>
      </c>
      <c r="V969" s="61" t="s">
        <v>56</v>
      </c>
      <c r="W969" s="62" t="n">
        <f aca="false">IFERROR((S969*30%)/V969,0)</f>
        <v>0</v>
      </c>
      <c r="X969" s="63" t="n">
        <f aca="false">IFERROR(N969/W969,0)</f>
        <v>0</v>
      </c>
      <c r="Y969" s="68"/>
      <c r="Z969" s="57"/>
      <c r="AA969" s="69" t="str">
        <f aca="false">IF(OR(U969="",Y969="",Z969=""),"",IF(AND(U969&gt;Y969,-U969&lt;Z969),"Ok","Not Ok"))</f>
        <v/>
      </c>
      <c r="AB969" s="70"/>
    </row>
    <row r="970" customFormat="false" ht="12.8" hidden="false" customHeight="false" outlineLevel="0" collapsed="false">
      <c r="A970" s="48" t="n">
        <f aca="false">TB_audited!A953</f>
        <v>0</v>
      </c>
      <c r="B970" s="49"/>
      <c r="C970" s="50"/>
      <c r="D970" s="51" t="n">
        <f aca="false">TB_audited!B953</f>
        <v>0</v>
      </c>
      <c r="E970" s="52" t="n">
        <f aca="false">TB_audited!C953</f>
        <v>0</v>
      </c>
      <c r="F970" s="53" t="n">
        <f aca="false">TB_audited!D953</f>
        <v>0</v>
      </c>
      <c r="G970" s="54" t="n">
        <f aca="false">IF($D$8="Interim",TB_audited!G953,TB_audited!E953)</f>
        <v>0</v>
      </c>
      <c r="H970" s="55" t="str">
        <f aca="false">IFERROR(VLOOKUP($A970,RA_result!$B$3:$N$62,11,0),"")</f>
        <v/>
      </c>
      <c r="I970" s="55" t="str">
        <f aca="false">IFERROR(VLOOKUP($A970,RA_result!$B$3:$N$62,12,0),"")</f>
        <v/>
      </c>
      <c r="J970" s="55" t="str">
        <f aca="false">IFERROR(VLOOKUP($A970,RA_result!$B$3:$N$62,13,0),"")</f>
        <v/>
      </c>
      <c r="K970" s="56"/>
      <c r="L970" s="56"/>
      <c r="M970" s="57" t="n">
        <f aca="false">G970</f>
        <v>0</v>
      </c>
      <c r="N970" s="54" t="n">
        <f aca="false">G970-M970</f>
        <v>0</v>
      </c>
      <c r="O970" s="55" t="str">
        <f aca="false">IFERROR(VLOOKUP($A970,RA_result!$B$3:$N$62,7,0),"")</f>
        <v/>
      </c>
      <c r="P970" s="52" t="str">
        <f aca="false">IFERROR(VLOOKUP($A970,RA_result!$B$3:$N$62,9,0),"")</f>
        <v/>
      </c>
      <c r="Q970" s="52" t="str">
        <f aca="false">IFERROR(VLOOKUP($A970,RA_result!$B$3:$N$62,10,0),"")</f>
        <v/>
      </c>
      <c r="R970" s="58" t="s">
        <v>55</v>
      </c>
      <c r="S970" s="59" t="str">
        <f aca="false">IFERROR(VLOOKUP($A970,RA_result!$B$3:$N$62,4,0),"")</f>
        <v/>
      </c>
      <c r="T970" s="60" t="s">
        <v>56</v>
      </c>
      <c r="U970" s="59" t="str">
        <f aca="false">IFERROR(IF(VLOOKUP($A970,RA_result!$B$3:$N$62,6,0)="",S970*T970,VLOOKUP($A970,RA_result!$B$3:$N$62,6,0)),"")</f>
        <v/>
      </c>
      <c r="V970" s="61" t="s">
        <v>56</v>
      </c>
      <c r="W970" s="62" t="n">
        <f aca="false">IFERROR((S970*30%)/V970,0)</f>
        <v>0</v>
      </c>
      <c r="X970" s="63" t="n">
        <f aca="false">IFERROR(N970/W970,0)</f>
        <v>0</v>
      </c>
      <c r="Y970" s="68"/>
      <c r="Z970" s="57"/>
      <c r="AA970" s="69" t="str">
        <f aca="false">IF(OR(U970="",Y970="",Z970=""),"",IF(AND(U970&gt;Y970,-U970&lt;Z970),"Ok","Not Ok"))</f>
        <v/>
      </c>
      <c r="AB970" s="70"/>
    </row>
    <row r="971" customFormat="false" ht="12.8" hidden="false" customHeight="false" outlineLevel="0" collapsed="false">
      <c r="A971" s="48" t="n">
        <f aca="false">TB_audited!A954</f>
        <v>0</v>
      </c>
      <c r="B971" s="49"/>
      <c r="C971" s="50"/>
      <c r="D971" s="51" t="n">
        <f aca="false">TB_audited!B954</f>
        <v>0</v>
      </c>
      <c r="E971" s="52" t="n">
        <f aca="false">TB_audited!C954</f>
        <v>0</v>
      </c>
      <c r="F971" s="53" t="n">
        <f aca="false">TB_audited!D954</f>
        <v>0</v>
      </c>
      <c r="G971" s="54" t="n">
        <f aca="false">IF($D$8="Interim",TB_audited!G954,TB_audited!E954)</f>
        <v>0</v>
      </c>
      <c r="H971" s="55" t="str">
        <f aca="false">IFERROR(VLOOKUP($A971,RA_result!$B$3:$N$62,11,0),"")</f>
        <v/>
      </c>
      <c r="I971" s="55" t="str">
        <f aca="false">IFERROR(VLOOKUP($A971,RA_result!$B$3:$N$62,12,0),"")</f>
        <v/>
      </c>
      <c r="J971" s="55" t="str">
        <f aca="false">IFERROR(VLOOKUP($A971,RA_result!$B$3:$N$62,13,0),"")</f>
        <v/>
      </c>
      <c r="K971" s="56"/>
      <c r="L971" s="56"/>
      <c r="M971" s="57" t="n">
        <f aca="false">G971</f>
        <v>0</v>
      </c>
      <c r="N971" s="54" t="n">
        <f aca="false">G971-M971</f>
        <v>0</v>
      </c>
      <c r="O971" s="55" t="str">
        <f aca="false">IFERROR(VLOOKUP($A971,RA_result!$B$3:$N$62,7,0),"")</f>
        <v/>
      </c>
      <c r="P971" s="52" t="str">
        <f aca="false">IFERROR(VLOOKUP($A971,RA_result!$B$3:$N$62,9,0),"")</f>
        <v/>
      </c>
      <c r="Q971" s="52" t="str">
        <f aca="false">IFERROR(VLOOKUP($A971,RA_result!$B$3:$N$62,10,0),"")</f>
        <v/>
      </c>
      <c r="R971" s="58" t="s">
        <v>55</v>
      </c>
      <c r="S971" s="59" t="str">
        <f aca="false">IFERROR(VLOOKUP($A971,RA_result!$B$3:$N$62,4,0),"")</f>
        <v/>
      </c>
      <c r="T971" s="60" t="s">
        <v>56</v>
      </c>
      <c r="U971" s="59" t="str">
        <f aca="false">IFERROR(IF(VLOOKUP($A971,RA_result!$B$3:$N$62,6,0)="",S971*T971,VLOOKUP($A971,RA_result!$B$3:$N$62,6,0)),"")</f>
        <v/>
      </c>
      <c r="V971" s="61" t="s">
        <v>56</v>
      </c>
      <c r="W971" s="62" t="n">
        <f aca="false">IFERROR((S971*30%)/V971,0)</f>
        <v>0</v>
      </c>
      <c r="X971" s="63" t="n">
        <f aca="false">IFERROR(N971/W971,0)</f>
        <v>0</v>
      </c>
      <c r="Y971" s="68"/>
      <c r="Z971" s="57"/>
      <c r="AA971" s="69" t="str">
        <f aca="false">IF(OR(U971="",Y971="",Z971=""),"",IF(AND(U971&gt;Y971,-U971&lt;Z971),"Ok","Not Ok"))</f>
        <v/>
      </c>
      <c r="AB971" s="70"/>
    </row>
    <row r="972" customFormat="false" ht="12.8" hidden="false" customHeight="false" outlineLevel="0" collapsed="false">
      <c r="A972" s="48" t="n">
        <f aca="false">TB_audited!A955</f>
        <v>0</v>
      </c>
      <c r="B972" s="49"/>
      <c r="C972" s="50"/>
      <c r="D972" s="51" t="n">
        <f aca="false">TB_audited!B955</f>
        <v>0</v>
      </c>
      <c r="E972" s="52" t="n">
        <f aca="false">TB_audited!C955</f>
        <v>0</v>
      </c>
      <c r="F972" s="53" t="n">
        <f aca="false">TB_audited!D955</f>
        <v>0</v>
      </c>
      <c r="G972" s="54" t="n">
        <f aca="false">IF($D$8="Interim",TB_audited!G955,TB_audited!E955)</f>
        <v>0</v>
      </c>
      <c r="H972" s="55" t="str">
        <f aca="false">IFERROR(VLOOKUP($A972,RA_result!$B$3:$N$62,11,0),"")</f>
        <v/>
      </c>
      <c r="I972" s="55" t="str">
        <f aca="false">IFERROR(VLOOKUP($A972,RA_result!$B$3:$N$62,12,0),"")</f>
        <v/>
      </c>
      <c r="J972" s="55" t="str">
        <f aca="false">IFERROR(VLOOKUP($A972,RA_result!$B$3:$N$62,13,0),"")</f>
        <v/>
      </c>
      <c r="K972" s="56"/>
      <c r="L972" s="56"/>
      <c r="M972" s="57" t="n">
        <f aca="false">G972</f>
        <v>0</v>
      </c>
      <c r="N972" s="54" t="n">
        <f aca="false">G972-M972</f>
        <v>0</v>
      </c>
      <c r="O972" s="55" t="str">
        <f aca="false">IFERROR(VLOOKUP($A972,RA_result!$B$3:$N$62,7,0),"")</f>
        <v/>
      </c>
      <c r="P972" s="52" t="str">
        <f aca="false">IFERROR(VLOOKUP($A972,RA_result!$B$3:$N$62,9,0),"")</f>
        <v/>
      </c>
      <c r="Q972" s="52" t="str">
        <f aca="false">IFERROR(VLOOKUP($A972,RA_result!$B$3:$N$62,10,0),"")</f>
        <v/>
      </c>
      <c r="R972" s="58" t="s">
        <v>55</v>
      </c>
      <c r="S972" s="59" t="str">
        <f aca="false">IFERROR(VLOOKUP($A972,RA_result!$B$3:$N$62,4,0),"")</f>
        <v/>
      </c>
      <c r="T972" s="60" t="s">
        <v>56</v>
      </c>
      <c r="U972" s="59" t="str">
        <f aca="false">IFERROR(IF(VLOOKUP($A972,RA_result!$B$3:$N$62,6,0)="",S972*T972,VLOOKUP($A972,RA_result!$B$3:$N$62,6,0)),"")</f>
        <v/>
      </c>
      <c r="V972" s="61" t="s">
        <v>56</v>
      </c>
      <c r="W972" s="62" t="n">
        <f aca="false">IFERROR((S972*30%)/V972,0)</f>
        <v>0</v>
      </c>
      <c r="X972" s="63" t="n">
        <f aca="false">IFERROR(N972/W972,0)</f>
        <v>0</v>
      </c>
      <c r="Y972" s="68"/>
      <c r="Z972" s="57"/>
      <c r="AA972" s="69" t="str">
        <f aca="false">IF(OR(U972="",Y972="",Z972=""),"",IF(AND(U972&gt;Y972,-U972&lt;Z972),"Ok","Not Ok"))</f>
        <v/>
      </c>
      <c r="AB972" s="70"/>
    </row>
    <row r="973" customFormat="false" ht="12.8" hidden="false" customHeight="false" outlineLevel="0" collapsed="false">
      <c r="A973" s="48" t="n">
        <f aca="false">TB_audited!A956</f>
        <v>0</v>
      </c>
      <c r="B973" s="49"/>
      <c r="C973" s="50"/>
      <c r="D973" s="51" t="n">
        <f aca="false">TB_audited!B956</f>
        <v>0</v>
      </c>
      <c r="E973" s="52" t="n">
        <f aca="false">TB_audited!C956</f>
        <v>0</v>
      </c>
      <c r="F973" s="53" t="n">
        <f aca="false">TB_audited!D956</f>
        <v>0</v>
      </c>
      <c r="G973" s="54" t="n">
        <f aca="false">IF($D$8="Interim",TB_audited!G956,TB_audited!E956)</f>
        <v>0</v>
      </c>
      <c r="H973" s="55" t="str">
        <f aca="false">IFERROR(VLOOKUP($A973,RA_result!$B$3:$N$62,11,0),"")</f>
        <v/>
      </c>
      <c r="I973" s="55" t="str">
        <f aca="false">IFERROR(VLOOKUP($A973,RA_result!$B$3:$N$62,12,0),"")</f>
        <v/>
      </c>
      <c r="J973" s="55" t="str">
        <f aca="false">IFERROR(VLOOKUP($A973,RA_result!$B$3:$N$62,13,0),"")</f>
        <v/>
      </c>
      <c r="K973" s="56"/>
      <c r="L973" s="56"/>
      <c r="M973" s="57" t="n">
        <f aca="false">G973</f>
        <v>0</v>
      </c>
      <c r="N973" s="54" t="n">
        <f aca="false">G973-M973</f>
        <v>0</v>
      </c>
      <c r="O973" s="55" t="str">
        <f aca="false">IFERROR(VLOOKUP($A973,RA_result!$B$3:$N$62,7,0),"")</f>
        <v/>
      </c>
      <c r="P973" s="52" t="str">
        <f aca="false">IFERROR(VLOOKUP($A973,RA_result!$B$3:$N$62,9,0),"")</f>
        <v/>
      </c>
      <c r="Q973" s="52" t="str">
        <f aca="false">IFERROR(VLOOKUP($A973,RA_result!$B$3:$N$62,10,0),"")</f>
        <v/>
      </c>
      <c r="R973" s="58" t="s">
        <v>55</v>
      </c>
      <c r="S973" s="59" t="str">
        <f aca="false">IFERROR(VLOOKUP($A973,RA_result!$B$3:$N$62,4,0),"")</f>
        <v/>
      </c>
      <c r="T973" s="60" t="s">
        <v>56</v>
      </c>
      <c r="U973" s="59" t="str">
        <f aca="false">IFERROR(IF(VLOOKUP($A973,RA_result!$B$3:$N$62,6,0)="",S973*T973,VLOOKUP($A973,RA_result!$B$3:$N$62,6,0)),"")</f>
        <v/>
      </c>
      <c r="V973" s="61" t="s">
        <v>56</v>
      </c>
      <c r="W973" s="62" t="n">
        <f aca="false">IFERROR((S973*30%)/V973,0)</f>
        <v>0</v>
      </c>
      <c r="X973" s="63" t="n">
        <f aca="false">IFERROR(N973/W973,0)</f>
        <v>0</v>
      </c>
      <c r="Y973" s="68"/>
      <c r="Z973" s="57"/>
      <c r="AA973" s="69" t="str">
        <f aca="false">IF(OR(U973="",Y973="",Z973=""),"",IF(AND(U973&gt;Y973,-U973&lt;Z973),"Ok","Not Ok"))</f>
        <v/>
      </c>
      <c r="AB973" s="70"/>
    </row>
    <row r="974" customFormat="false" ht="12.8" hidden="false" customHeight="false" outlineLevel="0" collapsed="false">
      <c r="A974" s="48" t="n">
        <f aca="false">TB_audited!A957</f>
        <v>0</v>
      </c>
      <c r="B974" s="49"/>
      <c r="C974" s="50"/>
      <c r="D974" s="51" t="n">
        <f aca="false">TB_audited!B957</f>
        <v>0</v>
      </c>
      <c r="E974" s="52" t="n">
        <f aca="false">TB_audited!C957</f>
        <v>0</v>
      </c>
      <c r="F974" s="53" t="n">
        <f aca="false">TB_audited!D957</f>
        <v>0</v>
      </c>
      <c r="G974" s="54" t="n">
        <f aca="false">IF($D$8="Interim",TB_audited!G957,TB_audited!E957)</f>
        <v>0</v>
      </c>
      <c r="H974" s="55" t="str">
        <f aca="false">IFERROR(VLOOKUP($A974,RA_result!$B$3:$N$62,11,0),"")</f>
        <v/>
      </c>
      <c r="I974" s="55" t="str">
        <f aca="false">IFERROR(VLOOKUP($A974,RA_result!$B$3:$N$62,12,0),"")</f>
        <v/>
      </c>
      <c r="J974" s="55" t="str">
        <f aca="false">IFERROR(VLOOKUP($A974,RA_result!$B$3:$N$62,13,0),"")</f>
        <v/>
      </c>
      <c r="K974" s="56"/>
      <c r="L974" s="56"/>
      <c r="M974" s="57" t="n">
        <f aca="false">G974</f>
        <v>0</v>
      </c>
      <c r="N974" s="54" t="n">
        <f aca="false">G974-M974</f>
        <v>0</v>
      </c>
      <c r="O974" s="55" t="str">
        <f aca="false">IFERROR(VLOOKUP($A974,RA_result!$B$3:$N$62,7,0),"")</f>
        <v/>
      </c>
      <c r="P974" s="52" t="str">
        <f aca="false">IFERROR(VLOOKUP($A974,RA_result!$B$3:$N$62,9,0),"")</f>
        <v/>
      </c>
      <c r="Q974" s="52" t="str">
        <f aca="false">IFERROR(VLOOKUP($A974,RA_result!$B$3:$N$62,10,0),"")</f>
        <v/>
      </c>
      <c r="R974" s="58" t="s">
        <v>55</v>
      </c>
      <c r="S974" s="59" t="str">
        <f aca="false">IFERROR(VLOOKUP($A974,RA_result!$B$3:$N$62,4,0),"")</f>
        <v/>
      </c>
      <c r="T974" s="60" t="s">
        <v>56</v>
      </c>
      <c r="U974" s="59" t="str">
        <f aca="false">IFERROR(IF(VLOOKUP($A974,RA_result!$B$3:$N$62,6,0)="",S974*T974,VLOOKUP($A974,RA_result!$B$3:$N$62,6,0)),"")</f>
        <v/>
      </c>
      <c r="V974" s="61" t="s">
        <v>56</v>
      </c>
      <c r="W974" s="62" t="n">
        <f aca="false">IFERROR((S974*30%)/V974,0)</f>
        <v>0</v>
      </c>
      <c r="X974" s="63" t="n">
        <f aca="false">IFERROR(N974/W974,0)</f>
        <v>0</v>
      </c>
      <c r="Y974" s="68"/>
      <c r="Z974" s="57"/>
      <c r="AA974" s="69" t="str">
        <f aca="false">IF(OR(U974="",Y974="",Z974=""),"",IF(AND(U974&gt;Y974,-U974&lt;Z974),"Ok","Not Ok"))</f>
        <v/>
      </c>
      <c r="AB974" s="70"/>
    </row>
    <row r="975" customFormat="false" ht="12.8" hidden="false" customHeight="false" outlineLevel="0" collapsed="false">
      <c r="A975" s="48" t="n">
        <f aca="false">TB_audited!A958</f>
        <v>0</v>
      </c>
      <c r="B975" s="49"/>
      <c r="C975" s="50"/>
      <c r="D975" s="51" t="n">
        <f aca="false">TB_audited!B958</f>
        <v>0</v>
      </c>
      <c r="E975" s="52" t="n">
        <f aca="false">TB_audited!C958</f>
        <v>0</v>
      </c>
      <c r="F975" s="53" t="n">
        <f aca="false">TB_audited!D958</f>
        <v>0</v>
      </c>
      <c r="G975" s="54" t="n">
        <f aca="false">IF($D$8="Interim",TB_audited!G958,TB_audited!E958)</f>
        <v>0</v>
      </c>
      <c r="H975" s="55" t="str">
        <f aca="false">IFERROR(VLOOKUP($A975,RA_result!$B$3:$N$62,11,0),"")</f>
        <v/>
      </c>
      <c r="I975" s="55" t="str">
        <f aca="false">IFERROR(VLOOKUP($A975,RA_result!$B$3:$N$62,12,0),"")</f>
        <v/>
      </c>
      <c r="J975" s="55" t="str">
        <f aca="false">IFERROR(VLOOKUP($A975,RA_result!$B$3:$N$62,13,0),"")</f>
        <v/>
      </c>
      <c r="K975" s="56"/>
      <c r="L975" s="56"/>
      <c r="M975" s="57" t="n">
        <f aca="false">G975</f>
        <v>0</v>
      </c>
      <c r="N975" s="54" t="n">
        <f aca="false">G975-M975</f>
        <v>0</v>
      </c>
      <c r="O975" s="55" t="str">
        <f aca="false">IFERROR(VLOOKUP($A975,RA_result!$B$3:$N$62,7,0),"")</f>
        <v/>
      </c>
      <c r="P975" s="52" t="str">
        <f aca="false">IFERROR(VLOOKUP($A975,RA_result!$B$3:$N$62,9,0),"")</f>
        <v/>
      </c>
      <c r="Q975" s="52" t="str">
        <f aca="false">IFERROR(VLOOKUP($A975,RA_result!$B$3:$N$62,10,0),"")</f>
        <v/>
      </c>
      <c r="R975" s="58" t="s">
        <v>55</v>
      </c>
      <c r="S975" s="59" t="str">
        <f aca="false">IFERROR(VLOOKUP($A975,RA_result!$B$3:$N$62,4,0),"")</f>
        <v/>
      </c>
      <c r="T975" s="60" t="s">
        <v>56</v>
      </c>
      <c r="U975" s="59" t="str">
        <f aca="false">IFERROR(IF(VLOOKUP($A975,RA_result!$B$3:$N$62,6,0)="",S975*T975,VLOOKUP($A975,RA_result!$B$3:$N$62,6,0)),"")</f>
        <v/>
      </c>
      <c r="V975" s="61" t="s">
        <v>56</v>
      </c>
      <c r="W975" s="62" t="n">
        <f aca="false">IFERROR((S975*30%)/V975,0)</f>
        <v>0</v>
      </c>
      <c r="X975" s="63" t="n">
        <f aca="false">IFERROR(N975/W975,0)</f>
        <v>0</v>
      </c>
      <c r="Y975" s="68"/>
      <c r="Z975" s="57"/>
      <c r="AA975" s="69" t="str">
        <f aca="false">IF(OR(U975="",Y975="",Z975=""),"",IF(AND(U975&gt;Y975,-U975&lt;Z975),"Ok","Not Ok"))</f>
        <v/>
      </c>
      <c r="AB975" s="70"/>
    </row>
    <row r="976" customFormat="false" ht="12.8" hidden="false" customHeight="false" outlineLevel="0" collapsed="false">
      <c r="A976" s="48" t="n">
        <f aca="false">TB_audited!A959</f>
        <v>0</v>
      </c>
      <c r="B976" s="49"/>
      <c r="C976" s="50"/>
      <c r="D976" s="51" t="n">
        <f aca="false">TB_audited!B959</f>
        <v>0</v>
      </c>
      <c r="E976" s="52" t="n">
        <f aca="false">TB_audited!C959</f>
        <v>0</v>
      </c>
      <c r="F976" s="53" t="n">
        <f aca="false">TB_audited!D959</f>
        <v>0</v>
      </c>
      <c r="G976" s="54" t="n">
        <f aca="false">IF($D$8="Interim",TB_audited!G959,TB_audited!E959)</f>
        <v>0</v>
      </c>
      <c r="H976" s="55" t="str">
        <f aca="false">IFERROR(VLOOKUP($A976,RA_result!$B$3:$N$62,11,0),"")</f>
        <v/>
      </c>
      <c r="I976" s="55" t="str">
        <f aca="false">IFERROR(VLOOKUP($A976,RA_result!$B$3:$N$62,12,0),"")</f>
        <v/>
      </c>
      <c r="J976" s="55" t="str">
        <f aca="false">IFERROR(VLOOKUP($A976,RA_result!$B$3:$N$62,13,0),"")</f>
        <v/>
      </c>
      <c r="K976" s="56"/>
      <c r="L976" s="56"/>
      <c r="M976" s="57" t="n">
        <f aca="false">G976</f>
        <v>0</v>
      </c>
      <c r="N976" s="54" t="n">
        <f aca="false">G976-M976</f>
        <v>0</v>
      </c>
      <c r="O976" s="55" t="str">
        <f aca="false">IFERROR(VLOOKUP($A976,RA_result!$B$3:$N$62,7,0),"")</f>
        <v/>
      </c>
      <c r="P976" s="52" t="str">
        <f aca="false">IFERROR(VLOOKUP($A976,RA_result!$B$3:$N$62,9,0),"")</f>
        <v/>
      </c>
      <c r="Q976" s="52" t="str">
        <f aca="false">IFERROR(VLOOKUP($A976,RA_result!$B$3:$N$62,10,0),"")</f>
        <v/>
      </c>
      <c r="R976" s="58" t="s">
        <v>55</v>
      </c>
      <c r="S976" s="59" t="str">
        <f aca="false">IFERROR(VLOOKUP($A976,RA_result!$B$3:$N$62,4,0),"")</f>
        <v/>
      </c>
      <c r="T976" s="60" t="s">
        <v>56</v>
      </c>
      <c r="U976" s="59" t="str">
        <f aca="false">IFERROR(IF(VLOOKUP($A976,RA_result!$B$3:$N$62,6,0)="",S976*T976,VLOOKUP($A976,RA_result!$B$3:$N$62,6,0)),"")</f>
        <v/>
      </c>
      <c r="V976" s="61" t="s">
        <v>56</v>
      </c>
      <c r="W976" s="62" t="n">
        <f aca="false">IFERROR((S976*30%)/V976,0)</f>
        <v>0</v>
      </c>
      <c r="X976" s="63" t="n">
        <f aca="false">IFERROR(N976/W976,0)</f>
        <v>0</v>
      </c>
      <c r="Y976" s="68"/>
      <c r="Z976" s="57"/>
      <c r="AA976" s="69" t="str">
        <f aca="false">IF(OR(U976="",Y976="",Z976=""),"",IF(AND(U976&gt;Y976,-U976&lt;Z976),"Ok","Not Ok"))</f>
        <v/>
      </c>
      <c r="AB976" s="70"/>
    </row>
    <row r="977" customFormat="false" ht="12.8" hidden="false" customHeight="false" outlineLevel="0" collapsed="false">
      <c r="A977" s="48" t="n">
        <f aca="false">TB_audited!A960</f>
        <v>0</v>
      </c>
      <c r="B977" s="49"/>
      <c r="C977" s="50"/>
      <c r="D977" s="51" t="n">
        <f aca="false">TB_audited!B960</f>
        <v>0</v>
      </c>
      <c r="E977" s="52" t="n">
        <f aca="false">TB_audited!C960</f>
        <v>0</v>
      </c>
      <c r="F977" s="53" t="n">
        <f aca="false">TB_audited!D960</f>
        <v>0</v>
      </c>
      <c r="G977" s="54" t="n">
        <f aca="false">IF($D$8="Interim",TB_audited!G960,TB_audited!E960)</f>
        <v>0</v>
      </c>
      <c r="H977" s="55" t="str">
        <f aca="false">IFERROR(VLOOKUP($A977,RA_result!$B$3:$N$62,11,0),"")</f>
        <v/>
      </c>
      <c r="I977" s="55" t="str">
        <f aca="false">IFERROR(VLOOKUP($A977,RA_result!$B$3:$N$62,12,0),"")</f>
        <v/>
      </c>
      <c r="J977" s="55" t="str">
        <f aca="false">IFERROR(VLOOKUP($A977,RA_result!$B$3:$N$62,13,0),"")</f>
        <v/>
      </c>
      <c r="K977" s="56"/>
      <c r="L977" s="56"/>
      <c r="M977" s="57" t="n">
        <f aca="false">G977</f>
        <v>0</v>
      </c>
      <c r="N977" s="54" t="n">
        <f aca="false">G977-M977</f>
        <v>0</v>
      </c>
      <c r="O977" s="55" t="str">
        <f aca="false">IFERROR(VLOOKUP($A977,RA_result!$B$3:$N$62,7,0),"")</f>
        <v/>
      </c>
      <c r="P977" s="52" t="str">
        <f aca="false">IFERROR(VLOOKUP($A977,RA_result!$B$3:$N$62,9,0),"")</f>
        <v/>
      </c>
      <c r="Q977" s="52" t="str">
        <f aca="false">IFERROR(VLOOKUP($A977,RA_result!$B$3:$N$62,10,0),"")</f>
        <v/>
      </c>
      <c r="R977" s="58" t="s">
        <v>55</v>
      </c>
      <c r="S977" s="59" t="str">
        <f aca="false">IFERROR(VLOOKUP($A977,RA_result!$B$3:$N$62,4,0),"")</f>
        <v/>
      </c>
      <c r="T977" s="60" t="s">
        <v>56</v>
      </c>
      <c r="U977" s="59" t="str">
        <f aca="false">IFERROR(IF(VLOOKUP($A977,RA_result!$B$3:$N$62,6,0)="",S977*T977,VLOOKUP($A977,RA_result!$B$3:$N$62,6,0)),"")</f>
        <v/>
      </c>
      <c r="V977" s="61" t="s">
        <v>56</v>
      </c>
      <c r="W977" s="62" t="n">
        <f aca="false">IFERROR((S977*30%)/V977,0)</f>
        <v>0</v>
      </c>
      <c r="X977" s="63" t="n">
        <f aca="false">IFERROR(N977/W977,0)</f>
        <v>0</v>
      </c>
      <c r="Y977" s="68"/>
      <c r="Z977" s="57"/>
      <c r="AA977" s="69" t="str">
        <f aca="false">IF(OR(U977="",Y977="",Z977=""),"",IF(AND(U977&gt;Y977,-U977&lt;Z977),"Ok","Not Ok"))</f>
        <v/>
      </c>
      <c r="AB977" s="70"/>
    </row>
    <row r="978" customFormat="false" ht="12.8" hidden="false" customHeight="false" outlineLevel="0" collapsed="false">
      <c r="A978" s="48" t="n">
        <f aca="false">TB_audited!A961</f>
        <v>0</v>
      </c>
      <c r="B978" s="49"/>
      <c r="C978" s="50"/>
      <c r="D978" s="51" t="n">
        <f aca="false">TB_audited!B961</f>
        <v>0</v>
      </c>
      <c r="E978" s="52" t="n">
        <f aca="false">TB_audited!C961</f>
        <v>0</v>
      </c>
      <c r="F978" s="53" t="n">
        <f aca="false">TB_audited!D961</f>
        <v>0</v>
      </c>
      <c r="G978" s="54" t="n">
        <f aca="false">IF($D$8="Interim",TB_audited!G961,TB_audited!E961)</f>
        <v>0</v>
      </c>
      <c r="H978" s="55" t="str">
        <f aca="false">IFERROR(VLOOKUP($A978,RA_result!$B$3:$N$62,11,0),"")</f>
        <v/>
      </c>
      <c r="I978" s="55" t="str">
        <f aca="false">IFERROR(VLOOKUP($A978,RA_result!$B$3:$N$62,12,0),"")</f>
        <v/>
      </c>
      <c r="J978" s="55" t="str">
        <f aca="false">IFERROR(VLOOKUP($A978,RA_result!$B$3:$N$62,13,0),"")</f>
        <v/>
      </c>
      <c r="K978" s="56"/>
      <c r="L978" s="56"/>
      <c r="M978" s="57" t="n">
        <f aca="false">G978</f>
        <v>0</v>
      </c>
      <c r="N978" s="54" t="n">
        <f aca="false">G978-M978</f>
        <v>0</v>
      </c>
      <c r="O978" s="55" t="str">
        <f aca="false">IFERROR(VLOOKUP($A978,RA_result!$B$3:$N$62,7,0),"")</f>
        <v/>
      </c>
      <c r="P978" s="52" t="str">
        <f aca="false">IFERROR(VLOOKUP($A978,RA_result!$B$3:$N$62,9,0),"")</f>
        <v/>
      </c>
      <c r="Q978" s="52" t="str">
        <f aca="false">IFERROR(VLOOKUP($A978,RA_result!$B$3:$N$62,10,0),"")</f>
        <v/>
      </c>
      <c r="R978" s="58" t="s">
        <v>55</v>
      </c>
      <c r="S978" s="59" t="str">
        <f aca="false">IFERROR(VLOOKUP($A978,RA_result!$B$3:$N$62,4,0),"")</f>
        <v/>
      </c>
      <c r="T978" s="60" t="s">
        <v>56</v>
      </c>
      <c r="U978" s="59" t="str">
        <f aca="false">IFERROR(IF(VLOOKUP($A978,RA_result!$B$3:$N$62,6,0)="",S978*T978,VLOOKUP($A978,RA_result!$B$3:$N$62,6,0)),"")</f>
        <v/>
      </c>
      <c r="V978" s="61" t="s">
        <v>56</v>
      </c>
      <c r="W978" s="62" t="n">
        <f aca="false">IFERROR((S978*30%)/V978,0)</f>
        <v>0</v>
      </c>
      <c r="X978" s="63" t="n">
        <f aca="false">IFERROR(N978/W978,0)</f>
        <v>0</v>
      </c>
      <c r="Y978" s="68"/>
      <c r="Z978" s="57"/>
      <c r="AA978" s="69" t="str">
        <f aca="false">IF(OR(U978="",Y978="",Z978=""),"",IF(AND(U978&gt;Y978,-U978&lt;Z978),"Ok","Not Ok"))</f>
        <v/>
      </c>
      <c r="AB978" s="70"/>
    </row>
    <row r="979" customFormat="false" ht="12.8" hidden="false" customHeight="false" outlineLevel="0" collapsed="false">
      <c r="A979" s="48" t="n">
        <f aca="false">TB_audited!A962</f>
        <v>0</v>
      </c>
      <c r="B979" s="49"/>
      <c r="C979" s="50"/>
      <c r="D979" s="51" t="n">
        <f aca="false">TB_audited!B962</f>
        <v>0</v>
      </c>
      <c r="E979" s="52" t="n">
        <f aca="false">TB_audited!C962</f>
        <v>0</v>
      </c>
      <c r="F979" s="53" t="n">
        <f aca="false">TB_audited!D962</f>
        <v>0</v>
      </c>
      <c r="G979" s="54" t="n">
        <f aca="false">IF($D$8="Interim",TB_audited!G962,TB_audited!E962)</f>
        <v>0</v>
      </c>
      <c r="H979" s="55" t="str">
        <f aca="false">IFERROR(VLOOKUP($A979,RA_result!$B$3:$N$62,11,0),"")</f>
        <v/>
      </c>
      <c r="I979" s="55" t="str">
        <f aca="false">IFERROR(VLOOKUP($A979,RA_result!$B$3:$N$62,12,0),"")</f>
        <v/>
      </c>
      <c r="J979" s="55" t="str">
        <f aca="false">IFERROR(VLOOKUP($A979,RA_result!$B$3:$N$62,13,0),"")</f>
        <v/>
      </c>
      <c r="K979" s="56"/>
      <c r="L979" s="56"/>
      <c r="M979" s="57" t="n">
        <f aca="false">G979</f>
        <v>0</v>
      </c>
      <c r="N979" s="54" t="n">
        <f aca="false">G979-M979</f>
        <v>0</v>
      </c>
      <c r="O979" s="55" t="str">
        <f aca="false">IFERROR(VLOOKUP($A979,RA_result!$B$3:$N$62,7,0),"")</f>
        <v/>
      </c>
      <c r="P979" s="52" t="str">
        <f aca="false">IFERROR(VLOOKUP($A979,RA_result!$B$3:$N$62,9,0),"")</f>
        <v/>
      </c>
      <c r="Q979" s="52" t="str">
        <f aca="false">IFERROR(VLOOKUP($A979,RA_result!$B$3:$N$62,10,0),"")</f>
        <v/>
      </c>
      <c r="R979" s="58" t="s">
        <v>55</v>
      </c>
      <c r="S979" s="59" t="str">
        <f aca="false">IFERROR(VLOOKUP($A979,RA_result!$B$3:$N$62,4,0),"")</f>
        <v/>
      </c>
      <c r="T979" s="60" t="s">
        <v>56</v>
      </c>
      <c r="U979" s="59" t="str">
        <f aca="false">IFERROR(IF(VLOOKUP($A979,RA_result!$B$3:$N$62,6,0)="",S979*T979,VLOOKUP($A979,RA_result!$B$3:$N$62,6,0)),"")</f>
        <v/>
      </c>
      <c r="V979" s="61" t="s">
        <v>56</v>
      </c>
      <c r="W979" s="62" t="n">
        <f aca="false">IFERROR((S979*30%)/V979,0)</f>
        <v>0</v>
      </c>
      <c r="X979" s="63" t="n">
        <f aca="false">IFERROR(N979/W979,0)</f>
        <v>0</v>
      </c>
      <c r="Y979" s="68"/>
      <c r="Z979" s="57"/>
      <c r="AA979" s="69" t="str">
        <f aca="false">IF(OR(U979="",Y979="",Z979=""),"",IF(AND(U979&gt;Y979,-U979&lt;Z979),"Ok","Not Ok"))</f>
        <v/>
      </c>
      <c r="AB979" s="70"/>
    </row>
    <row r="980" customFormat="false" ht="12.8" hidden="false" customHeight="false" outlineLevel="0" collapsed="false">
      <c r="A980" s="48" t="n">
        <f aca="false">TB_audited!A963</f>
        <v>0</v>
      </c>
      <c r="B980" s="49"/>
      <c r="C980" s="50"/>
      <c r="D980" s="51" t="n">
        <f aca="false">TB_audited!B963</f>
        <v>0</v>
      </c>
      <c r="E980" s="52" t="n">
        <f aca="false">TB_audited!C963</f>
        <v>0</v>
      </c>
      <c r="F980" s="53" t="n">
        <f aca="false">TB_audited!D963</f>
        <v>0</v>
      </c>
      <c r="G980" s="54" t="n">
        <f aca="false">IF($D$8="Interim",TB_audited!G963,TB_audited!E963)</f>
        <v>0</v>
      </c>
      <c r="H980" s="55" t="str">
        <f aca="false">IFERROR(VLOOKUP($A980,RA_result!$B$3:$N$62,11,0),"")</f>
        <v/>
      </c>
      <c r="I980" s="55" t="str">
        <f aca="false">IFERROR(VLOOKUP($A980,RA_result!$B$3:$N$62,12,0),"")</f>
        <v/>
      </c>
      <c r="J980" s="55" t="str">
        <f aca="false">IFERROR(VLOOKUP($A980,RA_result!$B$3:$N$62,13,0),"")</f>
        <v/>
      </c>
      <c r="K980" s="56"/>
      <c r="L980" s="56"/>
      <c r="M980" s="57" t="n">
        <f aca="false">G980</f>
        <v>0</v>
      </c>
      <c r="N980" s="54" t="n">
        <f aca="false">G980-M980</f>
        <v>0</v>
      </c>
      <c r="O980" s="55" t="str">
        <f aca="false">IFERROR(VLOOKUP($A980,RA_result!$B$3:$N$62,7,0),"")</f>
        <v/>
      </c>
      <c r="P980" s="52" t="str">
        <f aca="false">IFERROR(VLOOKUP($A980,RA_result!$B$3:$N$62,9,0),"")</f>
        <v/>
      </c>
      <c r="Q980" s="52" t="str">
        <f aca="false">IFERROR(VLOOKUP($A980,RA_result!$B$3:$N$62,10,0),"")</f>
        <v/>
      </c>
      <c r="R980" s="58" t="s">
        <v>55</v>
      </c>
      <c r="S980" s="59" t="str">
        <f aca="false">IFERROR(VLOOKUP($A980,RA_result!$B$3:$N$62,4,0),"")</f>
        <v/>
      </c>
      <c r="T980" s="60" t="s">
        <v>56</v>
      </c>
      <c r="U980" s="59" t="str">
        <f aca="false">IFERROR(IF(VLOOKUP($A980,RA_result!$B$3:$N$62,6,0)="",S980*T980,VLOOKUP($A980,RA_result!$B$3:$N$62,6,0)),"")</f>
        <v/>
      </c>
      <c r="V980" s="61" t="s">
        <v>56</v>
      </c>
      <c r="W980" s="62" t="n">
        <f aca="false">IFERROR((S980*30%)/V980,0)</f>
        <v>0</v>
      </c>
      <c r="X980" s="63" t="n">
        <f aca="false">IFERROR(N980/W980,0)</f>
        <v>0</v>
      </c>
      <c r="Y980" s="68"/>
      <c r="Z980" s="57"/>
      <c r="AA980" s="69" t="str">
        <f aca="false">IF(OR(U980="",Y980="",Z980=""),"",IF(AND(U980&gt;Y980,-U980&lt;Z980),"Ok","Not Ok"))</f>
        <v/>
      </c>
      <c r="AB980" s="70"/>
    </row>
    <row r="981" customFormat="false" ht="12.8" hidden="false" customHeight="false" outlineLevel="0" collapsed="false">
      <c r="A981" s="48" t="n">
        <f aca="false">TB_audited!A964</f>
        <v>0</v>
      </c>
      <c r="B981" s="49"/>
      <c r="C981" s="50"/>
      <c r="D981" s="51" t="n">
        <f aca="false">TB_audited!B964</f>
        <v>0</v>
      </c>
      <c r="E981" s="52" t="n">
        <f aca="false">TB_audited!C964</f>
        <v>0</v>
      </c>
      <c r="F981" s="53" t="n">
        <f aca="false">TB_audited!D964</f>
        <v>0</v>
      </c>
      <c r="G981" s="54" t="n">
        <f aca="false">IF($D$8="Interim",TB_audited!G964,TB_audited!E964)</f>
        <v>0</v>
      </c>
      <c r="H981" s="55" t="str">
        <f aca="false">IFERROR(VLOOKUP($A981,RA_result!$B$3:$N$62,11,0),"")</f>
        <v/>
      </c>
      <c r="I981" s="55" t="str">
        <f aca="false">IFERROR(VLOOKUP($A981,RA_result!$B$3:$N$62,12,0),"")</f>
        <v/>
      </c>
      <c r="J981" s="55" t="str">
        <f aca="false">IFERROR(VLOOKUP($A981,RA_result!$B$3:$N$62,13,0),"")</f>
        <v/>
      </c>
      <c r="K981" s="56"/>
      <c r="L981" s="56"/>
      <c r="M981" s="57" t="n">
        <f aca="false">G981</f>
        <v>0</v>
      </c>
      <c r="N981" s="54" t="n">
        <f aca="false">G981-M981</f>
        <v>0</v>
      </c>
      <c r="O981" s="55" t="str">
        <f aca="false">IFERROR(VLOOKUP($A981,RA_result!$B$3:$N$62,7,0),"")</f>
        <v/>
      </c>
      <c r="P981" s="52" t="str">
        <f aca="false">IFERROR(VLOOKUP($A981,RA_result!$B$3:$N$62,9,0),"")</f>
        <v/>
      </c>
      <c r="Q981" s="52" t="str">
        <f aca="false">IFERROR(VLOOKUP($A981,RA_result!$B$3:$N$62,10,0),"")</f>
        <v/>
      </c>
      <c r="R981" s="58" t="s">
        <v>55</v>
      </c>
      <c r="S981" s="59" t="str">
        <f aca="false">IFERROR(VLOOKUP($A981,RA_result!$B$3:$N$62,4,0),"")</f>
        <v/>
      </c>
      <c r="T981" s="60" t="s">
        <v>56</v>
      </c>
      <c r="U981" s="59" t="str">
        <f aca="false">IFERROR(IF(VLOOKUP($A981,RA_result!$B$3:$N$62,6,0)="",S981*T981,VLOOKUP($A981,RA_result!$B$3:$N$62,6,0)),"")</f>
        <v/>
      </c>
      <c r="V981" s="61" t="s">
        <v>56</v>
      </c>
      <c r="W981" s="62" t="n">
        <f aca="false">IFERROR((S981*30%)/V981,0)</f>
        <v>0</v>
      </c>
      <c r="X981" s="63" t="n">
        <f aca="false">IFERROR(N981/W981,0)</f>
        <v>0</v>
      </c>
      <c r="Y981" s="68"/>
      <c r="Z981" s="57"/>
      <c r="AA981" s="69" t="str">
        <f aca="false">IF(OR(U981="",Y981="",Z981=""),"",IF(AND(U981&gt;Y981,-U981&lt;Z981),"Ok","Not Ok"))</f>
        <v/>
      </c>
      <c r="AB981" s="70"/>
    </row>
    <row r="982" customFormat="false" ht="12.8" hidden="false" customHeight="false" outlineLevel="0" collapsed="false">
      <c r="A982" s="48" t="n">
        <f aca="false">TB_audited!A965</f>
        <v>0</v>
      </c>
      <c r="B982" s="49"/>
      <c r="C982" s="50"/>
      <c r="D982" s="51" t="n">
        <f aca="false">TB_audited!B965</f>
        <v>0</v>
      </c>
      <c r="E982" s="52" t="n">
        <f aca="false">TB_audited!C965</f>
        <v>0</v>
      </c>
      <c r="F982" s="53" t="n">
        <f aca="false">TB_audited!D965</f>
        <v>0</v>
      </c>
      <c r="G982" s="54" t="n">
        <f aca="false">IF($D$8="Interim",TB_audited!G965,TB_audited!E965)</f>
        <v>0</v>
      </c>
      <c r="H982" s="55" t="str">
        <f aca="false">IFERROR(VLOOKUP($A982,RA_result!$B$3:$N$62,11,0),"")</f>
        <v/>
      </c>
      <c r="I982" s="55" t="str">
        <f aca="false">IFERROR(VLOOKUP($A982,RA_result!$B$3:$N$62,12,0),"")</f>
        <v/>
      </c>
      <c r="J982" s="55" t="str">
        <f aca="false">IFERROR(VLOOKUP($A982,RA_result!$B$3:$N$62,13,0),"")</f>
        <v/>
      </c>
      <c r="K982" s="56"/>
      <c r="L982" s="56"/>
      <c r="M982" s="57" t="n">
        <f aca="false">G982</f>
        <v>0</v>
      </c>
      <c r="N982" s="54" t="n">
        <f aca="false">G982-M982</f>
        <v>0</v>
      </c>
      <c r="O982" s="55" t="str">
        <f aca="false">IFERROR(VLOOKUP($A982,RA_result!$B$3:$N$62,7,0),"")</f>
        <v/>
      </c>
      <c r="P982" s="52" t="str">
        <f aca="false">IFERROR(VLOOKUP($A982,RA_result!$B$3:$N$62,9,0),"")</f>
        <v/>
      </c>
      <c r="Q982" s="52" t="str">
        <f aca="false">IFERROR(VLOOKUP($A982,RA_result!$B$3:$N$62,10,0),"")</f>
        <v/>
      </c>
      <c r="R982" s="58" t="s">
        <v>55</v>
      </c>
      <c r="S982" s="59" t="str">
        <f aca="false">IFERROR(VLOOKUP($A982,RA_result!$B$3:$N$62,4,0),"")</f>
        <v/>
      </c>
      <c r="T982" s="60" t="s">
        <v>56</v>
      </c>
      <c r="U982" s="59" t="str">
        <f aca="false">IFERROR(IF(VLOOKUP($A982,RA_result!$B$3:$N$62,6,0)="",S982*T982,VLOOKUP($A982,RA_result!$B$3:$N$62,6,0)),"")</f>
        <v/>
      </c>
      <c r="V982" s="61" t="s">
        <v>56</v>
      </c>
      <c r="W982" s="62" t="n">
        <f aca="false">IFERROR((S982*30%)/V982,0)</f>
        <v>0</v>
      </c>
      <c r="X982" s="63" t="n">
        <f aca="false">IFERROR(N982/W982,0)</f>
        <v>0</v>
      </c>
      <c r="Y982" s="68"/>
      <c r="Z982" s="57"/>
      <c r="AA982" s="69" t="str">
        <f aca="false">IF(OR(U982="",Y982="",Z982=""),"",IF(AND(U982&gt;Y982,-U982&lt;Z982),"Ok","Not Ok"))</f>
        <v/>
      </c>
      <c r="AB982" s="70"/>
    </row>
    <row r="983" customFormat="false" ht="12.8" hidden="false" customHeight="false" outlineLevel="0" collapsed="false">
      <c r="A983" s="48" t="n">
        <f aca="false">TB_audited!A966</f>
        <v>0</v>
      </c>
      <c r="B983" s="49"/>
      <c r="C983" s="50"/>
      <c r="D983" s="51" t="n">
        <f aca="false">TB_audited!B966</f>
        <v>0</v>
      </c>
      <c r="E983" s="52" t="n">
        <f aca="false">TB_audited!C966</f>
        <v>0</v>
      </c>
      <c r="F983" s="53" t="n">
        <f aca="false">TB_audited!D966</f>
        <v>0</v>
      </c>
      <c r="G983" s="54" t="n">
        <f aca="false">IF($D$8="Interim",TB_audited!G966,TB_audited!E966)</f>
        <v>0</v>
      </c>
      <c r="H983" s="55" t="str">
        <f aca="false">IFERROR(VLOOKUP($A983,RA_result!$B$3:$N$62,11,0),"")</f>
        <v/>
      </c>
      <c r="I983" s="55" t="str">
        <f aca="false">IFERROR(VLOOKUP($A983,RA_result!$B$3:$N$62,12,0),"")</f>
        <v/>
      </c>
      <c r="J983" s="55" t="str">
        <f aca="false">IFERROR(VLOOKUP($A983,RA_result!$B$3:$N$62,13,0),"")</f>
        <v/>
      </c>
      <c r="K983" s="56"/>
      <c r="L983" s="56"/>
      <c r="M983" s="57" t="n">
        <f aca="false">G983</f>
        <v>0</v>
      </c>
      <c r="N983" s="54" t="n">
        <f aca="false">G983-M983</f>
        <v>0</v>
      </c>
      <c r="O983" s="55" t="str">
        <f aca="false">IFERROR(VLOOKUP($A983,RA_result!$B$3:$N$62,7,0),"")</f>
        <v/>
      </c>
      <c r="P983" s="52" t="str">
        <f aca="false">IFERROR(VLOOKUP($A983,RA_result!$B$3:$N$62,9,0),"")</f>
        <v/>
      </c>
      <c r="Q983" s="52" t="str">
        <f aca="false">IFERROR(VLOOKUP($A983,RA_result!$B$3:$N$62,10,0),"")</f>
        <v/>
      </c>
      <c r="R983" s="58" t="s">
        <v>55</v>
      </c>
      <c r="S983" s="59" t="str">
        <f aca="false">IFERROR(VLOOKUP($A983,RA_result!$B$3:$N$62,4,0),"")</f>
        <v/>
      </c>
      <c r="T983" s="60" t="s">
        <v>56</v>
      </c>
      <c r="U983" s="59" t="str">
        <f aca="false">IFERROR(IF(VLOOKUP($A983,RA_result!$B$3:$N$62,6,0)="",S983*T983,VLOOKUP($A983,RA_result!$B$3:$N$62,6,0)),"")</f>
        <v/>
      </c>
      <c r="V983" s="61" t="s">
        <v>56</v>
      </c>
      <c r="W983" s="62" t="n">
        <f aca="false">IFERROR((S983*30%)/V983,0)</f>
        <v>0</v>
      </c>
      <c r="X983" s="63" t="n">
        <f aca="false">IFERROR(N983/W983,0)</f>
        <v>0</v>
      </c>
      <c r="Y983" s="68"/>
      <c r="Z983" s="57"/>
      <c r="AA983" s="69" t="str">
        <f aca="false">IF(OR(U983="",Y983="",Z983=""),"",IF(AND(U983&gt;Y983,-U983&lt;Z983),"Ok","Not Ok"))</f>
        <v/>
      </c>
      <c r="AB983" s="70"/>
    </row>
    <row r="984" customFormat="false" ht="12.8" hidden="false" customHeight="false" outlineLevel="0" collapsed="false">
      <c r="A984" s="48" t="n">
        <f aca="false">TB_audited!A967</f>
        <v>0</v>
      </c>
      <c r="B984" s="49"/>
      <c r="C984" s="50"/>
      <c r="D984" s="51" t="n">
        <f aca="false">TB_audited!B967</f>
        <v>0</v>
      </c>
      <c r="E984" s="52" t="n">
        <f aca="false">TB_audited!C967</f>
        <v>0</v>
      </c>
      <c r="F984" s="53" t="n">
        <f aca="false">TB_audited!D967</f>
        <v>0</v>
      </c>
      <c r="G984" s="54" t="n">
        <f aca="false">IF($D$8="Interim",TB_audited!G967,TB_audited!E967)</f>
        <v>0</v>
      </c>
      <c r="H984" s="55" t="str">
        <f aca="false">IFERROR(VLOOKUP($A984,RA_result!$B$3:$N$62,11,0),"")</f>
        <v/>
      </c>
      <c r="I984" s="55" t="str">
        <f aca="false">IFERROR(VLOOKUP($A984,RA_result!$B$3:$N$62,12,0),"")</f>
        <v/>
      </c>
      <c r="J984" s="55" t="str">
        <f aca="false">IFERROR(VLOOKUP($A984,RA_result!$B$3:$N$62,13,0),"")</f>
        <v/>
      </c>
      <c r="K984" s="56"/>
      <c r="L984" s="56"/>
      <c r="M984" s="57" t="n">
        <f aca="false">G984</f>
        <v>0</v>
      </c>
      <c r="N984" s="54" t="n">
        <f aca="false">G984-M984</f>
        <v>0</v>
      </c>
      <c r="O984" s="55" t="str">
        <f aca="false">IFERROR(VLOOKUP($A984,RA_result!$B$3:$N$62,7,0),"")</f>
        <v/>
      </c>
      <c r="P984" s="52" t="str">
        <f aca="false">IFERROR(VLOOKUP($A984,RA_result!$B$3:$N$62,9,0),"")</f>
        <v/>
      </c>
      <c r="Q984" s="52" t="str">
        <f aca="false">IFERROR(VLOOKUP($A984,RA_result!$B$3:$N$62,10,0),"")</f>
        <v/>
      </c>
      <c r="R984" s="58" t="s">
        <v>55</v>
      </c>
      <c r="S984" s="59" t="str">
        <f aca="false">IFERROR(VLOOKUP($A984,RA_result!$B$3:$N$62,4,0),"")</f>
        <v/>
      </c>
      <c r="T984" s="60" t="s">
        <v>56</v>
      </c>
      <c r="U984" s="59" t="str">
        <f aca="false">IFERROR(IF(VLOOKUP($A984,RA_result!$B$3:$N$62,6,0)="",S984*T984,VLOOKUP($A984,RA_result!$B$3:$N$62,6,0)),"")</f>
        <v/>
      </c>
      <c r="V984" s="61" t="s">
        <v>56</v>
      </c>
      <c r="W984" s="62" t="n">
        <f aca="false">IFERROR((S984*30%)/V984,0)</f>
        <v>0</v>
      </c>
      <c r="X984" s="63" t="n">
        <f aca="false">IFERROR(N984/W984,0)</f>
        <v>0</v>
      </c>
      <c r="Y984" s="68"/>
      <c r="Z984" s="57"/>
      <c r="AA984" s="69" t="str">
        <f aca="false">IF(OR(U984="",Y984="",Z984=""),"",IF(AND(U984&gt;Y984,-U984&lt;Z984),"Ok","Not Ok"))</f>
        <v/>
      </c>
      <c r="AB984" s="70"/>
    </row>
    <row r="985" customFormat="false" ht="12.8" hidden="false" customHeight="false" outlineLevel="0" collapsed="false">
      <c r="A985" s="48" t="n">
        <f aca="false">TB_audited!A968</f>
        <v>0</v>
      </c>
      <c r="B985" s="49"/>
      <c r="C985" s="50"/>
      <c r="D985" s="51" t="n">
        <f aca="false">TB_audited!B968</f>
        <v>0</v>
      </c>
      <c r="E985" s="52" t="n">
        <f aca="false">TB_audited!C968</f>
        <v>0</v>
      </c>
      <c r="F985" s="53" t="n">
        <f aca="false">TB_audited!D968</f>
        <v>0</v>
      </c>
      <c r="G985" s="54" t="n">
        <f aca="false">IF($D$8="Interim",TB_audited!G968,TB_audited!E968)</f>
        <v>0</v>
      </c>
      <c r="H985" s="55" t="str">
        <f aca="false">IFERROR(VLOOKUP($A985,RA_result!$B$3:$N$62,11,0),"")</f>
        <v/>
      </c>
      <c r="I985" s="55" t="str">
        <f aca="false">IFERROR(VLOOKUP($A985,RA_result!$B$3:$N$62,12,0),"")</f>
        <v/>
      </c>
      <c r="J985" s="55" t="str">
        <f aca="false">IFERROR(VLOOKUP($A985,RA_result!$B$3:$N$62,13,0),"")</f>
        <v/>
      </c>
      <c r="K985" s="56"/>
      <c r="L985" s="56"/>
      <c r="M985" s="57" t="n">
        <f aca="false">G985</f>
        <v>0</v>
      </c>
      <c r="N985" s="54" t="n">
        <f aca="false">G985-M985</f>
        <v>0</v>
      </c>
      <c r="O985" s="55" t="str">
        <f aca="false">IFERROR(VLOOKUP($A985,RA_result!$B$3:$N$62,7,0),"")</f>
        <v/>
      </c>
      <c r="P985" s="52" t="str">
        <f aca="false">IFERROR(VLOOKUP($A985,RA_result!$B$3:$N$62,9,0),"")</f>
        <v/>
      </c>
      <c r="Q985" s="52" t="str">
        <f aca="false">IFERROR(VLOOKUP($A985,RA_result!$B$3:$N$62,10,0),"")</f>
        <v/>
      </c>
      <c r="R985" s="58" t="s">
        <v>55</v>
      </c>
      <c r="S985" s="59" t="str">
        <f aca="false">IFERROR(VLOOKUP($A985,RA_result!$B$3:$N$62,4,0),"")</f>
        <v/>
      </c>
      <c r="T985" s="60" t="s">
        <v>56</v>
      </c>
      <c r="U985" s="59" t="str">
        <f aca="false">IFERROR(IF(VLOOKUP($A985,RA_result!$B$3:$N$62,6,0)="",S985*T985,VLOOKUP($A985,RA_result!$B$3:$N$62,6,0)),"")</f>
        <v/>
      </c>
      <c r="V985" s="61" t="s">
        <v>56</v>
      </c>
      <c r="W985" s="62" t="n">
        <f aca="false">IFERROR((S985*30%)/V985,0)</f>
        <v>0</v>
      </c>
      <c r="X985" s="63" t="n">
        <f aca="false">IFERROR(N985/W985,0)</f>
        <v>0</v>
      </c>
      <c r="Y985" s="68"/>
      <c r="Z985" s="57"/>
      <c r="AA985" s="69" t="str">
        <f aca="false">IF(OR(U985="",Y985="",Z985=""),"",IF(AND(U985&gt;Y985,-U985&lt;Z985),"Ok","Not Ok"))</f>
        <v/>
      </c>
      <c r="AB985" s="70"/>
    </row>
    <row r="986" customFormat="false" ht="12.8" hidden="false" customHeight="false" outlineLevel="0" collapsed="false">
      <c r="A986" s="48" t="n">
        <f aca="false">TB_audited!A969</f>
        <v>0</v>
      </c>
      <c r="B986" s="49"/>
      <c r="C986" s="50"/>
      <c r="D986" s="51" t="n">
        <f aca="false">TB_audited!B969</f>
        <v>0</v>
      </c>
      <c r="E986" s="52" t="n">
        <f aca="false">TB_audited!C969</f>
        <v>0</v>
      </c>
      <c r="F986" s="53" t="n">
        <f aca="false">TB_audited!D969</f>
        <v>0</v>
      </c>
      <c r="G986" s="54" t="n">
        <f aca="false">IF($D$8="Interim",TB_audited!G969,TB_audited!E969)</f>
        <v>0</v>
      </c>
      <c r="H986" s="55" t="str">
        <f aca="false">IFERROR(VLOOKUP($A986,RA_result!$B$3:$N$62,11,0),"")</f>
        <v/>
      </c>
      <c r="I986" s="55" t="str">
        <f aca="false">IFERROR(VLOOKUP($A986,RA_result!$B$3:$N$62,12,0),"")</f>
        <v/>
      </c>
      <c r="J986" s="55" t="str">
        <f aca="false">IFERROR(VLOOKUP($A986,RA_result!$B$3:$N$62,13,0),"")</f>
        <v/>
      </c>
      <c r="K986" s="56"/>
      <c r="L986" s="56"/>
      <c r="M986" s="57" t="n">
        <f aca="false">G986</f>
        <v>0</v>
      </c>
      <c r="N986" s="54" t="n">
        <f aca="false">G986-M986</f>
        <v>0</v>
      </c>
      <c r="O986" s="55" t="str">
        <f aca="false">IFERROR(VLOOKUP($A986,RA_result!$B$3:$N$62,7,0),"")</f>
        <v/>
      </c>
      <c r="P986" s="52" t="str">
        <f aca="false">IFERROR(VLOOKUP($A986,RA_result!$B$3:$N$62,9,0),"")</f>
        <v/>
      </c>
      <c r="Q986" s="52" t="str">
        <f aca="false">IFERROR(VLOOKUP($A986,RA_result!$B$3:$N$62,10,0),"")</f>
        <v/>
      </c>
      <c r="R986" s="58" t="s">
        <v>55</v>
      </c>
      <c r="S986" s="59" t="str">
        <f aca="false">IFERROR(VLOOKUP($A986,RA_result!$B$3:$N$62,4,0),"")</f>
        <v/>
      </c>
      <c r="T986" s="60" t="s">
        <v>56</v>
      </c>
      <c r="U986" s="59" t="str">
        <f aca="false">IFERROR(IF(VLOOKUP($A986,RA_result!$B$3:$N$62,6,0)="",S986*T986,VLOOKUP($A986,RA_result!$B$3:$N$62,6,0)),"")</f>
        <v/>
      </c>
      <c r="V986" s="61" t="s">
        <v>56</v>
      </c>
      <c r="W986" s="62" t="n">
        <f aca="false">IFERROR((S986*30%)/V986,0)</f>
        <v>0</v>
      </c>
      <c r="X986" s="63" t="n">
        <f aca="false">IFERROR(N986/W986,0)</f>
        <v>0</v>
      </c>
      <c r="Y986" s="68"/>
      <c r="Z986" s="57"/>
      <c r="AA986" s="69" t="str">
        <f aca="false">IF(OR(U986="",Y986="",Z986=""),"",IF(AND(U986&gt;Y986,-U986&lt;Z986),"Ok","Not Ok"))</f>
        <v/>
      </c>
      <c r="AB986" s="70"/>
    </row>
    <row r="987" customFormat="false" ht="12.8" hidden="false" customHeight="false" outlineLevel="0" collapsed="false">
      <c r="A987" s="48" t="n">
        <f aca="false">TB_audited!A970</f>
        <v>0</v>
      </c>
      <c r="B987" s="49"/>
      <c r="C987" s="50"/>
      <c r="D987" s="51" t="n">
        <f aca="false">TB_audited!B970</f>
        <v>0</v>
      </c>
      <c r="E987" s="52" t="n">
        <f aca="false">TB_audited!C970</f>
        <v>0</v>
      </c>
      <c r="F987" s="53" t="n">
        <f aca="false">TB_audited!D970</f>
        <v>0</v>
      </c>
      <c r="G987" s="54" t="n">
        <f aca="false">IF($D$8="Interim",TB_audited!G970,TB_audited!E970)</f>
        <v>0</v>
      </c>
      <c r="H987" s="55" t="str">
        <f aca="false">IFERROR(VLOOKUP($A987,RA_result!$B$3:$N$62,11,0),"")</f>
        <v/>
      </c>
      <c r="I987" s="55" t="str">
        <f aca="false">IFERROR(VLOOKUP($A987,RA_result!$B$3:$N$62,12,0),"")</f>
        <v/>
      </c>
      <c r="J987" s="55" t="str">
        <f aca="false">IFERROR(VLOOKUP($A987,RA_result!$B$3:$N$62,13,0),"")</f>
        <v/>
      </c>
      <c r="K987" s="56"/>
      <c r="L987" s="56"/>
      <c r="M987" s="57" t="n">
        <f aca="false">G987</f>
        <v>0</v>
      </c>
      <c r="N987" s="54" t="n">
        <f aca="false">G987-M987</f>
        <v>0</v>
      </c>
      <c r="O987" s="55" t="str">
        <f aca="false">IFERROR(VLOOKUP($A987,RA_result!$B$3:$N$62,7,0),"")</f>
        <v/>
      </c>
      <c r="P987" s="52" t="str">
        <f aca="false">IFERROR(VLOOKUP($A987,RA_result!$B$3:$N$62,9,0),"")</f>
        <v/>
      </c>
      <c r="Q987" s="52" t="str">
        <f aca="false">IFERROR(VLOOKUP($A987,RA_result!$B$3:$N$62,10,0),"")</f>
        <v/>
      </c>
      <c r="R987" s="58" t="s">
        <v>55</v>
      </c>
      <c r="S987" s="59" t="str">
        <f aca="false">IFERROR(VLOOKUP($A987,RA_result!$B$3:$N$62,4,0),"")</f>
        <v/>
      </c>
      <c r="T987" s="60" t="s">
        <v>56</v>
      </c>
      <c r="U987" s="59" t="str">
        <f aca="false">IFERROR(IF(VLOOKUP($A987,RA_result!$B$3:$N$62,6,0)="",S987*T987,VLOOKUP($A987,RA_result!$B$3:$N$62,6,0)),"")</f>
        <v/>
      </c>
      <c r="V987" s="61" t="s">
        <v>56</v>
      </c>
      <c r="W987" s="62" t="n">
        <f aca="false">IFERROR((S987*30%)/V987,0)</f>
        <v>0</v>
      </c>
      <c r="X987" s="63" t="n">
        <f aca="false">IFERROR(N987/W987,0)</f>
        <v>0</v>
      </c>
      <c r="Y987" s="68"/>
      <c r="Z987" s="57"/>
      <c r="AA987" s="69" t="str">
        <f aca="false">IF(OR(U987="",Y987="",Z987=""),"",IF(AND(U987&gt;Y987,-U987&lt;Z987),"Ok","Not Ok"))</f>
        <v/>
      </c>
      <c r="AB987" s="70"/>
    </row>
    <row r="988" customFormat="false" ht="12.8" hidden="false" customHeight="false" outlineLevel="0" collapsed="false">
      <c r="A988" s="48" t="n">
        <f aca="false">TB_audited!A971</f>
        <v>0</v>
      </c>
      <c r="B988" s="49"/>
      <c r="C988" s="50"/>
      <c r="D988" s="51" t="n">
        <f aca="false">TB_audited!B971</f>
        <v>0</v>
      </c>
      <c r="E988" s="52" t="n">
        <f aca="false">TB_audited!C971</f>
        <v>0</v>
      </c>
      <c r="F988" s="53" t="n">
        <f aca="false">TB_audited!D971</f>
        <v>0</v>
      </c>
      <c r="G988" s="54" t="n">
        <f aca="false">IF($D$8="Interim",TB_audited!G971,TB_audited!E971)</f>
        <v>0</v>
      </c>
      <c r="H988" s="55" t="str">
        <f aca="false">IFERROR(VLOOKUP($A988,RA_result!$B$3:$N$62,11,0),"")</f>
        <v/>
      </c>
      <c r="I988" s="55" t="str">
        <f aca="false">IFERROR(VLOOKUP($A988,RA_result!$B$3:$N$62,12,0),"")</f>
        <v/>
      </c>
      <c r="J988" s="55" t="str">
        <f aca="false">IFERROR(VLOOKUP($A988,RA_result!$B$3:$N$62,13,0),"")</f>
        <v/>
      </c>
      <c r="K988" s="56"/>
      <c r="L988" s="56"/>
      <c r="M988" s="57" t="n">
        <f aca="false">G988</f>
        <v>0</v>
      </c>
      <c r="N988" s="54" t="n">
        <f aca="false">G988-M988</f>
        <v>0</v>
      </c>
      <c r="O988" s="55" t="str">
        <f aca="false">IFERROR(VLOOKUP($A988,RA_result!$B$3:$N$62,7,0),"")</f>
        <v/>
      </c>
      <c r="P988" s="52" t="str">
        <f aca="false">IFERROR(VLOOKUP($A988,RA_result!$B$3:$N$62,9,0),"")</f>
        <v/>
      </c>
      <c r="Q988" s="52" t="str">
        <f aca="false">IFERROR(VLOOKUP($A988,RA_result!$B$3:$N$62,10,0),"")</f>
        <v/>
      </c>
      <c r="R988" s="58" t="s">
        <v>55</v>
      </c>
      <c r="S988" s="59" t="str">
        <f aca="false">IFERROR(VLOOKUP($A988,RA_result!$B$3:$N$62,4,0),"")</f>
        <v/>
      </c>
      <c r="T988" s="60" t="s">
        <v>56</v>
      </c>
      <c r="U988" s="59" t="str">
        <f aca="false">IFERROR(IF(VLOOKUP($A988,RA_result!$B$3:$N$62,6,0)="",S988*T988,VLOOKUP($A988,RA_result!$B$3:$N$62,6,0)),"")</f>
        <v/>
      </c>
      <c r="V988" s="61" t="s">
        <v>56</v>
      </c>
      <c r="W988" s="62" t="n">
        <f aca="false">IFERROR((S988*30%)/V988,0)</f>
        <v>0</v>
      </c>
      <c r="X988" s="63" t="n">
        <f aca="false">IFERROR(N988/W988,0)</f>
        <v>0</v>
      </c>
      <c r="Y988" s="68"/>
      <c r="Z988" s="57"/>
      <c r="AA988" s="69" t="str">
        <f aca="false">IF(OR(U988="",Y988="",Z988=""),"",IF(AND(U988&gt;Y988,-U988&lt;Z988),"Ok","Not Ok"))</f>
        <v/>
      </c>
      <c r="AB988" s="70"/>
    </row>
    <row r="989" customFormat="false" ht="12.8" hidden="false" customHeight="false" outlineLevel="0" collapsed="false">
      <c r="A989" s="48" t="n">
        <f aca="false">TB_audited!A972</f>
        <v>0</v>
      </c>
      <c r="B989" s="49"/>
      <c r="C989" s="50"/>
      <c r="D989" s="51" t="n">
        <f aca="false">TB_audited!B972</f>
        <v>0</v>
      </c>
      <c r="E989" s="52" t="n">
        <f aca="false">TB_audited!C972</f>
        <v>0</v>
      </c>
      <c r="F989" s="53" t="n">
        <f aca="false">TB_audited!D972</f>
        <v>0</v>
      </c>
      <c r="G989" s="54" t="n">
        <f aca="false">IF($D$8="Interim",TB_audited!G972,TB_audited!E972)</f>
        <v>0</v>
      </c>
      <c r="H989" s="55" t="str">
        <f aca="false">IFERROR(VLOOKUP($A989,RA_result!$B$3:$N$62,11,0),"")</f>
        <v/>
      </c>
      <c r="I989" s="55" t="str">
        <f aca="false">IFERROR(VLOOKUP($A989,RA_result!$B$3:$N$62,12,0),"")</f>
        <v/>
      </c>
      <c r="J989" s="55" t="str">
        <f aca="false">IFERROR(VLOOKUP($A989,RA_result!$B$3:$N$62,13,0),"")</f>
        <v/>
      </c>
      <c r="K989" s="56"/>
      <c r="L989" s="56"/>
      <c r="M989" s="57" t="n">
        <f aca="false">G989</f>
        <v>0</v>
      </c>
      <c r="N989" s="54" t="n">
        <f aca="false">G989-M989</f>
        <v>0</v>
      </c>
      <c r="O989" s="55" t="str">
        <f aca="false">IFERROR(VLOOKUP($A989,RA_result!$B$3:$N$62,7,0),"")</f>
        <v/>
      </c>
      <c r="P989" s="52" t="str">
        <f aca="false">IFERROR(VLOOKUP($A989,RA_result!$B$3:$N$62,9,0),"")</f>
        <v/>
      </c>
      <c r="Q989" s="52" t="str">
        <f aca="false">IFERROR(VLOOKUP($A989,RA_result!$B$3:$N$62,10,0),"")</f>
        <v/>
      </c>
      <c r="R989" s="58" t="s">
        <v>55</v>
      </c>
      <c r="S989" s="59" t="str">
        <f aca="false">IFERROR(VLOOKUP($A989,RA_result!$B$3:$N$62,4,0),"")</f>
        <v/>
      </c>
      <c r="T989" s="60" t="s">
        <v>56</v>
      </c>
      <c r="U989" s="59" t="str">
        <f aca="false">IFERROR(IF(VLOOKUP($A989,RA_result!$B$3:$N$62,6,0)="",S989*T989,VLOOKUP($A989,RA_result!$B$3:$N$62,6,0)),"")</f>
        <v/>
      </c>
      <c r="V989" s="61" t="s">
        <v>56</v>
      </c>
      <c r="W989" s="62" t="n">
        <f aca="false">IFERROR((S989*30%)/V989,0)</f>
        <v>0</v>
      </c>
      <c r="X989" s="63" t="n">
        <f aca="false">IFERROR(N989/W989,0)</f>
        <v>0</v>
      </c>
      <c r="Y989" s="68"/>
      <c r="Z989" s="57"/>
      <c r="AA989" s="69" t="str">
        <f aca="false">IF(OR(U989="",Y989="",Z989=""),"",IF(AND(U989&gt;Y989,-U989&lt;Z989),"Ok","Not Ok"))</f>
        <v/>
      </c>
      <c r="AB989" s="70"/>
    </row>
    <row r="990" customFormat="false" ht="12.8" hidden="false" customHeight="false" outlineLevel="0" collapsed="false">
      <c r="A990" s="48" t="n">
        <f aca="false">TB_audited!A973</f>
        <v>0</v>
      </c>
      <c r="B990" s="49"/>
      <c r="C990" s="50"/>
      <c r="D990" s="51" t="n">
        <f aca="false">TB_audited!B973</f>
        <v>0</v>
      </c>
      <c r="E990" s="52" t="n">
        <f aca="false">TB_audited!C973</f>
        <v>0</v>
      </c>
      <c r="F990" s="53" t="n">
        <f aca="false">TB_audited!D973</f>
        <v>0</v>
      </c>
      <c r="G990" s="54" t="n">
        <f aca="false">IF($D$8="Interim",TB_audited!G973,TB_audited!E973)</f>
        <v>0</v>
      </c>
      <c r="H990" s="55" t="str">
        <f aca="false">IFERROR(VLOOKUP($A990,RA_result!$B$3:$N$62,11,0),"")</f>
        <v/>
      </c>
      <c r="I990" s="55" t="str">
        <f aca="false">IFERROR(VLOOKUP($A990,RA_result!$B$3:$N$62,12,0),"")</f>
        <v/>
      </c>
      <c r="J990" s="55" t="str">
        <f aca="false">IFERROR(VLOOKUP($A990,RA_result!$B$3:$N$62,13,0),"")</f>
        <v/>
      </c>
      <c r="K990" s="56"/>
      <c r="L990" s="56"/>
      <c r="M990" s="57" t="n">
        <f aca="false">G990</f>
        <v>0</v>
      </c>
      <c r="N990" s="54" t="n">
        <f aca="false">G990-M990</f>
        <v>0</v>
      </c>
      <c r="O990" s="55" t="str">
        <f aca="false">IFERROR(VLOOKUP($A990,RA_result!$B$3:$N$62,7,0),"")</f>
        <v/>
      </c>
      <c r="P990" s="52" t="str">
        <f aca="false">IFERROR(VLOOKUP($A990,RA_result!$B$3:$N$62,9,0),"")</f>
        <v/>
      </c>
      <c r="Q990" s="52" t="str">
        <f aca="false">IFERROR(VLOOKUP($A990,RA_result!$B$3:$N$62,10,0),"")</f>
        <v/>
      </c>
      <c r="R990" s="58" t="s">
        <v>55</v>
      </c>
      <c r="S990" s="59" t="str">
        <f aca="false">IFERROR(VLOOKUP($A990,RA_result!$B$3:$N$62,4,0),"")</f>
        <v/>
      </c>
      <c r="T990" s="60" t="s">
        <v>56</v>
      </c>
      <c r="U990" s="59" t="str">
        <f aca="false">IFERROR(IF(VLOOKUP($A990,RA_result!$B$3:$N$62,6,0)="",S990*T990,VLOOKUP($A990,RA_result!$B$3:$N$62,6,0)),"")</f>
        <v/>
      </c>
      <c r="V990" s="61" t="s">
        <v>56</v>
      </c>
      <c r="W990" s="62" t="n">
        <f aca="false">IFERROR((S990*30%)/V990,0)</f>
        <v>0</v>
      </c>
      <c r="X990" s="63" t="n">
        <f aca="false">IFERROR(N990/W990,0)</f>
        <v>0</v>
      </c>
      <c r="Y990" s="68"/>
      <c r="Z990" s="57"/>
      <c r="AA990" s="69" t="str">
        <f aca="false">IF(OR(U990="",Y990="",Z990=""),"",IF(AND(U990&gt;Y990,-U990&lt;Z990),"Ok","Not Ok"))</f>
        <v/>
      </c>
      <c r="AB990" s="70"/>
    </row>
    <row r="991" customFormat="false" ht="12.8" hidden="false" customHeight="false" outlineLevel="0" collapsed="false">
      <c r="A991" s="48" t="n">
        <f aca="false">TB_audited!A974</f>
        <v>0</v>
      </c>
      <c r="B991" s="49"/>
      <c r="C991" s="50"/>
      <c r="D991" s="51" t="n">
        <f aca="false">TB_audited!B974</f>
        <v>0</v>
      </c>
      <c r="E991" s="52" t="n">
        <f aca="false">TB_audited!C974</f>
        <v>0</v>
      </c>
      <c r="F991" s="53" t="n">
        <f aca="false">TB_audited!D974</f>
        <v>0</v>
      </c>
      <c r="G991" s="54" t="n">
        <f aca="false">IF($D$8="Interim",TB_audited!G974,TB_audited!E974)</f>
        <v>0</v>
      </c>
      <c r="H991" s="55" t="str">
        <f aca="false">IFERROR(VLOOKUP($A991,RA_result!$B$3:$N$62,11,0),"")</f>
        <v/>
      </c>
      <c r="I991" s="55" t="str">
        <f aca="false">IFERROR(VLOOKUP($A991,RA_result!$B$3:$N$62,12,0),"")</f>
        <v/>
      </c>
      <c r="J991" s="55" t="str">
        <f aca="false">IFERROR(VLOOKUP($A991,RA_result!$B$3:$N$62,13,0),"")</f>
        <v/>
      </c>
      <c r="K991" s="56"/>
      <c r="L991" s="56"/>
      <c r="M991" s="57" t="n">
        <f aca="false">G991</f>
        <v>0</v>
      </c>
      <c r="N991" s="54" t="n">
        <f aca="false">G991-M991</f>
        <v>0</v>
      </c>
      <c r="O991" s="55" t="str">
        <f aca="false">IFERROR(VLOOKUP($A991,RA_result!$B$3:$N$62,7,0),"")</f>
        <v/>
      </c>
      <c r="P991" s="52" t="str">
        <f aca="false">IFERROR(VLOOKUP($A991,RA_result!$B$3:$N$62,9,0),"")</f>
        <v/>
      </c>
      <c r="Q991" s="52" t="str">
        <f aca="false">IFERROR(VLOOKUP($A991,RA_result!$B$3:$N$62,10,0),"")</f>
        <v/>
      </c>
      <c r="R991" s="58" t="s">
        <v>55</v>
      </c>
      <c r="S991" s="59" t="str">
        <f aca="false">IFERROR(VLOOKUP($A991,RA_result!$B$3:$N$62,4,0),"")</f>
        <v/>
      </c>
      <c r="T991" s="60" t="s">
        <v>56</v>
      </c>
      <c r="U991" s="59" t="str">
        <f aca="false">IFERROR(IF(VLOOKUP($A991,RA_result!$B$3:$N$62,6,0)="",S991*T991,VLOOKUP($A991,RA_result!$B$3:$N$62,6,0)),"")</f>
        <v/>
      </c>
      <c r="V991" s="61" t="s">
        <v>56</v>
      </c>
      <c r="W991" s="62" t="n">
        <f aca="false">IFERROR((S991*30%)/V991,0)</f>
        <v>0</v>
      </c>
      <c r="X991" s="63" t="n">
        <f aca="false">IFERROR(N991/W991,0)</f>
        <v>0</v>
      </c>
      <c r="Y991" s="68"/>
      <c r="Z991" s="57"/>
      <c r="AA991" s="69" t="str">
        <f aca="false">IF(OR(U991="",Y991="",Z991=""),"",IF(AND(U991&gt;Y991,-U991&lt;Z991),"Ok","Not Ok"))</f>
        <v/>
      </c>
      <c r="AB991" s="70"/>
    </row>
    <row r="992" customFormat="false" ht="12.8" hidden="false" customHeight="false" outlineLevel="0" collapsed="false">
      <c r="A992" s="48" t="n">
        <f aca="false">TB_audited!A975</f>
        <v>0</v>
      </c>
      <c r="B992" s="49"/>
      <c r="C992" s="50"/>
      <c r="D992" s="51" t="n">
        <f aca="false">TB_audited!B975</f>
        <v>0</v>
      </c>
      <c r="E992" s="52" t="n">
        <f aca="false">TB_audited!C975</f>
        <v>0</v>
      </c>
      <c r="F992" s="53" t="n">
        <f aca="false">TB_audited!D975</f>
        <v>0</v>
      </c>
      <c r="G992" s="54" t="n">
        <f aca="false">IF($D$8="Interim",TB_audited!G975,TB_audited!E975)</f>
        <v>0</v>
      </c>
      <c r="H992" s="55" t="str">
        <f aca="false">IFERROR(VLOOKUP($A992,RA_result!$B$3:$N$62,11,0),"")</f>
        <v/>
      </c>
      <c r="I992" s="55" t="str">
        <f aca="false">IFERROR(VLOOKUP($A992,RA_result!$B$3:$N$62,12,0),"")</f>
        <v/>
      </c>
      <c r="J992" s="55" t="str">
        <f aca="false">IFERROR(VLOOKUP($A992,RA_result!$B$3:$N$62,13,0),"")</f>
        <v/>
      </c>
      <c r="K992" s="56"/>
      <c r="L992" s="56"/>
      <c r="M992" s="57" t="n">
        <f aca="false">G992</f>
        <v>0</v>
      </c>
      <c r="N992" s="54" t="n">
        <f aca="false">G992-M992</f>
        <v>0</v>
      </c>
      <c r="O992" s="55" t="str">
        <f aca="false">IFERROR(VLOOKUP($A992,RA_result!$B$3:$N$62,7,0),"")</f>
        <v/>
      </c>
      <c r="P992" s="52" t="str">
        <f aca="false">IFERROR(VLOOKUP($A992,RA_result!$B$3:$N$62,9,0),"")</f>
        <v/>
      </c>
      <c r="Q992" s="52" t="str">
        <f aca="false">IFERROR(VLOOKUP($A992,RA_result!$B$3:$N$62,10,0),"")</f>
        <v/>
      </c>
      <c r="R992" s="58" t="s">
        <v>55</v>
      </c>
      <c r="S992" s="59" t="str">
        <f aca="false">IFERROR(VLOOKUP($A992,RA_result!$B$3:$N$62,4,0),"")</f>
        <v/>
      </c>
      <c r="T992" s="60" t="s">
        <v>56</v>
      </c>
      <c r="U992" s="59" t="str">
        <f aca="false">IFERROR(IF(VLOOKUP($A992,RA_result!$B$3:$N$62,6,0)="",S992*T992,VLOOKUP($A992,RA_result!$B$3:$N$62,6,0)),"")</f>
        <v/>
      </c>
      <c r="V992" s="61" t="s">
        <v>56</v>
      </c>
      <c r="W992" s="62" t="n">
        <f aca="false">IFERROR((S992*30%)/V992,0)</f>
        <v>0</v>
      </c>
      <c r="X992" s="63" t="n">
        <f aca="false">IFERROR(N992/W992,0)</f>
        <v>0</v>
      </c>
      <c r="Y992" s="68"/>
      <c r="Z992" s="57"/>
      <c r="AA992" s="69" t="str">
        <f aca="false">IF(OR(U992="",Y992="",Z992=""),"",IF(AND(U992&gt;Y992,-U992&lt;Z992),"Ok","Not Ok"))</f>
        <v/>
      </c>
      <c r="AB992" s="70"/>
    </row>
    <row r="993" customFormat="false" ht="12.8" hidden="false" customHeight="false" outlineLevel="0" collapsed="false">
      <c r="A993" s="48" t="n">
        <f aca="false">TB_audited!A976</f>
        <v>0</v>
      </c>
      <c r="B993" s="49"/>
      <c r="C993" s="50"/>
      <c r="D993" s="51" t="n">
        <f aca="false">TB_audited!B976</f>
        <v>0</v>
      </c>
      <c r="E993" s="52" t="n">
        <f aca="false">TB_audited!C976</f>
        <v>0</v>
      </c>
      <c r="F993" s="53" t="n">
        <f aca="false">TB_audited!D976</f>
        <v>0</v>
      </c>
      <c r="G993" s="54" t="n">
        <f aca="false">IF($D$8="Interim",TB_audited!G976,TB_audited!E976)</f>
        <v>0</v>
      </c>
      <c r="H993" s="55" t="str">
        <f aca="false">IFERROR(VLOOKUP($A993,RA_result!$B$3:$N$62,11,0),"")</f>
        <v/>
      </c>
      <c r="I993" s="55" t="str">
        <f aca="false">IFERROR(VLOOKUP($A993,RA_result!$B$3:$N$62,12,0),"")</f>
        <v/>
      </c>
      <c r="J993" s="55" t="str">
        <f aca="false">IFERROR(VLOOKUP($A993,RA_result!$B$3:$N$62,13,0),"")</f>
        <v/>
      </c>
      <c r="K993" s="56"/>
      <c r="L993" s="56"/>
      <c r="M993" s="57" t="n">
        <f aca="false">G993</f>
        <v>0</v>
      </c>
      <c r="N993" s="54" t="n">
        <f aca="false">G993-M993</f>
        <v>0</v>
      </c>
      <c r="O993" s="55" t="str">
        <f aca="false">IFERROR(VLOOKUP($A993,RA_result!$B$3:$N$62,7,0),"")</f>
        <v/>
      </c>
      <c r="P993" s="52" t="str">
        <f aca="false">IFERROR(VLOOKUP($A993,RA_result!$B$3:$N$62,9,0),"")</f>
        <v/>
      </c>
      <c r="Q993" s="52" t="str">
        <f aca="false">IFERROR(VLOOKUP($A993,RA_result!$B$3:$N$62,10,0),"")</f>
        <v/>
      </c>
      <c r="R993" s="58" t="s">
        <v>55</v>
      </c>
      <c r="S993" s="59" t="str">
        <f aca="false">IFERROR(VLOOKUP($A993,RA_result!$B$3:$N$62,4,0),"")</f>
        <v/>
      </c>
      <c r="T993" s="60" t="s">
        <v>56</v>
      </c>
      <c r="U993" s="59" t="str">
        <f aca="false">IFERROR(IF(VLOOKUP($A993,RA_result!$B$3:$N$62,6,0)="",S993*T993,VLOOKUP($A993,RA_result!$B$3:$N$62,6,0)),"")</f>
        <v/>
      </c>
      <c r="V993" s="61" t="s">
        <v>56</v>
      </c>
      <c r="W993" s="62" t="n">
        <f aca="false">IFERROR((S993*30%)/V993,0)</f>
        <v>0</v>
      </c>
      <c r="X993" s="63" t="n">
        <f aca="false">IFERROR(N993/W993,0)</f>
        <v>0</v>
      </c>
      <c r="Y993" s="68"/>
      <c r="Z993" s="57"/>
      <c r="AA993" s="69" t="str">
        <f aca="false">IF(OR(U993="",Y993="",Z993=""),"",IF(AND(U993&gt;Y993,-U993&lt;Z993),"Ok","Not Ok"))</f>
        <v/>
      </c>
      <c r="AB993" s="70"/>
    </row>
    <row r="994" customFormat="false" ht="12.8" hidden="false" customHeight="false" outlineLevel="0" collapsed="false">
      <c r="A994" s="48" t="n">
        <f aca="false">TB_audited!A977</f>
        <v>0</v>
      </c>
      <c r="B994" s="49"/>
      <c r="C994" s="50"/>
      <c r="D994" s="51" t="n">
        <f aca="false">TB_audited!B977</f>
        <v>0</v>
      </c>
      <c r="E994" s="52" t="n">
        <f aca="false">TB_audited!C977</f>
        <v>0</v>
      </c>
      <c r="F994" s="53" t="n">
        <f aca="false">TB_audited!D977</f>
        <v>0</v>
      </c>
      <c r="G994" s="54" t="n">
        <f aca="false">IF($D$8="Interim",TB_audited!G977,TB_audited!E977)</f>
        <v>0</v>
      </c>
      <c r="H994" s="55" t="str">
        <f aca="false">IFERROR(VLOOKUP($A994,RA_result!$B$3:$N$62,11,0),"")</f>
        <v/>
      </c>
      <c r="I994" s="55" t="str">
        <f aca="false">IFERROR(VLOOKUP($A994,RA_result!$B$3:$N$62,12,0),"")</f>
        <v/>
      </c>
      <c r="J994" s="55" t="str">
        <f aca="false">IFERROR(VLOOKUP($A994,RA_result!$B$3:$N$62,13,0),"")</f>
        <v/>
      </c>
      <c r="K994" s="56"/>
      <c r="L994" s="56"/>
      <c r="M994" s="57" t="n">
        <f aca="false">G994</f>
        <v>0</v>
      </c>
      <c r="N994" s="54" t="n">
        <f aca="false">G994-M994</f>
        <v>0</v>
      </c>
      <c r="O994" s="55" t="str">
        <f aca="false">IFERROR(VLOOKUP($A994,RA_result!$B$3:$N$62,7,0),"")</f>
        <v/>
      </c>
      <c r="P994" s="52" t="str">
        <f aca="false">IFERROR(VLOOKUP($A994,RA_result!$B$3:$N$62,9,0),"")</f>
        <v/>
      </c>
      <c r="Q994" s="52" t="str">
        <f aca="false">IFERROR(VLOOKUP($A994,RA_result!$B$3:$N$62,10,0),"")</f>
        <v/>
      </c>
      <c r="R994" s="58" t="s">
        <v>55</v>
      </c>
      <c r="S994" s="59" t="str">
        <f aca="false">IFERROR(VLOOKUP($A994,RA_result!$B$3:$N$62,4,0),"")</f>
        <v/>
      </c>
      <c r="T994" s="60" t="s">
        <v>56</v>
      </c>
      <c r="U994" s="59" t="str">
        <f aca="false">IFERROR(IF(VLOOKUP($A994,RA_result!$B$3:$N$62,6,0)="",S994*T994,VLOOKUP($A994,RA_result!$B$3:$N$62,6,0)),"")</f>
        <v/>
      </c>
      <c r="V994" s="61" t="s">
        <v>56</v>
      </c>
      <c r="W994" s="62" t="n">
        <f aca="false">IFERROR((S994*30%)/V994,0)</f>
        <v>0</v>
      </c>
      <c r="X994" s="63" t="n">
        <f aca="false">IFERROR(N994/W994,0)</f>
        <v>0</v>
      </c>
      <c r="Y994" s="68"/>
      <c r="Z994" s="57"/>
      <c r="AA994" s="69" t="str">
        <f aca="false">IF(OR(U994="",Y994="",Z994=""),"",IF(AND(U994&gt;Y994,-U994&lt;Z994),"Ok","Not Ok"))</f>
        <v/>
      </c>
      <c r="AB994" s="70"/>
    </row>
    <row r="995" customFormat="false" ht="12.8" hidden="false" customHeight="false" outlineLevel="0" collapsed="false">
      <c r="A995" s="48" t="n">
        <f aca="false">TB_audited!A978</f>
        <v>0</v>
      </c>
      <c r="B995" s="49"/>
      <c r="C995" s="50"/>
      <c r="D995" s="51" t="n">
        <f aca="false">TB_audited!B978</f>
        <v>0</v>
      </c>
      <c r="E995" s="52" t="n">
        <f aca="false">TB_audited!C978</f>
        <v>0</v>
      </c>
      <c r="F995" s="53" t="n">
        <f aca="false">TB_audited!D978</f>
        <v>0</v>
      </c>
      <c r="G995" s="54" t="n">
        <f aca="false">IF($D$8="Interim",TB_audited!G978,TB_audited!E978)</f>
        <v>0</v>
      </c>
      <c r="H995" s="55" t="str">
        <f aca="false">IFERROR(VLOOKUP($A995,RA_result!$B$3:$N$62,11,0),"")</f>
        <v/>
      </c>
      <c r="I995" s="55" t="str">
        <f aca="false">IFERROR(VLOOKUP($A995,RA_result!$B$3:$N$62,12,0),"")</f>
        <v/>
      </c>
      <c r="J995" s="55" t="str">
        <f aca="false">IFERROR(VLOOKUP($A995,RA_result!$B$3:$N$62,13,0),"")</f>
        <v/>
      </c>
      <c r="K995" s="56"/>
      <c r="L995" s="56"/>
      <c r="M995" s="57" t="n">
        <f aca="false">G995</f>
        <v>0</v>
      </c>
      <c r="N995" s="54" t="n">
        <f aca="false">G995-M995</f>
        <v>0</v>
      </c>
      <c r="O995" s="55" t="str">
        <f aca="false">IFERROR(VLOOKUP($A995,RA_result!$B$3:$N$62,7,0),"")</f>
        <v/>
      </c>
      <c r="P995" s="52" t="str">
        <f aca="false">IFERROR(VLOOKUP($A995,RA_result!$B$3:$N$62,9,0),"")</f>
        <v/>
      </c>
      <c r="Q995" s="52" t="str">
        <f aca="false">IFERROR(VLOOKUP($A995,RA_result!$B$3:$N$62,10,0),"")</f>
        <v/>
      </c>
      <c r="R995" s="58" t="s">
        <v>55</v>
      </c>
      <c r="S995" s="59" t="str">
        <f aca="false">IFERROR(VLOOKUP($A995,RA_result!$B$3:$N$62,4,0),"")</f>
        <v/>
      </c>
      <c r="T995" s="60" t="s">
        <v>56</v>
      </c>
      <c r="U995" s="59" t="str">
        <f aca="false">IFERROR(IF(VLOOKUP($A995,RA_result!$B$3:$N$62,6,0)="",S995*T995,VLOOKUP($A995,RA_result!$B$3:$N$62,6,0)),"")</f>
        <v/>
      </c>
      <c r="V995" s="61" t="s">
        <v>56</v>
      </c>
      <c r="W995" s="62" t="n">
        <f aca="false">IFERROR((S995*30%)/V995,0)</f>
        <v>0</v>
      </c>
      <c r="X995" s="63" t="n">
        <f aca="false">IFERROR(N995/W995,0)</f>
        <v>0</v>
      </c>
      <c r="Y995" s="68"/>
      <c r="Z995" s="57"/>
      <c r="AA995" s="69" t="str">
        <f aca="false">IF(OR(U995="",Y995="",Z995=""),"",IF(AND(U995&gt;Y995,-U995&lt;Z995),"Ok","Not Ok"))</f>
        <v/>
      </c>
      <c r="AB995" s="70"/>
    </row>
    <row r="996" customFormat="false" ht="12.8" hidden="false" customHeight="false" outlineLevel="0" collapsed="false">
      <c r="A996" s="48" t="n">
        <f aca="false">TB_audited!A979</f>
        <v>0</v>
      </c>
      <c r="B996" s="49"/>
      <c r="C996" s="50"/>
      <c r="D996" s="51" t="n">
        <f aca="false">TB_audited!B979</f>
        <v>0</v>
      </c>
      <c r="E996" s="52" t="n">
        <f aca="false">TB_audited!C979</f>
        <v>0</v>
      </c>
      <c r="F996" s="53" t="n">
        <f aca="false">TB_audited!D979</f>
        <v>0</v>
      </c>
      <c r="G996" s="54" t="n">
        <f aca="false">IF($D$8="Interim",TB_audited!G979,TB_audited!E979)</f>
        <v>0</v>
      </c>
      <c r="H996" s="55" t="str">
        <f aca="false">IFERROR(VLOOKUP($A996,RA_result!$B$3:$N$62,11,0),"")</f>
        <v/>
      </c>
      <c r="I996" s="55" t="str">
        <f aca="false">IFERROR(VLOOKUP($A996,RA_result!$B$3:$N$62,12,0),"")</f>
        <v/>
      </c>
      <c r="J996" s="55" t="str">
        <f aca="false">IFERROR(VLOOKUP($A996,RA_result!$B$3:$N$62,13,0),"")</f>
        <v/>
      </c>
      <c r="K996" s="56"/>
      <c r="L996" s="56"/>
      <c r="M996" s="57" t="n">
        <f aca="false">G996</f>
        <v>0</v>
      </c>
      <c r="N996" s="54" t="n">
        <f aca="false">G996-M996</f>
        <v>0</v>
      </c>
      <c r="O996" s="55" t="str">
        <f aca="false">IFERROR(VLOOKUP($A996,RA_result!$B$3:$N$62,7,0),"")</f>
        <v/>
      </c>
      <c r="P996" s="52" t="str">
        <f aca="false">IFERROR(VLOOKUP($A996,RA_result!$B$3:$N$62,9,0),"")</f>
        <v/>
      </c>
      <c r="Q996" s="52" t="str">
        <f aca="false">IFERROR(VLOOKUP($A996,RA_result!$B$3:$N$62,10,0),"")</f>
        <v/>
      </c>
      <c r="R996" s="58" t="s">
        <v>55</v>
      </c>
      <c r="S996" s="59" t="str">
        <f aca="false">IFERROR(VLOOKUP($A996,RA_result!$B$3:$N$62,4,0),"")</f>
        <v/>
      </c>
      <c r="T996" s="60" t="s">
        <v>56</v>
      </c>
      <c r="U996" s="59" t="str">
        <f aca="false">IFERROR(IF(VLOOKUP($A996,RA_result!$B$3:$N$62,6,0)="",S996*T996,VLOOKUP($A996,RA_result!$B$3:$N$62,6,0)),"")</f>
        <v/>
      </c>
      <c r="V996" s="61" t="s">
        <v>56</v>
      </c>
      <c r="W996" s="62" t="n">
        <f aca="false">IFERROR((S996*30%)/V996,0)</f>
        <v>0</v>
      </c>
      <c r="X996" s="63" t="n">
        <f aca="false">IFERROR(N996/W996,0)</f>
        <v>0</v>
      </c>
      <c r="Y996" s="68"/>
      <c r="Z996" s="57"/>
      <c r="AA996" s="69" t="str">
        <f aca="false">IF(OR(U996="",Y996="",Z996=""),"",IF(AND(U996&gt;Y996,-U996&lt;Z996),"Ok","Not Ok"))</f>
        <v/>
      </c>
      <c r="AB996" s="70"/>
    </row>
    <row r="997" customFormat="false" ht="12.8" hidden="false" customHeight="false" outlineLevel="0" collapsed="false">
      <c r="A997" s="48" t="n">
        <f aca="false">TB_audited!A980</f>
        <v>0</v>
      </c>
      <c r="B997" s="49"/>
      <c r="C997" s="50"/>
      <c r="D997" s="51" t="n">
        <f aca="false">TB_audited!B980</f>
        <v>0</v>
      </c>
      <c r="E997" s="52" t="n">
        <f aca="false">TB_audited!C980</f>
        <v>0</v>
      </c>
      <c r="F997" s="53" t="n">
        <f aca="false">TB_audited!D980</f>
        <v>0</v>
      </c>
      <c r="G997" s="54" t="n">
        <f aca="false">IF($D$8="Interim",TB_audited!G980,TB_audited!E980)</f>
        <v>0</v>
      </c>
      <c r="H997" s="55" t="str">
        <f aca="false">IFERROR(VLOOKUP($A997,RA_result!$B$3:$N$62,11,0),"")</f>
        <v/>
      </c>
      <c r="I997" s="55" t="str">
        <f aca="false">IFERROR(VLOOKUP($A997,RA_result!$B$3:$N$62,12,0),"")</f>
        <v/>
      </c>
      <c r="J997" s="55" t="str">
        <f aca="false">IFERROR(VLOOKUP($A997,RA_result!$B$3:$N$62,13,0),"")</f>
        <v/>
      </c>
      <c r="K997" s="56"/>
      <c r="L997" s="56"/>
      <c r="M997" s="57" t="n">
        <f aca="false">G997</f>
        <v>0</v>
      </c>
      <c r="N997" s="54" t="n">
        <f aca="false">G997-M997</f>
        <v>0</v>
      </c>
      <c r="O997" s="55" t="str">
        <f aca="false">IFERROR(VLOOKUP($A997,RA_result!$B$3:$N$62,7,0),"")</f>
        <v/>
      </c>
      <c r="P997" s="52" t="str">
        <f aca="false">IFERROR(VLOOKUP($A997,RA_result!$B$3:$N$62,9,0),"")</f>
        <v/>
      </c>
      <c r="Q997" s="52" t="str">
        <f aca="false">IFERROR(VLOOKUP($A997,RA_result!$B$3:$N$62,10,0),"")</f>
        <v/>
      </c>
      <c r="R997" s="58" t="s">
        <v>55</v>
      </c>
      <c r="S997" s="59" t="str">
        <f aca="false">IFERROR(VLOOKUP($A997,RA_result!$B$3:$N$62,4,0),"")</f>
        <v/>
      </c>
      <c r="T997" s="60" t="s">
        <v>56</v>
      </c>
      <c r="U997" s="59" t="str">
        <f aca="false">IFERROR(IF(VLOOKUP($A997,RA_result!$B$3:$N$62,6,0)="",S997*T997,VLOOKUP($A997,RA_result!$B$3:$N$62,6,0)),"")</f>
        <v/>
      </c>
      <c r="V997" s="61" t="s">
        <v>56</v>
      </c>
      <c r="W997" s="62" t="n">
        <f aca="false">IFERROR((S997*30%)/V997,0)</f>
        <v>0</v>
      </c>
      <c r="X997" s="63" t="n">
        <f aca="false">IFERROR(N997/W997,0)</f>
        <v>0</v>
      </c>
      <c r="Y997" s="68"/>
      <c r="Z997" s="57"/>
      <c r="AA997" s="69" t="str">
        <f aca="false">IF(OR(U997="",Y997="",Z997=""),"",IF(AND(U997&gt;Y997,-U997&lt;Z997),"Ok","Not Ok"))</f>
        <v/>
      </c>
      <c r="AB997" s="70"/>
    </row>
    <row r="998" customFormat="false" ht="12.8" hidden="false" customHeight="false" outlineLevel="0" collapsed="false">
      <c r="A998" s="48" t="n">
        <f aca="false">TB_audited!A981</f>
        <v>0</v>
      </c>
      <c r="B998" s="49"/>
      <c r="C998" s="50"/>
      <c r="D998" s="51" t="n">
        <f aca="false">TB_audited!B981</f>
        <v>0</v>
      </c>
      <c r="E998" s="52" t="n">
        <f aca="false">TB_audited!C981</f>
        <v>0</v>
      </c>
      <c r="F998" s="53" t="n">
        <f aca="false">TB_audited!D981</f>
        <v>0</v>
      </c>
      <c r="G998" s="54" t="n">
        <f aca="false">IF($D$8="Interim",TB_audited!G981,TB_audited!E981)</f>
        <v>0</v>
      </c>
      <c r="H998" s="55" t="str">
        <f aca="false">IFERROR(VLOOKUP($A998,RA_result!$B$3:$N$62,11,0),"")</f>
        <v/>
      </c>
      <c r="I998" s="55" t="str">
        <f aca="false">IFERROR(VLOOKUP($A998,RA_result!$B$3:$N$62,12,0),"")</f>
        <v/>
      </c>
      <c r="J998" s="55" t="str">
        <f aca="false">IFERROR(VLOOKUP($A998,RA_result!$B$3:$N$62,13,0),"")</f>
        <v/>
      </c>
      <c r="K998" s="56"/>
      <c r="L998" s="56"/>
      <c r="M998" s="57" t="n">
        <f aca="false">G998</f>
        <v>0</v>
      </c>
      <c r="N998" s="54" t="n">
        <f aca="false">G998-M998</f>
        <v>0</v>
      </c>
      <c r="O998" s="55" t="str">
        <f aca="false">IFERROR(VLOOKUP($A998,RA_result!$B$3:$N$62,7,0),"")</f>
        <v/>
      </c>
      <c r="P998" s="52" t="str">
        <f aca="false">IFERROR(VLOOKUP($A998,RA_result!$B$3:$N$62,9,0),"")</f>
        <v/>
      </c>
      <c r="Q998" s="52" t="str">
        <f aca="false">IFERROR(VLOOKUP($A998,RA_result!$B$3:$N$62,10,0),"")</f>
        <v/>
      </c>
      <c r="R998" s="58" t="s">
        <v>55</v>
      </c>
      <c r="S998" s="59" t="str">
        <f aca="false">IFERROR(VLOOKUP($A998,RA_result!$B$3:$N$62,4,0),"")</f>
        <v/>
      </c>
      <c r="T998" s="60" t="s">
        <v>56</v>
      </c>
      <c r="U998" s="59" t="str">
        <f aca="false">IFERROR(IF(VLOOKUP($A998,RA_result!$B$3:$N$62,6,0)="",S998*T998,VLOOKUP($A998,RA_result!$B$3:$N$62,6,0)),"")</f>
        <v/>
      </c>
      <c r="V998" s="61" t="s">
        <v>56</v>
      </c>
      <c r="W998" s="62" t="n">
        <f aca="false">IFERROR((S998*30%)/V998,0)</f>
        <v>0</v>
      </c>
      <c r="X998" s="63" t="n">
        <f aca="false">IFERROR(N998/W998,0)</f>
        <v>0</v>
      </c>
      <c r="Y998" s="68"/>
      <c r="Z998" s="57"/>
      <c r="AA998" s="69" t="str">
        <f aca="false">IF(OR(U998="",Y998="",Z998=""),"",IF(AND(U998&gt;Y998,-U998&lt;Z998),"Ok","Not Ok"))</f>
        <v/>
      </c>
      <c r="AB998" s="70"/>
    </row>
    <row r="999" customFormat="false" ht="12.8" hidden="false" customHeight="false" outlineLevel="0" collapsed="false">
      <c r="A999" s="48" t="n">
        <f aca="false">TB_audited!A982</f>
        <v>0</v>
      </c>
      <c r="B999" s="49"/>
      <c r="C999" s="50"/>
      <c r="D999" s="51" t="n">
        <f aca="false">TB_audited!B982</f>
        <v>0</v>
      </c>
      <c r="E999" s="52" t="n">
        <f aca="false">TB_audited!C982</f>
        <v>0</v>
      </c>
      <c r="F999" s="53" t="n">
        <f aca="false">TB_audited!D982</f>
        <v>0</v>
      </c>
      <c r="G999" s="54" t="n">
        <f aca="false">IF($D$8="Interim",TB_audited!G982,TB_audited!E982)</f>
        <v>0</v>
      </c>
      <c r="H999" s="55" t="str">
        <f aca="false">IFERROR(VLOOKUP($A999,RA_result!$B$3:$N$62,11,0),"")</f>
        <v/>
      </c>
      <c r="I999" s="55" t="str">
        <f aca="false">IFERROR(VLOOKUP($A999,RA_result!$B$3:$N$62,12,0),"")</f>
        <v/>
      </c>
      <c r="J999" s="55" t="str">
        <f aca="false">IFERROR(VLOOKUP($A999,RA_result!$B$3:$N$62,13,0),"")</f>
        <v/>
      </c>
      <c r="K999" s="56"/>
      <c r="L999" s="56"/>
      <c r="M999" s="57" t="n">
        <f aca="false">G999</f>
        <v>0</v>
      </c>
      <c r="N999" s="54" t="n">
        <f aca="false">G999-M999</f>
        <v>0</v>
      </c>
      <c r="O999" s="55" t="str">
        <f aca="false">IFERROR(VLOOKUP($A999,RA_result!$B$3:$N$62,7,0),"")</f>
        <v/>
      </c>
      <c r="P999" s="52" t="str">
        <f aca="false">IFERROR(VLOOKUP($A999,RA_result!$B$3:$N$62,9,0),"")</f>
        <v/>
      </c>
      <c r="Q999" s="52" t="str">
        <f aca="false">IFERROR(VLOOKUP($A999,RA_result!$B$3:$N$62,10,0),"")</f>
        <v/>
      </c>
      <c r="R999" s="58" t="s">
        <v>55</v>
      </c>
      <c r="S999" s="59" t="str">
        <f aca="false">IFERROR(VLOOKUP($A999,RA_result!$B$3:$N$62,4,0),"")</f>
        <v/>
      </c>
      <c r="T999" s="60" t="s">
        <v>56</v>
      </c>
      <c r="U999" s="59" t="str">
        <f aca="false">IFERROR(IF(VLOOKUP($A999,RA_result!$B$3:$N$62,6,0)="",S999*T999,VLOOKUP($A999,RA_result!$B$3:$N$62,6,0)),"")</f>
        <v/>
      </c>
      <c r="V999" s="61" t="s">
        <v>56</v>
      </c>
      <c r="W999" s="62" t="n">
        <f aca="false">IFERROR((S999*30%)/V999,0)</f>
        <v>0</v>
      </c>
      <c r="X999" s="63" t="n">
        <f aca="false">IFERROR(N999/W999,0)</f>
        <v>0</v>
      </c>
      <c r="Y999" s="68"/>
      <c r="Z999" s="57"/>
      <c r="AA999" s="69" t="str">
        <f aca="false">IF(OR(U999="",Y999="",Z999=""),"",IF(AND(U999&gt;Y999,-U999&lt;Z999),"Ok","Not Ok"))</f>
        <v/>
      </c>
      <c r="AB999" s="70"/>
    </row>
    <row r="1000" customFormat="false" ht="12.8" hidden="false" customHeight="false" outlineLevel="0" collapsed="false">
      <c r="A1000" s="48" t="n">
        <f aca="false">TB_audited!A983</f>
        <v>0</v>
      </c>
      <c r="B1000" s="49"/>
      <c r="C1000" s="50"/>
      <c r="D1000" s="51" t="n">
        <f aca="false">TB_audited!B983</f>
        <v>0</v>
      </c>
      <c r="E1000" s="52" t="n">
        <f aca="false">TB_audited!C983</f>
        <v>0</v>
      </c>
      <c r="F1000" s="53" t="n">
        <f aca="false">TB_audited!D983</f>
        <v>0</v>
      </c>
      <c r="G1000" s="54" t="n">
        <f aca="false">IF($D$8="Interim",TB_audited!G983,TB_audited!E983)</f>
        <v>0</v>
      </c>
      <c r="H1000" s="55" t="str">
        <f aca="false">IFERROR(VLOOKUP($A1000,RA_result!$B$3:$N$62,11,0),"")</f>
        <v/>
      </c>
      <c r="I1000" s="55" t="str">
        <f aca="false">IFERROR(VLOOKUP($A1000,RA_result!$B$3:$N$62,12,0),"")</f>
        <v/>
      </c>
      <c r="J1000" s="55" t="str">
        <f aca="false">IFERROR(VLOOKUP($A1000,RA_result!$B$3:$N$62,13,0),"")</f>
        <v/>
      </c>
      <c r="K1000" s="56"/>
      <c r="L1000" s="56"/>
      <c r="M1000" s="57" t="n">
        <f aca="false">G1000</f>
        <v>0</v>
      </c>
      <c r="N1000" s="54" t="n">
        <f aca="false">G1000-M1000</f>
        <v>0</v>
      </c>
      <c r="O1000" s="55" t="str">
        <f aca="false">IFERROR(VLOOKUP($A1000,RA_result!$B$3:$N$62,7,0),"")</f>
        <v/>
      </c>
      <c r="P1000" s="52" t="str">
        <f aca="false">IFERROR(VLOOKUP($A1000,RA_result!$B$3:$N$62,9,0),"")</f>
        <v/>
      </c>
      <c r="Q1000" s="52" t="str">
        <f aca="false">IFERROR(VLOOKUP($A1000,RA_result!$B$3:$N$62,10,0),"")</f>
        <v/>
      </c>
      <c r="R1000" s="58" t="s">
        <v>55</v>
      </c>
      <c r="S1000" s="59" t="str">
        <f aca="false">IFERROR(VLOOKUP($A1000,RA_result!$B$3:$N$62,4,0),"")</f>
        <v/>
      </c>
      <c r="T1000" s="60" t="s">
        <v>56</v>
      </c>
      <c r="U1000" s="59" t="str">
        <f aca="false">IFERROR(IF(VLOOKUP($A1000,RA_result!$B$3:$N$62,6,0)="",S1000*T1000,VLOOKUP($A1000,RA_result!$B$3:$N$62,6,0)),"")</f>
        <v/>
      </c>
      <c r="V1000" s="61" t="s">
        <v>56</v>
      </c>
      <c r="W1000" s="62" t="n">
        <f aca="false">IFERROR((S1000*30%)/V1000,0)</f>
        <v>0</v>
      </c>
      <c r="X1000" s="63" t="n">
        <f aca="false">IFERROR(N1000/W1000,0)</f>
        <v>0</v>
      </c>
      <c r="Y1000" s="68"/>
      <c r="Z1000" s="57"/>
      <c r="AA1000" s="69" t="str">
        <f aca="false">IF(OR(U1000="",Y1000="",Z1000=""),"",IF(AND(U1000&gt;Y1000,-U1000&lt;Z1000),"Ok","Not Ok"))</f>
        <v/>
      </c>
      <c r="AB1000" s="70"/>
    </row>
    <row r="1001" customFormat="false" ht="12.8" hidden="false" customHeight="false" outlineLevel="0" collapsed="false">
      <c r="A1001" s="48" t="n">
        <f aca="false">TB_audited!A984</f>
        <v>0</v>
      </c>
      <c r="B1001" s="49"/>
      <c r="C1001" s="50"/>
      <c r="D1001" s="51" t="n">
        <f aca="false">TB_audited!B984</f>
        <v>0</v>
      </c>
      <c r="E1001" s="52" t="n">
        <f aca="false">TB_audited!C984</f>
        <v>0</v>
      </c>
      <c r="F1001" s="53" t="n">
        <f aca="false">TB_audited!D984</f>
        <v>0</v>
      </c>
      <c r="G1001" s="54" t="n">
        <f aca="false">IF($D$8="Interim",TB_audited!G984,TB_audited!E984)</f>
        <v>0</v>
      </c>
      <c r="H1001" s="55" t="str">
        <f aca="false">IFERROR(VLOOKUP($A1001,RA_result!$B$3:$N$62,11,0),"")</f>
        <v/>
      </c>
      <c r="I1001" s="55" t="str">
        <f aca="false">IFERROR(VLOOKUP($A1001,RA_result!$B$3:$N$62,12,0),"")</f>
        <v/>
      </c>
      <c r="J1001" s="55" t="str">
        <f aca="false">IFERROR(VLOOKUP($A1001,RA_result!$B$3:$N$62,13,0),"")</f>
        <v/>
      </c>
      <c r="K1001" s="56"/>
      <c r="L1001" s="56"/>
      <c r="M1001" s="57" t="n">
        <f aca="false">G1001</f>
        <v>0</v>
      </c>
      <c r="N1001" s="54" t="n">
        <f aca="false">G1001-M1001</f>
        <v>0</v>
      </c>
      <c r="O1001" s="55" t="str">
        <f aca="false">IFERROR(VLOOKUP($A1001,RA_result!$B$3:$N$62,7,0),"")</f>
        <v/>
      </c>
      <c r="P1001" s="52" t="str">
        <f aca="false">IFERROR(VLOOKUP($A1001,RA_result!$B$3:$N$62,9,0),"")</f>
        <v/>
      </c>
      <c r="Q1001" s="52" t="str">
        <f aca="false">IFERROR(VLOOKUP($A1001,RA_result!$B$3:$N$62,10,0),"")</f>
        <v/>
      </c>
      <c r="R1001" s="58" t="s">
        <v>55</v>
      </c>
      <c r="S1001" s="59" t="str">
        <f aca="false">IFERROR(VLOOKUP($A1001,RA_result!$B$3:$N$62,4,0),"")</f>
        <v/>
      </c>
      <c r="T1001" s="60" t="s">
        <v>56</v>
      </c>
      <c r="U1001" s="59" t="str">
        <f aca="false">IFERROR(IF(VLOOKUP($A1001,RA_result!$B$3:$N$62,6,0)="",S1001*T1001,VLOOKUP($A1001,RA_result!$B$3:$N$62,6,0)),"")</f>
        <v/>
      </c>
      <c r="V1001" s="61" t="s">
        <v>56</v>
      </c>
      <c r="W1001" s="62" t="n">
        <f aca="false">IFERROR((S1001*30%)/V1001,0)</f>
        <v>0</v>
      </c>
      <c r="X1001" s="63" t="n">
        <f aca="false">IFERROR(N1001/W1001,0)</f>
        <v>0</v>
      </c>
      <c r="Y1001" s="68"/>
      <c r="Z1001" s="57"/>
      <c r="AA1001" s="69" t="str">
        <f aca="false">IF(OR(U1001="",Y1001="",Z1001=""),"",IF(AND(U1001&gt;Y1001,-U1001&lt;Z1001),"Ok","Not Ok"))</f>
        <v/>
      </c>
      <c r="AB1001" s="70"/>
    </row>
    <row r="1002" customFormat="false" ht="12.8" hidden="false" customHeight="false" outlineLevel="0" collapsed="false">
      <c r="A1002" s="48" t="n">
        <f aca="false">TB_audited!A985</f>
        <v>0</v>
      </c>
      <c r="B1002" s="49"/>
      <c r="C1002" s="50"/>
      <c r="D1002" s="51" t="n">
        <f aca="false">TB_audited!B985</f>
        <v>0</v>
      </c>
      <c r="E1002" s="52" t="n">
        <f aca="false">TB_audited!C985</f>
        <v>0</v>
      </c>
      <c r="F1002" s="53" t="n">
        <f aca="false">TB_audited!D985</f>
        <v>0</v>
      </c>
      <c r="G1002" s="54" t="n">
        <f aca="false">IF($D$8="Interim",TB_audited!G985,TB_audited!E985)</f>
        <v>0</v>
      </c>
      <c r="H1002" s="55" t="str">
        <f aca="false">IFERROR(VLOOKUP($A1002,RA_result!$B$3:$N$62,11,0),"")</f>
        <v/>
      </c>
      <c r="I1002" s="55" t="str">
        <f aca="false">IFERROR(VLOOKUP($A1002,RA_result!$B$3:$N$62,12,0),"")</f>
        <v/>
      </c>
      <c r="J1002" s="55" t="str">
        <f aca="false">IFERROR(VLOOKUP($A1002,RA_result!$B$3:$N$62,13,0),"")</f>
        <v/>
      </c>
      <c r="K1002" s="56"/>
      <c r="L1002" s="56"/>
      <c r="M1002" s="57" t="n">
        <f aca="false">G1002</f>
        <v>0</v>
      </c>
      <c r="N1002" s="54" t="n">
        <f aca="false">G1002-M1002</f>
        <v>0</v>
      </c>
      <c r="O1002" s="55" t="str">
        <f aca="false">IFERROR(VLOOKUP($A1002,RA_result!$B$3:$N$62,7,0),"")</f>
        <v/>
      </c>
      <c r="P1002" s="52" t="str">
        <f aca="false">IFERROR(VLOOKUP($A1002,RA_result!$B$3:$N$62,9,0),"")</f>
        <v/>
      </c>
      <c r="Q1002" s="52" t="str">
        <f aca="false">IFERROR(VLOOKUP($A1002,RA_result!$B$3:$N$62,10,0),"")</f>
        <v/>
      </c>
      <c r="R1002" s="58" t="s">
        <v>55</v>
      </c>
      <c r="S1002" s="59" t="str">
        <f aca="false">IFERROR(VLOOKUP($A1002,RA_result!$B$3:$N$62,4,0),"")</f>
        <v/>
      </c>
      <c r="T1002" s="60" t="s">
        <v>56</v>
      </c>
      <c r="U1002" s="59" t="str">
        <f aca="false">IFERROR(IF(VLOOKUP($A1002,RA_result!$B$3:$N$62,6,0)="",S1002*T1002,VLOOKUP($A1002,RA_result!$B$3:$N$62,6,0)),"")</f>
        <v/>
      </c>
      <c r="V1002" s="61" t="s">
        <v>56</v>
      </c>
      <c r="W1002" s="62" t="n">
        <f aca="false">IFERROR((S1002*30%)/V1002,0)</f>
        <v>0</v>
      </c>
      <c r="X1002" s="63" t="n">
        <f aca="false">IFERROR(N1002/W1002,0)</f>
        <v>0</v>
      </c>
      <c r="Y1002" s="68"/>
      <c r="Z1002" s="57"/>
      <c r="AA1002" s="69" t="str">
        <f aca="false">IF(OR(U1002="",Y1002="",Z1002=""),"",IF(AND(U1002&gt;Y1002,-U1002&lt;Z1002),"Ok","Not Ok"))</f>
        <v/>
      </c>
      <c r="AB1002" s="70"/>
    </row>
    <row r="1003" customFormat="false" ht="12.8" hidden="false" customHeight="false" outlineLevel="0" collapsed="false">
      <c r="A1003" s="48" t="n">
        <f aca="false">TB_audited!A986</f>
        <v>0</v>
      </c>
      <c r="B1003" s="49"/>
      <c r="C1003" s="50"/>
      <c r="D1003" s="51" t="n">
        <f aca="false">TB_audited!B986</f>
        <v>0</v>
      </c>
      <c r="E1003" s="52" t="n">
        <f aca="false">TB_audited!C986</f>
        <v>0</v>
      </c>
      <c r="F1003" s="53" t="n">
        <f aca="false">TB_audited!D986</f>
        <v>0</v>
      </c>
      <c r="G1003" s="54" t="n">
        <f aca="false">IF($D$8="Interim",TB_audited!G986,TB_audited!E986)</f>
        <v>0</v>
      </c>
      <c r="H1003" s="55" t="str">
        <f aca="false">IFERROR(VLOOKUP($A1003,RA_result!$B$3:$N$62,11,0),"")</f>
        <v/>
      </c>
      <c r="I1003" s="55" t="str">
        <f aca="false">IFERROR(VLOOKUP($A1003,RA_result!$B$3:$N$62,12,0),"")</f>
        <v/>
      </c>
      <c r="J1003" s="55" t="str">
        <f aca="false">IFERROR(VLOOKUP($A1003,RA_result!$B$3:$N$62,13,0),"")</f>
        <v/>
      </c>
      <c r="K1003" s="56"/>
      <c r="L1003" s="56"/>
      <c r="M1003" s="57" t="n">
        <f aca="false">G1003</f>
        <v>0</v>
      </c>
      <c r="N1003" s="54" t="n">
        <f aca="false">G1003-M1003</f>
        <v>0</v>
      </c>
      <c r="O1003" s="55" t="str">
        <f aca="false">IFERROR(VLOOKUP($A1003,RA_result!$B$3:$N$62,7,0),"")</f>
        <v/>
      </c>
      <c r="P1003" s="52" t="str">
        <f aca="false">IFERROR(VLOOKUP($A1003,RA_result!$B$3:$N$62,9,0),"")</f>
        <v/>
      </c>
      <c r="Q1003" s="52" t="str">
        <f aca="false">IFERROR(VLOOKUP($A1003,RA_result!$B$3:$N$62,10,0),"")</f>
        <v/>
      </c>
      <c r="R1003" s="58" t="s">
        <v>55</v>
      </c>
      <c r="S1003" s="59" t="str">
        <f aca="false">IFERROR(VLOOKUP($A1003,RA_result!$B$3:$N$62,4,0),"")</f>
        <v/>
      </c>
      <c r="T1003" s="60" t="s">
        <v>56</v>
      </c>
      <c r="U1003" s="59" t="str">
        <f aca="false">IFERROR(IF(VLOOKUP($A1003,RA_result!$B$3:$N$62,6,0)="",S1003*T1003,VLOOKUP($A1003,RA_result!$B$3:$N$62,6,0)),"")</f>
        <v/>
      </c>
      <c r="V1003" s="61" t="s">
        <v>56</v>
      </c>
      <c r="W1003" s="62" t="n">
        <f aca="false">IFERROR((S1003*30%)/V1003,0)</f>
        <v>0</v>
      </c>
      <c r="X1003" s="63" t="n">
        <f aca="false">IFERROR(N1003/W1003,0)</f>
        <v>0</v>
      </c>
      <c r="Y1003" s="68"/>
      <c r="Z1003" s="57"/>
      <c r="AA1003" s="69" t="str">
        <f aca="false">IF(OR(U1003="",Y1003="",Z1003=""),"",IF(AND(U1003&gt;Y1003,-U1003&lt;Z1003),"Ok","Not Ok"))</f>
        <v/>
      </c>
      <c r="AB1003" s="70"/>
    </row>
    <row r="1004" customFormat="false" ht="12.8" hidden="false" customHeight="false" outlineLevel="0" collapsed="false">
      <c r="A1004" s="48" t="n">
        <f aca="false">TB_audited!A987</f>
        <v>0</v>
      </c>
      <c r="B1004" s="49"/>
      <c r="C1004" s="50"/>
      <c r="D1004" s="51" t="n">
        <f aca="false">TB_audited!B987</f>
        <v>0</v>
      </c>
      <c r="E1004" s="52" t="n">
        <f aca="false">TB_audited!C987</f>
        <v>0</v>
      </c>
      <c r="F1004" s="53" t="n">
        <f aca="false">TB_audited!D987</f>
        <v>0</v>
      </c>
      <c r="G1004" s="54" t="n">
        <f aca="false">IF($D$8="Interim",TB_audited!G987,TB_audited!E987)</f>
        <v>0</v>
      </c>
      <c r="H1004" s="55" t="str">
        <f aca="false">IFERROR(VLOOKUP($A1004,RA_result!$B$3:$N$62,11,0),"")</f>
        <v/>
      </c>
      <c r="I1004" s="55" t="str">
        <f aca="false">IFERROR(VLOOKUP($A1004,RA_result!$B$3:$N$62,12,0),"")</f>
        <v/>
      </c>
      <c r="J1004" s="55" t="str">
        <f aca="false">IFERROR(VLOOKUP($A1004,RA_result!$B$3:$N$62,13,0),"")</f>
        <v/>
      </c>
      <c r="K1004" s="56"/>
      <c r="L1004" s="56"/>
      <c r="M1004" s="57" t="n">
        <f aca="false">G1004</f>
        <v>0</v>
      </c>
      <c r="N1004" s="54" t="n">
        <f aca="false">G1004-M1004</f>
        <v>0</v>
      </c>
      <c r="O1004" s="55" t="str">
        <f aca="false">IFERROR(VLOOKUP($A1004,RA_result!$B$3:$N$62,7,0),"")</f>
        <v/>
      </c>
      <c r="P1004" s="52" t="str">
        <f aca="false">IFERROR(VLOOKUP($A1004,RA_result!$B$3:$N$62,9,0),"")</f>
        <v/>
      </c>
      <c r="Q1004" s="52" t="str">
        <f aca="false">IFERROR(VLOOKUP($A1004,RA_result!$B$3:$N$62,10,0),"")</f>
        <v/>
      </c>
      <c r="R1004" s="58" t="s">
        <v>55</v>
      </c>
      <c r="S1004" s="59" t="str">
        <f aca="false">IFERROR(VLOOKUP($A1004,RA_result!$B$3:$N$62,4,0),"")</f>
        <v/>
      </c>
      <c r="T1004" s="60" t="s">
        <v>56</v>
      </c>
      <c r="U1004" s="59" t="str">
        <f aca="false">IFERROR(IF(VLOOKUP($A1004,RA_result!$B$3:$N$62,6,0)="",S1004*T1004,VLOOKUP($A1004,RA_result!$B$3:$N$62,6,0)),"")</f>
        <v/>
      </c>
      <c r="V1004" s="61" t="s">
        <v>56</v>
      </c>
      <c r="W1004" s="62" t="n">
        <f aca="false">IFERROR((S1004*30%)/V1004,0)</f>
        <v>0</v>
      </c>
      <c r="X1004" s="63" t="n">
        <f aca="false">IFERROR(N1004/W1004,0)</f>
        <v>0</v>
      </c>
      <c r="Y1004" s="68"/>
      <c r="Z1004" s="57"/>
      <c r="AA1004" s="69" t="str">
        <f aca="false">IF(OR(U1004="",Y1004="",Z1004=""),"",IF(AND(U1004&gt;Y1004,-U1004&lt;Z1004),"Ok","Not Ok"))</f>
        <v/>
      </c>
      <c r="AB1004" s="70"/>
    </row>
    <row r="1005" customFormat="false" ht="12.8" hidden="false" customHeight="false" outlineLevel="0" collapsed="false">
      <c r="A1005" s="48" t="n">
        <f aca="false">TB_audited!A988</f>
        <v>0</v>
      </c>
      <c r="B1005" s="49"/>
      <c r="C1005" s="50"/>
      <c r="D1005" s="51" t="n">
        <f aca="false">TB_audited!B988</f>
        <v>0</v>
      </c>
      <c r="E1005" s="52" t="n">
        <f aca="false">TB_audited!C988</f>
        <v>0</v>
      </c>
      <c r="F1005" s="53" t="n">
        <f aca="false">TB_audited!D988</f>
        <v>0</v>
      </c>
      <c r="G1005" s="54" t="n">
        <f aca="false">IF($D$8="Interim",TB_audited!G988,TB_audited!E988)</f>
        <v>0</v>
      </c>
      <c r="H1005" s="55" t="str">
        <f aca="false">IFERROR(VLOOKUP($A1005,RA_result!$B$3:$N$62,11,0),"")</f>
        <v/>
      </c>
      <c r="I1005" s="55" t="str">
        <f aca="false">IFERROR(VLOOKUP($A1005,RA_result!$B$3:$N$62,12,0),"")</f>
        <v/>
      </c>
      <c r="J1005" s="55" t="str">
        <f aca="false">IFERROR(VLOOKUP($A1005,RA_result!$B$3:$N$62,13,0),"")</f>
        <v/>
      </c>
      <c r="K1005" s="56"/>
      <c r="L1005" s="56"/>
      <c r="M1005" s="57" t="n">
        <f aca="false">G1005</f>
        <v>0</v>
      </c>
      <c r="N1005" s="54" t="n">
        <f aca="false">G1005-M1005</f>
        <v>0</v>
      </c>
      <c r="O1005" s="55" t="str">
        <f aca="false">IFERROR(VLOOKUP($A1005,RA_result!$B$3:$N$62,7,0),"")</f>
        <v/>
      </c>
      <c r="P1005" s="52" t="str">
        <f aca="false">IFERROR(VLOOKUP($A1005,RA_result!$B$3:$N$62,9,0),"")</f>
        <v/>
      </c>
      <c r="Q1005" s="52" t="str">
        <f aca="false">IFERROR(VLOOKUP($A1005,RA_result!$B$3:$N$62,10,0),"")</f>
        <v/>
      </c>
      <c r="R1005" s="58" t="s">
        <v>55</v>
      </c>
      <c r="S1005" s="59" t="str">
        <f aca="false">IFERROR(VLOOKUP($A1005,RA_result!$B$3:$N$62,4,0),"")</f>
        <v/>
      </c>
      <c r="T1005" s="60" t="s">
        <v>56</v>
      </c>
      <c r="U1005" s="59" t="str">
        <f aca="false">IFERROR(IF(VLOOKUP($A1005,RA_result!$B$3:$N$62,6,0)="",S1005*T1005,VLOOKUP($A1005,RA_result!$B$3:$N$62,6,0)),"")</f>
        <v/>
      </c>
      <c r="V1005" s="61" t="s">
        <v>56</v>
      </c>
      <c r="W1005" s="62" t="n">
        <f aca="false">IFERROR((S1005*30%)/V1005,0)</f>
        <v>0</v>
      </c>
      <c r="X1005" s="63" t="n">
        <f aca="false">IFERROR(N1005/W1005,0)</f>
        <v>0</v>
      </c>
      <c r="Y1005" s="68"/>
      <c r="Z1005" s="57"/>
      <c r="AA1005" s="69" t="str">
        <f aca="false">IF(OR(U1005="",Y1005="",Z1005=""),"",IF(AND(U1005&gt;Y1005,-U1005&lt;Z1005),"Ok","Not Ok"))</f>
        <v/>
      </c>
      <c r="AB1005" s="70"/>
    </row>
    <row r="1006" customFormat="false" ht="12.8" hidden="false" customHeight="false" outlineLevel="0" collapsed="false">
      <c r="A1006" s="48" t="n">
        <f aca="false">TB_audited!A989</f>
        <v>0</v>
      </c>
      <c r="B1006" s="49"/>
      <c r="C1006" s="50"/>
      <c r="D1006" s="51" t="n">
        <f aca="false">TB_audited!B989</f>
        <v>0</v>
      </c>
      <c r="E1006" s="52" t="n">
        <f aca="false">TB_audited!C989</f>
        <v>0</v>
      </c>
      <c r="F1006" s="53" t="n">
        <f aca="false">TB_audited!D989</f>
        <v>0</v>
      </c>
      <c r="G1006" s="54" t="n">
        <f aca="false">IF($D$8="Interim",TB_audited!G989,TB_audited!E989)</f>
        <v>0</v>
      </c>
      <c r="H1006" s="55" t="str">
        <f aca="false">IFERROR(VLOOKUP($A1006,RA_result!$B$3:$N$62,11,0),"")</f>
        <v/>
      </c>
      <c r="I1006" s="55" t="str">
        <f aca="false">IFERROR(VLOOKUP($A1006,RA_result!$B$3:$N$62,12,0),"")</f>
        <v/>
      </c>
      <c r="J1006" s="55" t="str">
        <f aca="false">IFERROR(VLOOKUP($A1006,RA_result!$B$3:$N$62,13,0),"")</f>
        <v/>
      </c>
      <c r="K1006" s="56"/>
      <c r="L1006" s="56"/>
      <c r="M1006" s="57" t="n">
        <f aca="false">G1006</f>
        <v>0</v>
      </c>
      <c r="N1006" s="54" t="n">
        <f aca="false">G1006-M1006</f>
        <v>0</v>
      </c>
      <c r="O1006" s="55" t="str">
        <f aca="false">IFERROR(VLOOKUP($A1006,RA_result!$B$3:$N$62,7,0),"")</f>
        <v/>
      </c>
      <c r="P1006" s="52" t="str">
        <f aca="false">IFERROR(VLOOKUP($A1006,RA_result!$B$3:$N$62,9,0),"")</f>
        <v/>
      </c>
      <c r="Q1006" s="52" t="str">
        <f aca="false">IFERROR(VLOOKUP($A1006,RA_result!$B$3:$N$62,10,0),"")</f>
        <v/>
      </c>
      <c r="R1006" s="58" t="s">
        <v>55</v>
      </c>
      <c r="S1006" s="59" t="str">
        <f aca="false">IFERROR(VLOOKUP($A1006,RA_result!$B$3:$N$62,4,0),"")</f>
        <v/>
      </c>
      <c r="T1006" s="60" t="s">
        <v>56</v>
      </c>
      <c r="U1006" s="59" t="str">
        <f aca="false">IFERROR(IF(VLOOKUP($A1006,RA_result!$B$3:$N$62,6,0)="",S1006*T1006,VLOOKUP($A1006,RA_result!$B$3:$N$62,6,0)),"")</f>
        <v/>
      </c>
      <c r="V1006" s="61" t="s">
        <v>56</v>
      </c>
      <c r="W1006" s="62" t="n">
        <f aca="false">IFERROR((S1006*30%)/V1006,0)</f>
        <v>0</v>
      </c>
      <c r="X1006" s="63" t="n">
        <f aca="false">IFERROR(N1006/W1006,0)</f>
        <v>0</v>
      </c>
      <c r="Y1006" s="68"/>
      <c r="Z1006" s="57"/>
      <c r="AA1006" s="69" t="str">
        <f aca="false">IF(OR(U1006="",Y1006="",Z1006=""),"",IF(AND(U1006&gt;Y1006,-U1006&lt;Z1006),"Ok","Not Ok"))</f>
        <v/>
      </c>
      <c r="AB1006" s="70"/>
    </row>
    <row r="1007" customFormat="false" ht="12.8" hidden="false" customHeight="false" outlineLevel="0" collapsed="false">
      <c r="A1007" s="48" t="n">
        <f aca="false">TB_audited!A990</f>
        <v>0</v>
      </c>
      <c r="B1007" s="49"/>
      <c r="C1007" s="50"/>
      <c r="D1007" s="51" t="n">
        <f aca="false">TB_audited!B990</f>
        <v>0</v>
      </c>
      <c r="E1007" s="52" t="n">
        <f aca="false">TB_audited!C990</f>
        <v>0</v>
      </c>
      <c r="F1007" s="53" t="n">
        <f aca="false">TB_audited!D990</f>
        <v>0</v>
      </c>
      <c r="G1007" s="54" t="n">
        <f aca="false">IF($D$8="Interim",TB_audited!G990,TB_audited!E990)</f>
        <v>0</v>
      </c>
      <c r="H1007" s="55" t="str">
        <f aca="false">IFERROR(VLOOKUP($A1007,RA_result!$B$3:$N$62,11,0),"")</f>
        <v/>
      </c>
      <c r="I1007" s="55" t="str">
        <f aca="false">IFERROR(VLOOKUP($A1007,RA_result!$B$3:$N$62,12,0),"")</f>
        <v/>
      </c>
      <c r="J1007" s="55" t="str">
        <f aca="false">IFERROR(VLOOKUP($A1007,RA_result!$B$3:$N$62,13,0),"")</f>
        <v/>
      </c>
      <c r="K1007" s="56"/>
      <c r="L1007" s="56"/>
      <c r="M1007" s="57" t="n">
        <f aca="false">G1007</f>
        <v>0</v>
      </c>
      <c r="N1007" s="54" t="n">
        <f aca="false">G1007-M1007</f>
        <v>0</v>
      </c>
      <c r="O1007" s="55" t="str">
        <f aca="false">IFERROR(VLOOKUP($A1007,RA_result!$B$3:$N$62,7,0),"")</f>
        <v/>
      </c>
      <c r="P1007" s="52" t="str">
        <f aca="false">IFERROR(VLOOKUP($A1007,RA_result!$B$3:$N$62,9,0),"")</f>
        <v/>
      </c>
      <c r="Q1007" s="52" t="str">
        <f aca="false">IFERROR(VLOOKUP($A1007,RA_result!$B$3:$N$62,10,0),"")</f>
        <v/>
      </c>
      <c r="R1007" s="58" t="s">
        <v>55</v>
      </c>
      <c r="S1007" s="59" t="str">
        <f aca="false">IFERROR(VLOOKUP($A1007,RA_result!$B$3:$N$62,4,0),"")</f>
        <v/>
      </c>
      <c r="T1007" s="60" t="s">
        <v>56</v>
      </c>
      <c r="U1007" s="59" t="str">
        <f aca="false">IFERROR(IF(VLOOKUP($A1007,RA_result!$B$3:$N$62,6,0)="",S1007*T1007,VLOOKUP($A1007,RA_result!$B$3:$N$62,6,0)),"")</f>
        <v/>
      </c>
      <c r="V1007" s="61" t="s">
        <v>56</v>
      </c>
      <c r="W1007" s="62" t="n">
        <f aca="false">IFERROR((S1007*30%)/V1007,0)</f>
        <v>0</v>
      </c>
      <c r="X1007" s="63" t="n">
        <f aca="false">IFERROR(N1007/W1007,0)</f>
        <v>0</v>
      </c>
      <c r="Y1007" s="68"/>
      <c r="Z1007" s="57"/>
      <c r="AA1007" s="69" t="str">
        <f aca="false">IF(OR(U1007="",Y1007="",Z1007=""),"",IF(AND(U1007&gt;Y1007,-U1007&lt;Z1007),"Ok","Not Ok"))</f>
        <v/>
      </c>
      <c r="AB1007" s="70"/>
    </row>
    <row r="1008" customFormat="false" ht="12.8" hidden="false" customHeight="false" outlineLevel="0" collapsed="false">
      <c r="A1008" s="48" t="n">
        <f aca="false">TB_audited!A991</f>
        <v>0</v>
      </c>
      <c r="B1008" s="49"/>
      <c r="C1008" s="50"/>
      <c r="D1008" s="51" t="n">
        <f aca="false">TB_audited!B991</f>
        <v>0</v>
      </c>
      <c r="E1008" s="52" t="n">
        <f aca="false">TB_audited!C991</f>
        <v>0</v>
      </c>
      <c r="F1008" s="53" t="n">
        <f aca="false">TB_audited!D991</f>
        <v>0</v>
      </c>
      <c r="G1008" s="54" t="n">
        <f aca="false">IF($D$8="Interim",TB_audited!G991,TB_audited!E991)</f>
        <v>0</v>
      </c>
      <c r="H1008" s="55" t="str">
        <f aca="false">IFERROR(VLOOKUP($A1008,RA_result!$B$3:$N$62,11,0),"")</f>
        <v/>
      </c>
      <c r="I1008" s="55" t="str">
        <f aca="false">IFERROR(VLOOKUP($A1008,RA_result!$B$3:$N$62,12,0),"")</f>
        <v/>
      </c>
      <c r="J1008" s="55" t="str">
        <f aca="false">IFERROR(VLOOKUP($A1008,RA_result!$B$3:$N$62,13,0),"")</f>
        <v/>
      </c>
      <c r="K1008" s="56"/>
      <c r="L1008" s="56"/>
      <c r="M1008" s="57" t="n">
        <f aca="false">G1008</f>
        <v>0</v>
      </c>
      <c r="N1008" s="54" t="n">
        <f aca="false">G1008-M1008</f>
        <v>0</v>
      </c>
      <c r="O1008" s="55" t="str">
        <f aca="false">IFERROR(VLOOKUP($A1008,RA_result!$B$3:$N$62,7,0),"")</f>
        <v/>
      </c>
      <c r="P1008" s="52" t="str">
        <f aca="false">IFERROR(VLOOKUP($A1008,RA_result!$B$3:$N$62,9,0),"")</f>
        <v/>
      </c>
      <c r="Q1008" s="52" t="str">
        <f aca="false">IFERROR(VLOOKUP($A1008,RA_result!$B$3:$N$62,10,0),"")</f>
        <v/>
      </c>
      <c r="R1008" s="58" t="s">
        <v>55</v>
      </c>
      <c r="S1008" s="59" t="str">
        <f aca="false">IFERROR(VLOOKUP($A1008,RA_result!$B$3:$N$62,4,0),"")</f>
        <v/>
      </c>
      <c r="T1008" s="60" t="s">
        <v>56</v>
      </c>
      <c r="U1008" s="59" t="str">
        <f aca="false">IFERROR(IF(VLOOKUP($A1008,RA_result!$B$3:$N$62,6,0)="",S1008*T1008,VLOOKUP($A1008,RA_result!$B$3:$N$62,6,0)),"")</f>
        <v/>
      </c>
      <c r="V1008" s="61" t="s">
        <v>56</v>
      </c>
      <c r="W1008" s="62" t="n">
        <f aca="false">IFERROR((S1008*30%)/V1008,0)</f>
        <v>0</v>
      </c>
      <c r="X1008" s="63" t="n">
        <f aca="false">IFERROR(N1008/W1008,0)</f>
        <v>0</v>
      </c>
      <c r="Y1008" s="68"/>
      <c r="Z1008" s="57"/>
      <c r="AA1008" s="69" t="str">
        <f aca="false">IF(OR(U1008="",Y1008="",Z1008=""),"",IF(AND(U1008&gt;Y1008,-U1008&lt;Z1008),"Ok","Not Ok"))</f>
        <v/>
      </c>
      <c r="AB1008" s="70"/>
    </row>
    <row r="1009" customFormat="false" ht="12.8" hidden="false" customHeight="false" outlineLevel="0" collapsed="false">
      <c r="A1009" s="48" t="n">
        <f aca="false">TB_audited!A992</f>
        <v>0</v>
      </c>
      <c r="B1009" s="49"/>
      <c r="C1009" s="50"/>
      <c r="D1009" s="51" t="n">
        <f aca="false">TB_audited!B992</f>
        <v>0</v>
      </c>
      <c r="E1009" s="52" t="n">
        <f aca="false">TB_audited!C992</f>
        <v>0</v>
      </c>
      <c r="F1009" s="53" t="n">
        <f aca="false">TB_audited!D992</f>
        <v>0</v>
      </c>
      <c r="G1009" s="54" t="n">
        <f aca="false">IF($D$8="Interim",TB_audited!G992,TB_audited!E992)</f>
        <v>0</v>
      </c>
      <c r="H1009" s="55" t="str">
        <f aca="false">IFERROR(VLOOKUP($A1009,RA_result!$B$3:$N$62,11,0),"")</f>
        <v/>
      </c>
      <c r="I1009" s="55" t="str">
        <f aca="false">IFERROR(VLOOKUP($A1009,RA_result!$B$3:$N$62,12,0),"")</f>
        <v/>
      </c>
      <c r="J1009" s="55" t="str">
        <f aca="false">IFERROR(VLOOKUP($A1009,RA_result!$B$3:$N$62,13,0),"")</f>
        <v/>
      </c>
      <c r="K1009" s="56"/>
      <c r="L1009" s="56"/>
      <c r="M1009" s="57" t="n">
        <f aca="false">G1009</f>
        <v>0</v>
      </c>
      <c r="N1009" s="54" t="n">
        <f aca="false">G1009-M1009</f>
        <v>0</v>
      </c>
      <c r="O1009" s="55" t="str">
        <f aca="false">IFERROR(VLOOKUP($A1009,RA_result!$B$3:$N$62,7,0),"")</f>
        <v/>
      </c>
      <c r="P1009" s="52" t="str">
        <f aca="false">IFERROR(VLOOKUP($A1009,RA_result!$B$3:$N$62,9,0),"")</f>
        <v/>
      </c>
      <c r="Q1009" s="52" t="str">
        <f aca="false">IFERROR(VLOOKUP($A1009,RA_result!$B$3:$N$62,10,0),"")</f>
        <v/>
      </c>
      <c r="R1009" s="58" t="s">
        <v>55</v>
      </c>
      <c r="S1009" s="59" t="str">
        <f aca="false">IFERROR(VLOOKUP($A1009,RA_result!$B$3:$N$62,4,0),"")</f>
        <v/>
      </c>
      <c r="T1009" s="60" t="s">
        <v>56</v>
      </c>
      <c r="U1009" s="59" t="str">
        <f aca="false">IFERROR(IF(VLOOKUP($A1009,RA_result!$B$3:$N$62,6,0)="",S1009*T1009,VLOOKUP($A1009,RA_result!$B$3:$N$62,6,0)),"")</f>
        <v/>
      </c>
      <c r="V1009" s="61" t="s">
        <v>56</v>
      </c>
      <c r="W1009" s="62" t="n">
        <f aca="false">IFERROR((S1009*30%)/V1009,0)</f>
        <v>0</v>
      </c>
      <c r="X1009" s="63" t="n">
        <f aca="false">IFERROR(N1009/W1009,0)</f>
        <v>0</v>
      </c>
      <c r="Y1009" s="68"/>
      <c r="Z1009" s="57"/>
      <c r="AA1009" s="69" t="str">
        <f aca="false">IF(OR(U1009="",Y1009="",Z1009=""),"",IF(AND(U1009&gt;Y1009,-U1009&lt;Z1009),"Ok","Not Ok"))</f>
        <v/>
      </c>
      <c r="AB1009" s="70"/>
    </row>
    <row r="1010" customFormat="false" ht="12.8" hidden="false" customHeight="false" outlineLevel="0" collapsed="false">
      <c r="A1010" s="48" t="n">
        <f aca="false">TB_audited!A993</f>
        <v>0</v>
      </c>
      <c r="B1010" s="49"/>
      <c r="C1010" s="50"/>
      <c r="D1010" s="51" t="n">
        <f aca="false">TB_audited!B993</f>
        <v>0</v>
      </c>
      <c r="E1010" s="52" t="n">
        <f aca="false">TB_audited!C993</f>
        <v>0</v>
      </c>
      <c r="F1010" s="53" t="n">
        <f aca="false">TB_audited!D993</f>
        <v>0</v>
      </c>
      <c r="G1010" s="54" t="n">
        <f aca="false">IF($D$8="Interim",TB_audited!G993,TB_audited!E993)</f>
        <v>0</v>
      </c>
      <c r="H1010" s="55" t="str">
        <f aca="false">IFERROR(VLOOKUP($A1010,RA_result!$B$3:$N$62,11,0),"")</f>
        <v/>
      </c>
      <c r="I1010" s="55" t="str">
        <f aca="false">IFERROR(VLOOKUP($A1010,RA_result!$B$3:$N$62,12,0),"")</f>
        <v/>
      </c>
      <c r="J1010" s="55" t="str">
        <f aca="false">IFERROR(VLOOKUP($A1010,RA_result!$B$3:$N$62,13,0),"")</f>
        <v/>
      </c>
      <c r="K1010" s="56"/>
      <c r="L1010" s="56"/>
      <c r="M1010" s="57" t="n">
        <f aca="false">G1010</f>
        <v>0</v>
      </c>
      <c r="N1010" s="54" t="n">
        <f aca="false">G1010-M1010</f>
        <v>0</v>
      </c>
      <c r="O1010" s="55" t="str">
        <f aca="false">IFERROR(VLOOKUP($A1010,RA_result!$B$3:$N$62,7,0),"")</f>
        <v/>
      </c>
      <c r="P1010" s="52" t="str">
        <f aca="false">IFERROR(VLOOKUP($A1010,RA_result!$B$3:$N$62,9,0),"")</f>
        <v/>
      </c>
      <c r="Q1010" s="52" t="str">
        <f aca="false">IFERROR(VLOOKUP($A1010,RA_result!$B$3:$N$62,10,0),"")</f>
        <v/>
      </c>
      <c r="R1010" s="58" t="s">
        <v>55</v>
      </c>
      <c r="S1010" s="59" t="str">
        <f aca="false">IFERROR(VLOOKUP($A1010,RA_result!$B$3:$N$62,4,0),"")</f>
        <v/>
      </c>
      <c r="T1010" s="60" t="s">
        <v>56</v>
      </c>
      <c r="U1010" s="59" t="str">
        <f aca="false">IFERROR(IF(VLOOKUP($A1010,RA_result!$B$3:$N$62,6,0)="",S1010*T1010,VLOOKUP($A1010,RA_result!$B$3:$N$62,6,0)),"")</f>
        <v/>
      </c>
      <c r="V1010" s="61" t="s">
        <v>56</v>
      </c>
      <c r="W1010" s="62" t="n">
        <f aca="false">IFERROR((S1010*30%)/V1010,0)</f>
        <v>0</v>
      </c>
      <c r="X1010" s="63" t="n">
        <f aca="false">IFERROR(N1010/W1010,0)</f>
        <v>0</v>
      </c>
      <c r="Y1010" s="68"/>
      <c r="Z1010" s="57"/>
      <c r="AA1010" s="69" t="str">
        <f aca="false">IF(OR(U1010="",Y1010="",Z1010=""),"",IF(AND(U1010&gt;Y1010,-U1010&lt;Z1010),"Ok","Not Ok"))</f>
        <v/>
      </c>
      <c r="AB1010" s="70"/>
    </row>
    <row r="1011" customFormat="false" ht="12.8" hidden="false" customHeight="false" outlineLevel="0" collapsed="false">
      <c r="A1011" s="48" t="n">
        <f aca="false">TB_audited!A994</f>
        <v>0</v>
      </c>
      <c r="B1011" s="49"/>
      <c r="C1011" s="50"/>
      <c r="D1011" s="51" t="n">
        <f aca="false">TB_audited!B994</f>
        <v>0</v>
      </c>
      <c r="E1011" s="52" t="n">
        <f aca="false">TB_audited!C994</f>
        <v>0</v>
      </c>
      <c r="F1011" s="53" t="n">
        <f aca="false">TB_audited!D994</f>
        <v>0</v>
      </c>
      <c r="G1011" s="54" t="n">
        <f aca="false">IF($D$8="Interim",TB_audited!G994,TB_audited!E994)</f>
        <v>0</v>
      </c>
      <c r="H1011" s="55" t="str">
        <f aca="false">IFERROR(VLOOKUP($A1011,RA_result!$B$3:$N$62,11,0),"")</f>
        <v/>
      </c>
      <c r="I1011" s="55" t="str">
        <f aca="false">IFERROR(VLOOKUP($A1011,RA_result!$B$3:$N$62,12,0),"")</f>
        <v/>
      </c>
      <c r="J1011" s="55" t="str">
        <f aca="false">IFERROR(VLOOKUP($A1011,RA_result!$B$3:$N$62,13,0),"")</f>
        <v/>
      </c>
      <c r="K1011" s="56"/>
      <c r="L1011" s="56"/>
      <c r="M1011" s="57" t="n">
        <f aca="false">G1011</f>
        <v>0</v>
      </c>
      <c r="N1011" s="54" t="n">
        <f aca="false">G1011-M1011</f>
        <v>0</v>
      </c>
      <c r="O1011" s="55" t="str">
        <f aca="false">IFERROR(VLOOKUP($A1011,RA_result!$B$3:$N$62,7,0),"")</f>
        <v/>
      </c>
      <c r="P1011" s="52" t="str">
        <f aca="false">IFERROR(VLOOKUP($A1011,RA_result!$B$3:$N$62,9,0),"")</f>
        <v/>
      </c>
      <c r="Q1011" s="52" t="str">
        <f aca="false">IFERROR(VLOOKUP($A1011,RA_result!$B$3:$N$62,10,0),"")</f>
        <v/>
      </c>
      <c r="R1011" s="58" t="s">
        <v>55</v>
      </c>
      <c r="S1011" s="59" t="str">
        <f aca="false">IFERROR(VLOOKUP($A1011,RA_result!$B$3:$N$62,4,0),"")</f>
        <v/>
      </c>
      <c r="T1011" s="60" t="s">
        <v>56</v>
      </c>
      <c r="U1011" s="59" t="str">
        <f aca="false">IFERROR(IF(VLOOKUP($A1011,RA_result!$B$3:$N$62,6,0)="",S1011*T1011,VLOOKUP($A1011,RA_result!$B$3:$N$62,6,0)),"")</f>
        <v/>
      </c>
      <c r="V1011" s="61" t="s">
        <v>56</v>
      </c>
      <c r="W1011" s="62" t="n">
        <f aca="false">IFERROR((S1011*30%)/V1011,0)</f>
        <v>0</v>
      </c>
      <c r="X1011" s="63" t="n">
        <f aca="false">IFERROR(N1011/W1011,0)</f>
        <v>0</v>
      </c>
      <c r="Y1011" s="68"/>
      <c r="Z1011" s="57"/>
      <c r="AA1011" s="69" t="str">
        <f aca="false">IF(OR(U1011="",Y1011="",Z1011=""),"",IF(AND(U1011&gt;Y1011,-U1011&lt;Z1011),"Ok","Not Ok"))</f>
        <v/>
      </c>
      <c r="AB1011" s="70"/>
    </row>
    <row r="1012" customFormat="false" ht="12.8" hidden="false" customHeight="false" outlineLevel="0" collapsed="false">
      <c r="A1012" s="48" t="n">
        <f aca="false">TB_audited!A995</f>
        <v>0</v>
      </c>
      <c r="B1012" s="49"/>
      <c r="C1012" s="50"/>
      <c r="D1012" s="51" t="n">
        <f aca="false">TB_audited!B995</f>
        <v>0</v>
      </c>
      <c r="E1012" s="52" t="n">
        <f aca="false">TB_audited!C995</f>
        <v>0</v>
      </c>
      <c r="F1012" s="53" t="n">
        <f aca="false">TB_audited!D995</f>
        <v>0</v>
      </c>
      <c r="G1012" s="54" t="n">
        <f aca="false">IF($D$8="Interim",TB_audited!G995,TB_audited!E995)</f>
        <v>0</v>
      </c>
      <c r="H1012" s="55" t="str">
        <f aca="false">IFERROR(VLOOKUP($A1012,RA_result!$B$3:$N$62,11,0),"")</f>
        <v/>
      </c>
      <c r="I1012" s="55" t="str">
        <f aca="false">IFERROR(VLOOKUP($A1012,RA_result!$B$3:$N$62,12,0),"")</f>
        <v/>
      </c>
      <c r="J1012" s="55" t="str">
        <f aca="false">IFERROR(VLOOKUP($A1012,RA_result!$B$3:$N$62,13,0),"")</f>
        <v/>
      </c>
      <c r="K1012" s="56"/>
      <c r="L1012" s="56"/>
      <c r="M1012" s="57" t="n">
        <f aca="false">G1012</f>
        <v>0</v>
      </c>
      <c r="N1012" s="54" t="n">
        <f aca="false">G1012-M1012</f>
        <v>0</v>
      </c>
      <c r="O1012" s="55" t="str">
        <f aca="false">IFERROR(VLOOKUP($A1012,RA_result!$B$3:$N$62,7,0),"")</f>
        <v/>
      </c>
      <c r="P1012" s="52" t="str">
        <f aca="false">IFERROR(VLOOKUP($A1012,RA_result!$B$3:$N$62,9,0),"")</f>
        <v/>
      </c>
      <c r="Q1012" s="52" t="str">
        <f aca="false">IFERROR(VLOOKUP($A1012,RA_result!$B$3:$N$62,10,0),"")</f>
        <v/>
      </c>
      <c r="R1012" s="58" t="s">
        <v>55</v>
      </c>
      <c r="S1012" s="59" t="str">
        <f aca="false">IFERROR(VLOOKUP($A1012,RA_result!$B$3:$N$62,4,0),"")</f>
        <v/>
      </c>
      <c r="T1012" s="60" t="s">
        <v>56</v>
      </c>
      <c r="U1012" s="59" t="str">
        <f aca="false">IFERROR(IF(VLOOKUP($A1012,RA_result!$B$3:$N$62,6,0)="",S1012*T1012,VLOOKUP($A1012,RA_result!$B$3:$N$62,6,0)),"")</f>
        <v/>
      </c>
      <c r="V1012" s="61" t="s">
        <v>56</v>
      </c>
      <c r="W1012" s="62" t="n">
        <f aca="false">IFERROR((S1012*30%)/V1012,0)</f>
        <v>0</v>
      </c>
      <c r="X1012" s="63" t="n">
        <f aca="false">IFERROR(N1012/W1012,0)</f>
        <v>0</v>
      </c>
      <c r="Y1012" s="68"/>
      <c r="Z1012" s="57"/>
      <c r="AA1012" s="69" t="str">
        <f aca="false">IF(OR(U1012="",Y1012="",Z1012=""),"",IF(AND(U1012&gt;Y1012,-U1012&lt;Z1012),"Ok","Not Ok"))</f>
        <v/>
      </c>
      <c r="AB1012" s="70"/>
    </row>
    <row r="1013" customFormat="false" ht="12.8" hidden="false" customHeight="false" outlineLevel="0" collapsed="false">
      <c r="A1013" s="48" t="n">
        <f aca="false">TB_audited!A996</f>
        <v>0</v>
      </c>
      <c r="B1013" s="49"/>
      <c r="C1013" s="50"/>
      <c r="D1013" s="51" t="n">
        <f aca="false">TB_audited!B996</f>
        <v>0</v>
      </c>
      <c r="E1013" s="52" t="n">
        <f aca="false">TB_audited!C996</f>
        <v>0</v>
      </c>
      <c r="F1013" s="53" t="n">
        <f aca="false">TB_audited!D996</f>
        <v>0</v>
      </c>
      <c r="G1013" s="54" t="n">
        <f aca="false">IF($D$8="Interim",TB_audited!G996,TB_audited!E996)</f>
        <v>0</v>
      </c>
      <c r="H1013" s="55" t="str">
        <f aca="false">IFERROR(VLOOKUP($A1013,RA_result!$B$3:$N$62,11,0),"")</f>
        <v/>
      </c>
      <c r="I1013" s="55" t="str">
        <f aca="false">IFERROR(VLOOKUP($A1013,RA_result!$B$3:$N$62,12,0),"")</f>
        <v/>
      </c>
      <c r="J1013" s="55" t="str">
        <f aca="false">IFERROR(VLOOKUP($A1013,RA_result!$B$3:$N$62,13,0),"")</f>
        <v/>
      </c>
      <c r="K1013" s="56"/>
      <c r="L1013" s="56"/>
      <c r="M1013" s="57" t="n">
        <f aca="false">G1013</f>
        <v>0</v>
      </c>
      <c r="N1013" s="54" t="n">
        <f aca="false">G1013-M1013</f>
        <v>0</v>
      </c>
      <c r="O1013" s="55" t="str">
        <f aca="false">IFERROR(VLOOKUP($A1013,RA_result!$B$3:$N$62,7,0),"")</f>
        <v/>
      </c>
      <c r="P1013" s="52" t="str">
        <f aca="false">IFERROR(VLOOKUP($A1013,RA_result!$B$3:$N$62,9,0),"")</f>
        <v/>
      </c>
      <c r="Q1013" s="52" t="str">
        <f aca="false">IFERROR(VLOOKUP($A1013,RA_result!$B$3:$N$62,10,0),"")</f>
        <v/>
      </c>
      <c r="R1013" s="58" t="s">
        <v>55</v>
      </c>
      <c r="S1013" s="59" t="str">
        <f aca="false">IFERROR(VLOOKUP($A1013,RA_result!$B$3:$N$62,4,0),"")</f>
        <v/>
      </c>
      <c r="T1013" s="60" t="s">
        <v>56</v>
      </c>
      <c r="U1013" s="59" t="str">
        <f aca="false">IFERROR(IF(VLOOKUP($A1013,RA_result!$B$3:$N$62,6,0)="",S1013*T1013,VLOOKUP($A1013,RA_result!$B$3:$N$62,6,0)),"")</f>
        <v/>
      </c>
      <c r="V1013" s="61" t="s">
        <v>56</v>
      </c>
      <c r="W1013" s="62" t="n">
        <f aca="false">IFERROR((S1013*30%)/V1013,0)</f>
        <v>0</v>
      </c>
      <c r="X1013" s="63" t="n">
        <f aca="false">IFERROR(N1013/W1013,0)</f>
        <v>0</v>
      </c>
      <c r="Y1013" s="68"/>
      <c r="Z1013" s="57"/>
      <c r="AA1013" s="69" t="str">
        <f aca="false">IF(OR(U1013="",Y1013="",Z1013=""),"",IF(AND(U1013&gt;Y1013,-U1013&lt;Z1013),"Ok","Not Ok"))</f>
        <v/>
      </c>
      <c r="AB1013" s="70"/>
    </row>
    <row r="1014" customFormat="false" ht="12.8" hidden="false" customHeight="false" outlineLevel="0" collapsed="false">
      <c r="A1014" s="48" t="n">
        <f aca="false">TB_audited!A997</f>
        <v>0</v>
      </c>
      <c r="B1014" s="49"/>
      <c r="C1014" s="50"/>
      <c r="D1014" s="51" t="n">
        <f aca="false">TB_audited!B997</f>
        <v>0</v>
      </c>
      <c r="E1014" s="52" t="n">
        <f aca="false">TB_audited!C997</f>
        <v>0</v>
      </c>
      <c r="F1014" s="53" t="n">
        <f aca="false">TB_audited!D997</f>
        <v>0</v>
      </c>
      <c r="G1014" s="54" t="n">
        <f aca="false">IF($D$8="Interim",TB_audited!G997,TB_audited!E997)</f>
        <v>0</v>
      </c>
      <c r="H1014" s="55" t="str">
        <f aca="false">IFERROR(VLOOKUP($A1014,RA_result!$B$3:$N$62,11,0),"")</f>
        <v/>
      </c>
      <c r="I1014" s="55" t="str">
        <f aca="false">IFERROR(VLOOKUP($A1014,RA_result!$B$3:$N$62,12,0),"")</f>
        <v/>
      </c>
      <c r="J1014" s="55" t="str">
        <f aca="false">IFERROR(VLOOKUP($A1014,RA_result!$B$3:$N$62,13,0),"")</f>
        <v/>
      </c>
      <c r="K1014" s="56"/>
      <c r="L1014" s="56"/>
      <c r="M1014" s="57" t="n">
        <f aca="false">G1014</f>
        <v>0</v>
      </c>
      <c r="N1014" s="54" t="n">
        <f aca="false">G1014-M1014</f>
        <v>0</v>
      </c>
      <c r="O1014" s="55" t="str">
        <f aca="false">IFERROR(VLOOKUP($A1014,RA_result!$B$3:$N$62,7,0),"")</f>
        <v/>
      </c>
      <c r="P1014" s="52" t="str">
        <f aca="false">IFERROR(VLOOKUP($A1014,RA_result!$B$3:$N$62,9,0),"")</f>
        <v/>
      </c>
      <c r="Q1014" s="52" t="str">
        <f aca="false">IFERROR(VLOOKUP($A1014,RA_result!$B$3:$N$62,10,0),"")</f>
        <v/>
      </c>
      <c r="R1014" s="58" t="s">
        <v>55</v>
      </c>
      <c r="S1014" s="59" t="str">
        <f aca="false">IFERROR(VLOOKUP($A1014,RA_result!$B$3:$N$62,4,0),"")</f>
        <v/>
      </c>
      <c r="T1014" s="60" t="s">
        <v>56</v>
      </c>
      <c r="U1014" s="59" t="str">
        <f aca="false">IFERROR(IF(VLOOKUP($A1014,RA_result!$B$3:$N$62,6,0)="",S1014*T1014,VLOOKUP($A1014,RA_result!$B$3:$N$62,6,0)),"")</f>
        <v/>
      </c>
      <c r="V1014" s="61" t="s">
        <v>56</v>
      </c>
      <c r="W1014" s="62" t="n">
        <f aca="false">IFERROR((S1014*30%)/V1014,0)</f>
        <v>0</v>
      </c>
      <c r="X1014" s="63" t="n">
        <f aca="false">IFERROR(N1014/W1014,0)</f>
        <v>0</v>
      </c>
      <c r="Y1014" s="68"/>
      <c r="Z1014" s="57"/>
      <c r="AA1014" s="69" t="str">
        <f aca="false">IF(OR(U1014="",Y1014="",Z1014=""),"",IF(AND(U1014&gt;Y1014,-U1014&lt;Z1014),"Ok","Not Ok"))</f>
        <v/>
      </c>
      <c r="AB1014" s="70"/>
    </row>
    <row r="1015" customFormat="false" ht="12.8" hidden="false" customHeight="false" outlineLevel="0" collapsed="false">
      <c r="A1015" s="48" t="n">
        <f aca="false">TB_audited!A998</f>
        <v>0</v>
      </c>
      <c r="B1015" s="49"/>
      <c r="C1015" s="50"/>
      <c r="D1015" s="51" t="n">
        <f aca="false">TB_audited!B998</f>
        <v>0</v>
      </c>
      <c r="E1015" s="52" t="n">
        <f aca="false">TB_audited!C998</f>
        <v>0</v>
      </c>
      <c r="F1015" s="53" t="n">
        <f aca="false">TB_audited!D998</f>
        <v>0</v>
      </c>
      <c r="G1015" s="54" t="n">
        <f aca="false">IF($D$8="Interim",TB_audited!G998,TB_audited!E998)</f>
        <v>0</v>
      </c>
      <c r="H1015" s="55" t="str">
        <f aca="false">IFERROR(VLOOKUP($A1015,RA_result!$B$3:$N$62,11,0),"")</f>
        <v/>
      </c>
      <c r="I1015" s="55" t="str">
        <f aca="false">IFERROR(VLOOKUP($A1015,RA_result!$B$3:$N$62,12,0),"")</f>
        <v/>
      </c>
      <c r="J1015" s="55" t="str">
        <f aca="false">IFERROR(VLOOKUP($A1015,RA_result!$B$3:$N$62,13,0),"")</f>
        <v/>
      </c>
      <c r="K1015" s="56"/>
      <c r="L1015" s="56"/>
      <c r="M1015" s="57" t="n">
        <f aca="false">G1015</f>
        <v>0</v>
      </c>
      <c r="N1015" s="54" t="n">
        <f aca="false">G1015-M1015</f>
        <v>0</v>
      </c>
      <c r="O1015" s="55" t="str">
        <f aca="false">IFERROR(VLOOKUP($A1015,RA_result!$B$3:$N$62,7,0),"")</f>
        <v/>
      </c>
      <c r="P1015" s="52" t="str">
        <f aca="false">IFERROR(VLOOKUP($A1015,RA_result!$B$3:$N$62,9,0),"")</f>
        <v/>
      </c>
      <c r="Q1015" s="52" t="str">
        <f aca="false">IFERROR(VLOOKUP($A1015,RA_result!$B$3:$N$62,10,0),"")</f>
        <v/>
      </c>
      <c r="R1015" s="58" t="s">
        <v>55</v>
      </c>
      <c r="S1015" s="59" t="str">
        <f aca="false">IFERROR(VLOOKUP($A1015,RA_result!$B$3:$N$62,4,0),"")</f>
        <v/>
      </c>
      <c r="T1015" s="60" t="s">
        <v>56</v>
      </c>
      <c r="U1015" s="59" t="str">
        <f aca="false">IFERROR(IF(VLOOKUP($A1015,RA_result!$B$3:$N$62,6,0)="",S1015*T1015,VLOOKUP($A1015,RA_result!$B$3:$N$62,6,0)),"")</f>
        <v/>
      </c>
      <c r="V1015" s="61" t="s">
        <v>56</v>
      </c>
      <c r="W1015" s="62" t="n">
        <f aca="false">IFERROR((S1015*30%)/V1015,0)</f>
        <v>0</v>
      </c>
      <c r="X1015" s="63" t="n">
        <f aca="false">IFERROR(N1015/W1015,0)</f>
        <v>0</v>
      </c>
      <c r="Y1015" s="68"/>
      <c r="Z1015" s="57"/>
      <c r="AA1015" s="69" t="str">
        <f aca="false">IF(OR(U1015="",Y1015="",Z1015=""),"",IF(AND(U1015&gt;Y1015,-U1015&lt;Z1015),"Ok","Not Ok"))</f>
        <v/>
      </c>
      <c r="AB1015" s="70"/>
    </row>
    <row r="1016" customFormat="false" ht="12.8" hidden="false" customHeight="false" outlineLevel="0" collapsed="false">
      <c r="A1016" s="48" t="n">
        <f aca="false">TB_audited!A999</f>
        <v>0</v>
      </c>
      <c r="B1016" s="49"/>
      <c r="C1016" s="50"/>
      <c r="D1016" s="51" t="n">
        <f aca="false">TB_audited!B999</f>
        <v>0</v>
      </c>
      <c r="E1016" s="52" t="n">
        <f aca="false">TB_audited!C999</f>
        <v>0</v>
      </c>
      <c r="F1016" s="53" t="n">
        <f aca="false">TB_audited!D999</f>
        <v>0</v>
      </c>
      <c r="G1016" s="54" t="n">
        <f aca="false">IF($D$8="Interim",TB_audited!G999,TB_audited!E999)</f>
        <v>0</v>
      </c>
      <c r="H1016" s="55" t="str">
        <f aca="false">IFERROR(VLOOKUP($A1016,RA_result!$B$3:$N$62,11,0),"")</f>
        <v/>
      </c>
      <c r="I1016" s="55" t="str">
        <f aca="false">IFERROR(VLOOKUP($A1016,RA_result!$B$3:$N$62,12,0),"")</f>
        <v/>
      </c>
      <c r="J1016" s="55" t="str">
        <f aca="false">IFERROR(VLOOKUP($A1016,RA_result!$B$3:$N$62,13,0),"")</f>
        <v/>
      </c>
      <c r="K1016" s="56"/>
      <c r="L1016" s="56"/>
      <c r="M1016" s="57" t="n">
        <f aca="false">G1016</f>
        <v>0</v>
      </c>
      <c r="N1016" s="54" t="n">
        <f aca="false">G1016-M1016</f>
        <v>0</v>
      </c>
      <c r="O1016" s="55" t="str">
        <f aca="false">IFERROR(VLOOKUP($A1016,RA_result!$B$3:$N$62,7,0),"")</f>
        <v/>
      </c>
      <c r="P1016" s="52" t="str">
        <f aca="false">IFERROR(VLOOKUP($A1016,RA_result!$B$3:$N$62,9,0),"")</f>
        <v/>
      </c>
      <c r="Q1016" s="52" t="str">
        <f aca="false">IFERROR(VLOOKUP($A1016,RA_result!$B$3:$N$62,10,0),"")</f>
        <v/>
      </c>
      <c r="R1016" s="58" t="s">
        <v>55</v>
      </c>
      <c r="S1016" s="59" t="str">
        <f aca="false">IFERROR(VLOOKUP($A1016,RA_result!$B$3:$N$62,4,0),"")</f>
        <v/>
      </c>
      <c r="T1016" s="60" t="s">
        <v>56</v>
      </c>
      <c r="U1016" s="59" t="str">
        <f aca="false">IFERROR(IF(VLOOKUP($A1016,RA_result!$B$3:$N$62,6,0)="",S1016*T1016,VLOOKUP($A1016,RA_result!$B$3:$N$62,6,0)),"")</f>
        <v/>
      </c>
      <c r="V1016" s="61" t="s">
        <v>56</v>
      </c>
      <c r="W1016" s="62" t="n">
        <f aca="false">IFERROR((S1016*30%)/V1016,0)</f>
        <v>0</v>
      </c>
      <c r="X1016" s="63" t="n">
        <f aca="false">IFERROR(N1016/W1016,0)</f>
        <v>0</v>
      </c>
      <c r="Y1016" s="68"/>
      <c r="Z1016" s="57"/>
      <c r="AA1016" s="69" t="str">
        <f aca="false">IF(OR(U1016="",Y1016="",Z1016=""),"",IF(AND(U1016&gt;Y1016,-U1016&lt;Z1016),"Ok","Not Ok"))</f>
        <v/>
      </c>
      <c r="AB1016" s="70"/>
    </row>
    <row r="1017" customFormat="false" ht="12.8" hidden="false" customHeight="false" outlineLevel="0" collapsed="false">
      <c r="A1017" s="48" t="n">
        <f aca="false">TB_audited!A1000</f>
        <v>0</v>
      </c>
      <c r="B1017" s="49"/>
      <c r="C1017" s="50"/>
      <c r="D1017" s="51" t="n">
        <f aca="false">TB_audited!B1000</f>
        <v>0</v>
      </c>
      <c r="E1017" s="52" t="n">
        <f aca="false">TB_audited!C1000</f>
        <v>0</v>
      </c>
      <c r="F1017" s="53" t="n">
        <f aca="false">TB_audited!D1000</f>
        <v>0</v>
      </c>
      <c r="G1017" s="54" t="n">
        <f aca="false">IF($D$8="Interim",TB_audited!G1000,TB_audited!E1000)</f>
        <v>0</v>
      </c>
      <c r="H1017" s="55" t="str">
        <f aca="false">IFERROR(VLOOKUP($A1017,RA_result!$B$3:$N$62,11,0),"")</f>
        <v/>
      </c>
      <c r="I1017" s="55" t="str">
        <f aca="false">IFERROR(VLOOKUP($A1017,RA_result!$B$3:$N$62,12,0),"")</f>
        <v/>
      </c>
      <c r="J1017" s="55" t="str">
        <f aca="false">IFERROR(VLOOKUP($A1017,RA_result!$B$3:$N$62,13,0),"")</f>
        <v/>
      </c>
      <c r="K1017" s="56"/>
      <c r="L1017" s="56"/>
      <c r="M1017" s="57" t="n">
        <f aca="false">G1017</f>
        <v>0</v>
      </c>
      <c r="N1017" s="54" t="n">
        <f aca="false">G1017-M1017</f>
        <v>0</v>
      </c>
      <c r="O1017" s="55" t="str">
        <f aca="false">IFERROR(VLOOKUP($A1017,RA_result!$B$3:$N$62,7,0),"")</f>
        <v/>
      </c>
      <c r="P1017" s="52" t="str">
        <f aca="false">IFERROR(VLOOKUP($A1017,RA_result!$B$3:$N$62,9,0),"")</f>
        <v/>
      </c>
      <c r="Q1017" s="52" t="str">
        <f aca="false">IFERROR(VLOOKUP($A1017,RA_result!$B$3:$N$62,10,0),"")</f>
        <v/>
      </c>
      <c r="R1017" s="58" t="s">
        <v>55</v>
      </c>
      <c r="S1017" s="59" t="str">
        <f aca="false">IFERROR(VLOOKUP($A1017,RA_result!$B$3:$N$62,4,0),"")</f>
        <v/>
      </c>
      <c r="T1017" s="60" t="s">
        <v>56</v>
      </c>
      <c r="U1017" s="59" t="str">
        <f aca="false">IFERROR(IF(VLOOKUP($A1017,RA_result!$B$3:$N$62,6,0)="",S1017*T1017,VLOOKUP($A1017,RA_result!$B$3:$N$62,6,0)),"")</f>
        <v/>
      </c>
      <c r="V1017" s="61" t="s">
        <v>56</v>
      </c>
      <c r="W1017" s="62" t="n">
        <f aca="false">IFERROR((S1017*30%)/V1017,0)</f>
        <v>0</v>
      </c>
      <c r="X1017" s="63" t="n">
        <f aca="false">IFERROR(N1017/W1017,0)</f>
        <v>0</v>
      </c>
      <c r="Y1017" s="68"/>
      <c r="Z1017" s="57"/>
      <c r="AA1017" s="69" t="str">
        <f aca="false">IF(OR(U1017="",Y1017="",Z1017=""),"",IF(AND(U1017&gt;Y1017,-U1017&lt;Z1017),"Ok","Not Ok"))</f>
        <v/>
      </c>
      <c r="AB1017" s="70"/>
    </row>
    <row r="1018" customFormat="false" ht="12.8" hidden="false" customHeight="false" outlineLevel="0" collapsed="false">
      <c r="A1018" s="48" t="n">
        <f aca="false">TB_audited!A1001</f>
        <v>0</v>
      </c>
      <c r="B1018" s="49"/>
      <c r="C1018" s="50"/>
      <c r="D1018" s="51" t="n">
        <f aca="false">TB_audited!B1001</f>
        <v>0</v>
      </c>
      <c r="E1018" s="52" t="n">
        <f aca="false">TB_audited!C1001</f>
        <v>0</v>
      </c>
      <c r="F1018" s="53" t="n">
        <f aca="false">TB_audited!D1001</f>
        <v>0</v>
      </c>
      <c r="G1018" s="54" t="n">
        <f aca="false">IF($D$8="Interim",TB_audited!G1001,TB_audited!E1001)</f>
        <v>0</v>
      </c>
      <c r="H1018" s="55" t="str">
        <f aca="false">IFERROR(VLOOKUP($A1018,RA_result!$B$3:$N$62,11,0),"")</f>
        <v/>
      </c>
      <c r="I1018" s="55" t="str">
        <f aca="false">IFERROR(VLOOKUP($A1018,RA_result!$B$3:$N$62,12,0),"")</f>
        <v/>
      </c>
      <c r="J1018" s="55" t="str">
        <f aca="false">IFERROR(VLOOKUP($A1018,RA_result!$B$3:$N$62,13,0),"")</f>
        <v/>
      </c>
      <c r="K1018" s="56"/>
      <c r="L1018" s="56"/>
      <c r="M1018" s="57" t="n">
        <f aca="false">G1018</f>
        <v>0</v>
      </c>
      <c r="N1018" s="54" t="n">
        <f aca="false">G1018-M1018</f>
        <v>0</v>
      </c>
      <c r="O1018" s="55" t="str">
        <f aca="false">IFERROR(VLOOKUP($A1018,RA_result!$B$3:$N$62,7,0),"")</f>
        <v/>
      </c>
      <c r="P1018" s="52" t="str">
        <f aca="false">IFERROR(VLOOKUP($A1018,RA_result!$B$3:$N$62,9,0),"")</f>
        <v/>
      </c>
      <c r="Q1018" s="52" t="str">
        <f aca="false">IFERROR(VLOOKUP($A1018,RA_result!$B$3:$N$62,10,0),"")</f>
        <v/>
      </c>
      <c r="R1018" s="58" t="s">
        <v>55</v>
      </c>
      <c r="S1018" s="59" t="str">
        <f aca="false">IFERROR(VLOOKUP($A1018,RA_result!$B$3:$N$62,4,0),"")</f>
        <v/>
      </c>
      <c r="T1018" s="60" t="s">
        <v>56</v>
      </c>
      <c r="U1018" s="59" t="str">
        <f aca="false">IFERROR(IF(VLOOKUP($A1018,RA_result!$B$3:$N$62,6,0)="",S1018*T1018,VLOOKUP($A1018,RA_result!$B$3:$N$62,6,0)),"")</f>
        <v/>
      </c>
      <c r="V1018" s="61" t="s">
        <v>56</v>
      </c>
      <c r="W1018" s="62" t="n">
        <f aca="false">IFERROR((S1018*30%)/V1018,0)</f>
        <v>0</v>
      </c>
      <c r="X1018" s="63" t="n">
        <f aca="false">IFERROR(N1018/W1018,0)</f>
        <v>0</v>
      </c>
      <c r="Y1018" s="68"/>
      <c r="Z1018" s="57"/>
      <c r="AA1018" s="69" t="str">
        <f aca="false">IF(OR(U1018="",Y1018="",Z1018=""),"",IF(AND(U1018&gt;Y1018,-U1018&lt;Z1018),"Ok","Not Ok"))</f>
        <v/>
      </c>
      <c r="AB1018" s="70"/>
    </row>
    <row r="1019" customFormat="false" ht="12.8" hidden="false" customHeight="false" outlineLevel="0" collapsed="false">
      <c r="A1019" s="48" t="n">
        <f aca="false">TB_audited!A1002</f>
        <v>0</v>
      </c>
      <c r="B1019" s="49"/>
      <c r="C1019" s="50"/>
      <c r="D1019" s="51" t="n">
        <f aca="false">TB_audited!B1002</f>
        <v>0</v>
      </c>
      <c r="E1019" s="52" t="n">
        <f aca="false">TB_audited!C1002</f>
        <v>0</v>
      </c>
      <c r="F1019" s="53" t="n">
        <f aca="false">TB_audited!D1002</f>
        <v>0</v>
      </c>
      <c r="G1019" s="54" t="n">
        <f aca="false">IF($D$8="Interim",TB_audited!G1002,TB_audited!E1002)</f>
        <v>0</v>
      </c>
      <c r="H1019" s="55" t="str">
        <f aca="false">IFERROR(VLOOKUP($A1019,RA_result!$B$3:$N$62,11,0),"")</f>
        <v/>
      </c>
      <c r="I1019" s="55" t="str">
        <f aca="false">IFERROR(VLOOKUP($A1019,RA_result!$B$3:$N$62,12,0),"")</f>
        <v/>
      </c>
      <c r="J1019" s="55" t="str">
        <f aca="false">IFERROR(VLOOKUP($A1019,RA_result!$B$3:$N$62,13,0),"")</f>
        <v/>
      </c>
      <c r="K1019" s="56"/>
      <c r="L1019" s="56"/>
      <c r="M1019" s="57" t="n">
        <f aca="false">G1019</f>
        <v>0</v>
      </c>
      <c r="N1019" s="54" t="n">
        <f aca="false">G1019-M1019</f>
        <v>0</v>
      </c>
      <c r="O1019" s="55" t="str">
        <f aca="false">IFERROR(VLOOKUP($A1019,RA_result!$B$3:$N$62,7,0),"")</f>
        <v/>
      </c>
      <c r="P1019" s="52" t="str">
        <f aca="false">IFERROR(VLOOKUP($A1019,RA_result!$B$3:$N$62,9,0),"")</f>
        <v/>
      </c>
      <c r="Q1019" s="52" t="str">
        <f aca="false">IFERROR(VLOOKUP($A1019,RA_result!$B$3:$N$62,10,0),"")</f>
        <v/>
      </c>
      <c r="R1019" s="58" t="s">
        <v>55</v>
      </c>
      <c r="S1019" s="59" t="str">
        <f aca="false">IFERROR(VLOOKUP($A1019,RA_result!$B$3:$N$62,4,0),"")</f>
        <v/>
      </c>
      <c r="T1019" s="60" t="s">
        <v>56</v>
      </c>
      <c r="U1019" s="59" t="str">
        <f aca="false">IFERROR(IF(VLOOKUP($A1019,RA_result!$B$3:$N$62,6,0)="",S1019*T1019,VLOOKUP($A1019,RA_result!$B$3:$N$62,6,0)),"")</f>
        <v/>
      </c>
      <c r="V1019" s="61" t="s">
        <v>56</v>
      </c>
      <c r="W1019" s="62" t="n">
        <f aca="false">IFERROR((S1019*30%)/V1019,0)</f>
        <v>0</v>
      </c>
      <c r="X1019" s="63" t="n">
        <f aca="false">IFERROR(N1019/W1019,0)</f>
        <v>0</v>
      </c>
      <c r="Y1019" s="68"/>
      <c r="Z1019" s="57"/>
      <c r="AA1019" s="69" t="str">
        <f aca="false">IF(OR(U1019="",Y1019="",Z1019=""),"",IF(AND(U1019&gt;Y1019,-U1019&lt;Z1019),"Ok","Not Ok"))</f>
        <v/>
      </c>
      <c r="AB1019" s="70"/>
    </row>
    <row r="1020" customFormat="false" ht="12.8" hidden="false" customHeight="false" outlineLevel="0" collapsed="false">
      <c r="A1020" s="71" t="s">
        <v>57</v>
      </c>
      <c r="B1020" s="72" t="s">
        <v>57</v>
      </c>
      <c r="C1020" s="73" t="s">
        <v>57</v>
      </c>
      <c r="D1020" s="74" t="s">
        <v>57</v>
      </c>
      <c r="E1020" s="74" t="s">
        <v>57</v>
      </c>
      <c r="F1020" s="74" t="s">
        <v>57</v>
      </c>
      <c r="G1020" s="75" t="s">
        <v>57</v>
      </c>
      <c r="H1020" s="76" t="s">
        <v>57</v>
      </c>
      <c r="I1020" s="76" t="s">
        <v>57</v>
      </c>
      <c r="J1020" s="76" t="s">
        <v>57</v>
      </c>
      <c r="K1020" s="74" t="s">
        <v>57</v>
      </c>
      <c r="L1020" s="74" t="s">
        <v>57</v>
      </c>
      <c r="M1020" s="74" t="s">
        <v>57</v>
      </c>
      <c r="N1020" s="74" t="s">
        <v>57</v>
      </c>
      <c r="O1020" s="74" t="s">
        <v>57</v>
      </c>
      <c r="P1020" s="74" t="s">
        <v>57</v>
      </c>
      <c r="Q1020" s="74" t="s">
        <v>57</v>
      </c>
      <c r="R1020" s="74" t="s">
        <v>57</v>
      </c>
      <c r="S1020" s="74" t="s">
        <v>57</v>
      </c>
      <c r="T1020" s="74" t="s">
        <v>57</v>
      </c>
      <c r="U1020" s="74" t="s">
        <v>57</v>
      </c>
      <c r="V1020" s="74" t="s">
        <v>57</v>
      </c>
      <c r="W1020" s="74" t="s">
        <v>57</v>
      </c>
      <c r="X1020" s="74" t="s">
        <v>57</v>
      </c>
      <c r="Y1020" s="76" t="s">
        <v>57</v>
      </c>
      <c r="Z1020" s="74" t="s">
        <v>57</v>
      </c>
      <c r="AA1020" s="75" t="s">
        <v>57</v>
      </c>
      <c r="AB1020" s="74" t="s">
        <v>57</v>
      </c>
    </row>
    <row r="1022" customFormat="false" ht="12.8" hidden="false" customHeight="false" outlineLevel="0" collapsed="false">
      <c r="A1022" s="77" t="s">
        <v>58</v>
      </c>
      <c r="B1022" s="10"/>
      <c r="C1022" s="78" t="s">
        <v>1</v>
      </c>
      <c r="D1022" s="79" t="s">
        <v>59</v>
      </c>
      <c r="E1022" s="79"/>
    </row>
    <row r="1023" customFormat="false" ht="12.8" hidden="false" customHeight="false" outlineLevel="0" collapsed="false">
      <c r="A1023" s="77" t="s">
        <v>60</v>
      </c>
      <c r="B1023" s="10"/>
      <c r="C1023" s="78" t="s">
        <v>1</v>
      </c>
      <c r="D1023" s="79"/>
      <c r="E1023" s="79"/>
    </row>
    <row r="1024" customFormat="false" ht="12.8" hidden="false" customHeight="false" outlineLevel="0" collapsed="false">
      <c r="A1024" s="77" t="s">
        <v>61</v>
      </c>
      <c r="B1024" s="10"/>
      <c r="C1024" s="78" t="s">
        <v>1</v>
      </c>
      <c r="D1024" s="79"/>
      <c r="E1024" s="79"/>
    </row>
    <row r="1025" customFormat="false" ht="12.8" hidden="false" customHeight="false" outlineLevel="0" collapsed="false">
      <c r="A1025" s="77" t="s">
        <v>62</v>
      </c>
      <c r="B1025" s="10"/>
      <c r="C1025" s="78" t="s">
        <v>1</v>
      </c>
      <c r="D1025" s="79"/>
      <c r="E1025" s="79"/>
    </row>
    <row r="1026" customFormat="false" ht="12.8" hidden="false" customHeight="false" outlineLevel="0" collapsed="false">
      <c r="A1026" s="77" t="s">
        <v>60</v>
      </c>
      <c r="B1026" s="10"/>
      <c r="C1026" s="78" t="s">
        <v>1</v>
      </c>
      <c r="D1026" s="79"/>
      <c r="E1026" s="79"/>
    </row>
    <row r="1027" customFormat="false" ht="12.8" hidden="false" customHeight="false" outlineLevel="0" collapsed="false">
      <c r="A1027" s="77" t="s">
        <v>61</v>
      </c>
      <c r="B1027" s="10"/>
      <c r="C1027" s="78" t="s">
        <v>1</v>
      </c>
      <c r="D1027" s="79"/>
      <c r="E1027" s="79"/>
    </row>
    <row r="1029" customFormat="false" ht="12.8" hidden="false" customHeight="false" outlineLevel="0" collapsed="false">
      <c r="A1029" s="80"/>
      <c r="B1029" s="81" t="s">
        <v>63</v>
      </c>
      <c r="C1029" s="80"/>
      <c r="D1029" s="80"/>
      <c r="E1029" s="80"/>
      <c r="F1029" s="80"/>
      <c r="G1029" s="82"/>
    </row>
    <row r="1030" customFormat="false" ht="12.8" hidden="false" customHeight="true" outlineLevel="0" collapsed="false">
      <c r="A1030" s="80"/>
      <c r="B1030" s="83" t="s">
        <v>64</v>
      </c>
      <c r="C1030" s="83"/>
      <c r="D1030" s="83"/>
      <c r="E1030" s="83"/>
      <c r="F1030" s="83" t="s">
        <v>65</v>
      </c>
      <c r="G1030" s="83" t="s">
        <v>66</v>
      </c>
    </row>
    <row r="1031" customFormat="false" ht="12.8" hidden="false" customHeight="false" outlineLevel="0" collapsed="false">
      <c r="A1031" s="80"/>
      <c r="B1031" s="83"/>
      <c r="C1031" s="83"/>
      <c r="D1031" s="83"/>
      <c r="E1031" s="83"/>
      <c r="F1031" s="83"/>
      <c r="G1031" s="83"/>
    </row>
    <row r="1032" customFormat="false" ht="12.8" hidden="false" customHeight="false" outlineLevel="0" collapsed="false">
      <c r="A1032" s="80"/>
      <c r="B1032" s="83"/>
      <c r="C1032" s="83"/>
      <c r="D1032" s="83"/>
      <c r="E1032" s="83"/>
      <c r="F1032" s="83"/>
      <c r="G1032" s="83"/>
    </row>
    <row r="1033" customFormat="false" ht="12.8" hidden="false" customHeight="false" outlineLevel="0" collapsed="false">
      <c r="A1033" s="80"/>
      <c r="B1033" s="84" t="s">
        <v>67</v>
      </c>
      <c r="C1033" s="84"/>
      <c r="D1033" s="84"/>
      <c r="E1033" s="84"/>
      <c r="F1033" s="85" t="s">
        <v>67</v>
      </c>
      <c r="G1033" s="86" t="s">
        <v>68</v>
      </c>
    </row>
    <row r="1034" customFormat="false" ht="12.8" hidden="false" customHeight="false" outlineLevel="0" collapsed="false">
      <c r="A1034" s="80"/>
      <c r="B1034" s="84" t="s">
        <v>67</v>
      </c>
      <c r="C1034" s="84"/>
      <c r="D1034" s="84"/>
      <c r="E1034" s="84"/>
      <c r="F1034" s="87" t="s">
        <v>69</v>
      </c>
      <c r="G1034" s="88" t="s">
        <v>70</v>
      </c>
    </row>
    <row r="1035" customFormat="false" ht="12.8" hidden="false" customHeight="false" outlineLevel="0" collapsed="false">
      <c r="A1035" s="80"/>
      <c r="B1035" s="84" t="s">
        <v>67</v>
      </c>
      <c r="C1035" s="84"/>
      <c r="D1035" s="84"/>
      <c r="E1035" s="84"/>
      <c r="F1035" s="89" t="s">
        <v>71</v>
      </c>
      <c r="G1035" s="90" t="n">
        <v>3</v>
      </c>
    </row>
    <row r="1036" customFormat="false" ht="12.8" hidden="false" customHeight="false" outlineLevel="0" collapsed="false">
      <c r="A1036" s="80"/>
      <c r="B1036" s="91" t="s">
        <v>69</v>
      </c>
      <c r="C1036" s="91"/>
      <c r="D1036" s="91"/>
      <c r="E1036" s="91"/>
      <c r="F1036" s="92" t="s">
        <v>67</v>
      </c>
      <c r="G1036" s="93" t="s">
        <v>72</v>
      </c>
    </row>
    <row r="1037" customFormat="false" ht="12.8" hidden="false" customHeight="false" outlineLevel="0" collapsed="false">
      <c r="A1037" s="80"/>
      <c r="B1037" s="91" t="s">
        <v>69</v>
      </c>
      <c r="C1037" s="91"/>
      <c r="D1037" s="91"/>
      <c r="E1037" s="91"/>
      <c r="F1037" s="94" t="s">
        <v>69</v>
      </c>
      <c r="G1037" s="95" t="s">
        <v>68</v>
      </c>
    </row>
    <row r="1038" customFormat="false" ht="12.8" hidden="false" customHeight="false" outlineLevel="0" collapsed="false">
      <c r="A1038" s="80"/>
      <c r="B1038" s="91" t="s">
        <v>69</v>
      </c>
      <c r="C1038" s="91"/>
      <c r="D1038" s="91"/>
      <c r="E1038" s="91"/>
      <c r="F1038" s="96" t="s">
        <v>71</v>
      </c>
      <c r="G1038" s="97" t="s">
        <v>73</v>
      </c>
    </row>
    <row r="1039" customFormat="false" ht="12.8" hidden="false" customHeight="false" outlineLevel="0" collapsed="false">
      <c r="A1039" s="80"/>
      <c r="B1039" s="98" t="s">
        <v>74</v>
      </c>
      <c r="C1039" s="98"/>
      <c r="D1039" s="98"/>
      <c r="E1039" s="98"/>
      <c r="F1039" s="99" t="s">
        <v>67</v>
      </c>
      <c r="G1039" s="100" t="s">
        <v>75</v>
      </c>
    </row>
    <row r="1040" customFormat="false" ht="12.8" hidden="false" customHeight="false" outlineLevel="0" collapsed="false">
      <c r="A1040" s="80"/>
      <c r="B1040" s="98" t="s">
        <v>74</v>
      </c>
      <c r="C1040" s="98"/>
      <c r="D1040" s="98"/>
      <c r="E1040" s="98"/>
      <c r="F1040" s="101" t="s">
        <v>69</v>
      </c>
      <c r="G1040" s="102" t="s">
        <v>76</v>
      </c>
    </row>
    <row r="1041" customFormat="false" ht="12.8" hidden="false" customHeight="false" outlineLevel="0" collapsed="false">
      <c r="A1041" s="80"/>
      <c r="B1041" s="98" t="s">
        <v>74</v>
      </c>
      <c r="C1041" s="98"/>
      <c r="D1041" s="98"/>
      <c r="E1041" s="98"/>
      <c r="F1041" s="103" t="s">
        <v>71</v>
      </c>
      <c r="G1041" s="104" t="s">
        <v>77</v>
      </c>
    </row>
    <row r="1042" customFormat="false" ht="12.8" hidden="false" customHeight="false" outlineLevel="0" collapsed="false">
      <c r="A1042" s="80"/>
      <c r="B1042" s="80"/>
      <c r="C1042" s="80"/>
      <c r="D1042" s="80"/>
      <c r="E1042" s="80"/>
      <c r="F1042" s="82"/>
      <c r="G1042" s="82"/>
    </row>
    <row r="1043" customFormat="false" ht="12.8" hidden="false" customHeight="false" outlineLevel="0" collapsed="false">
      <c r="A1043" s="80"/>
      <c r="B1043" s="105"/>
      <c r="C1043" s="106"/>
      <c r="D1043" s="106"/>
      <c r="E1043" s="106"/>
      <c r="F1043" s="107"/>
      <c r="G1043" s="108"/>
      <c r="H1043" s="80"/>
      <c r="I1043" s="80"/>
      <c r="J1043" s="80"/>
      <c r="K1043" s="80"/>
    </row>
    <row r="1044" customFormat="false" ht="12.8" hidden="false" customHeight="false" outlineLevel="0" collapsed="false">
      <c r="A1044" s="80"/>
      <c r="B1044" s="109" t="s">
        <v>78</v>
      </c>
      <c r="C1044" s="110" t="s">
        <v>79</v>
      </c>
      <c r="D1044" s="111"/>
      <c r="E1044" s="111"/>
      <c r="F1044" s="80"/>
      <c r="G1044" s="112"/>
      <c r="H1044" s="80"/>
      <c r="I1044" s="80"/>
      <c r="J1044" s="80"/>
      <c r="K1044" s="80"/>
    </row>
    <row r="1045" customFormat="false" ht="12.8" hidden="false" customHeight="false" outlineLevel="0" collapsed="false">
      <c r="A1045" s="80"/>
      <c r="B1045" s="109" t="s">
        <v>80</v>
      </c>
      <c r="C1045" s="111"/>
      <c r="D1045" s="111"/>
      <c r="E1045" s="111"/>
      <c r="F1045" s="80"/>
      <c r="G1045" s="112"/>
      <c r="H1045" s="80"/>
      <c r="I1045" s="80"/>
      <c r="J1045" s="80"/>
      <c r="K1045" s="80"/>
    </row>
    <row r="1046" customFormat="false" ht="12.8" hidden="false" customHeight="false" outlineLevel="0" collapsed="false">
      <c r="A1046" s="80"/>
      <c r="B1046" s="113"/>
      <c r="C1046" s="114"/>
      <c r="D1046" s="114"/>
      <c r="E1046" s="114"/>
      <c r="F1046" s="115"/>
      <c r="G1046" s="116"/>
      <c r="H1046" s="80"/>
      <c r="I1046" s="80"/>
      <c r="J1046" s="80"/>
      <c r="K1046" s="80"/>
    </row>
  </sheetData>
  <mergeCells count="21">
    <mergeCell ref="D12:F12"/>
    <mergeCell ref="D15:G16"/>
    <mergeCell ref="A18:G18"/>
    <mergeCell ref="H18:J18"/>
    <mergeCell ref="K18:N18"/>
    <mergeCell ref="O18:V18"/>
    <mergeCell ref="W18:X18"/>
    <mergeCell ref="Y18:AB18"/>
    <mergeCell ref="A19:C19"/>
    <mergeCell ref="D1022:E1022"/>
    <mergeCell ref="D1023:E1023"/>
    <mergeCell ref="D1024:E1024"/>
    <mergeCell ref="D1025:E1025"/>
    <mergeCell ref="D1026:E1026"/>
    <mergeCell ref="D1027:E1027"/>
    <mergeCell ref="B1030:E1032"/>
    <mergeCell ref="F1030:F1032"/>
    <mergeCell ref="G1030:G1032"/>
    <mergeCell ref="B1033:E1035"/>
    <mergeCell ref="B1036:E1038"/>
    <mergeCell ref="B1039:E1041"/>
  </mergeCells>
  <conditionalFormatting sqref="F1041:G1041 C1041">
    <cfRule type="expression" priority="2" aboveAverage="0" equalAverage="0" bottom="0" percent="0" rank="0" text="" dxfId="0">
      <formula>IF(AND($F$12="L",$F$15="No"),TRUE())</formula>
    </cfRule>
  </conditionalFormatting>
  <conditionalFormatting sqref="F1033:G1033 C1033">
    <cfRule type="expression" priority="3" aboveAverage="0" equalAverage="0" bottom="0" percent="0" rank="0" text="" dxfId="0">
      <formula>IF(AND($F$12="H",$F$15="High"),TRUE())</formula>
    </cfRule>
  </conditionalFormatting>
  <conditionalFormatting sqref="F1034:G1034 C1034">
    <cfRule type="expression" priority="4" aboveAverage="0" equalAverage="0" bottom="0" percent="0" rank="0" text="" dxfId="0">
      <formula>IF(AND($F$12="H",$F$15="Moderate"),TRUE())</formula>
    </cfRule>
  </conditionalFormatting>
  <conditionalFormatting sqref="F1035:G1035 C1035">
    <cfRule type="expression" priority="5" aboveAverage="0" equalAverage="0" bottom="0" percent="0" rank="0" text="" dxfId="0">
      <formula>IF(AND($F$12="H",$F$15="No"),TRUE())</formula>
    </cfRule>
  </conditionalFormatting>
  <conditionalFormatting sqref="F1036:G1036 C1036">
    <cfRule type="expression" priority="6" aboveAverage="0" equalAverage="0" bottom="0" percent="0" rank="0" text="" dxfId="0">
      <formula>IF(AND($F$12="M",$F$15="High"),TRUE())</formula>
    </cfRule>
  </conditionalFormatting>
  <conditionalFormatting sqref="F1037:G1037 C1037">
    <cfRule type="expression" priority="7" aboveAverage="0" equalAverage="0" bottom="0" percent="0" rank="0" text="" dxfId="0">
      <formula>IF(AND($F$12="M",$F$15="Moderate"),TRUE())</formula>
    </cfRule>
  </conditionalFormatting>
  <conditionalFormatting sqref="F1038:G1038 C1038">
    <cfRule type="expression" priority="8" aboveAverage="0" equalAverage="0" bottom="0" percent="0" rank="0" text="" dxfId="0">
      <formula>IF(AND($F$12="M",$F$15="No"),TRUE())</formula>
    </cfRule>
  </conditionalFormatting>
  <conditionalFormatting sqref="F1039:G1039 C1039">
    <cfRule type="expression" priority="9" aboveAverage="0" equalAverage="0" bottom="0" percent="0" rank="0" text="" dxfId="0">
      <formula>IF(AND($F$12="L",$F$15="High"),TRUE())</formula>
    </cfRule>
  </conditionalFormatting>
  <conditionalFormatting sqref="F1040:G1040 C1040">
    <cfRule type="expression" priority="10" aboveAverage="0" equalAverage="0" bottom="0" percent="0" rank="0" text="" dxfId="0">
      <formula>IF(AND($F$12="L",$F$15="Moderate"),TRUE())</formula>
    </cfRule>
  </conditionalFormatting>
  <dataValidations count="4">
    <dataValidation allowBlank="true" errorStyle="stop" operator="equal" showDropDown="false" showErrorMessage="true" showInputMessage="false" sqref="D8" type="list">
      <formula1>"Interim,Current"</formula1>
      <formula2>0</formula2>
    </dataValidation>
    <dataValidation allowBlank="true" errorStyle="stop" operator="equal" showDropDown="false" showErrorMessage="true" showInputMessage="true" sqref="D12" type="list">
      <formula1>"Rencana pengujian dan hasilnya sudah memadai,Rencana pengujian dan hasilnya kurang memadai"</formula1>
      <formula2>0</formula2>
    </dataValidation>
    <dataValidation allowBlank="true" errorStyle="stop" operator="equal" showDropDown="false" showErrorMessage="true" showInputMessage="false" sqref="B16" type="list">
      <formula1>"Uncompleted,Completed"</formula1>
      <formula2>0</formula2>
    </dataValidation>
    <dataValidation allowBlank="true" errorStyle="stop" operator="equal" showDropDown="false" showErrorMessage="true" showInputMessage="false" sqref="K20:L1019" type="list">
      <formula1>"Ya,Tidak"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2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38"/>
    <pageSetUpPr fitToPage="true"/>
  </sheetPr>
  <dimension ref="A1:P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17" width="6.29"/>
    <col collapsed="false" customWidth="true" hidden="false" outlineLevel="0" max="2" min="2" style="117" width="30.44"/>
    <col collapsed="false" customWidth="true" hidden="false" outlineLevel="0" max="3" min="3" style="117" width="15.43"/>
    <col collapsed="false" customWidth="true" hidden="false" outlineLevel="0" max="5" min="4" style="117" width="13.6"/>
    <col collapsed="false" customWidth="true" hidden="false" outlineLevel="0" max="7" min="6" style="117" width="12.57"/>
    <col collapsed="false" customWidth="true" hidden="false" outlineLevel="0" max="8" min="8" style="117" width="6.14"/>
    <col collapsed="false" customWidth="false" hidden="false" outlineLevel="0" max="9" min="9" style="117" width="11.53"/>
    <col collapsed="false" customWidth="true" hidden="false" outlineLevel="0" max="11" min="10" style="117" width="7.76"/>
    <col collapsed="false" customWidth="true" hidden="false" outlineLevel="0" max="14" min="12" style="118" width="7.76"/>
    <col collapsed="false" customWidth="false" hidden="false" outlineLevel="0" max="1022" min="15" style="117" width="11.53"/>
  </cols>
  <sheetData>
    <row r="1" customFormat="false" ht="12.8" hidden="false" customHeight="false" outlineLevel="0" collapsed="false">
      <c r="A1" s="119" t="s">
        <v>81</v>
      </c>
      <c r="B1" s="119"/>
      <c r="C1" s="120" t="n">
        <v>0</v>
      </c>
      <c r="D1" s="121" t="s">
        <v>82</v>
      </c>
      <c r="E1" s="121"/>
      <c r="F1" s="121"/>
      <c r="G1" s="121"/>
      <c r="H1" s="121"/>
      <c r="I1" s="122" t="s">
        <v>83</v>
      </c>
      <c r="J1" s="122"/>
      <c r="K1" s="122"/>
      <c r="L1" s="123" t="s">
        <v>24</v>
      </c>
      <c r="M1" s="123"/>
      <c r="N1" s="123"/>
    </row>
    <row r="2" customFormat="false" ht="12.8" hidden="false" customHeight="false" outlineLevel="0" collapsed="false">
      <c r="A2" s="124" t="s">
        <v>84</v>
      </c>
      <c r="B2" s="124" t="s">
        <v>29</v>
      </c>
      <c r="C2" s="125" t="n">
        <v>0</v>
      </c>
      <c r="D2" s="126" t="s">
        <v>85</v>
      </c>
      <c r="E2" s="127" t="s">
        <v>86</v>
      </c>
      <c r="F2" s="127" t="s">
        <v>87</v>
      </c>
      <c r="G2" s="127" t="s">
        <v>88</v>
      </c>
      <c r="H2" s="128"/>
      <c r="I2" s="129" t="s">
        <v>89</v>
      </c>
      <c r="J2" s="124" t="s">
        <v>41</v>
      </c>
      <c r="K2" s="130" t="s">
        <v>90</v>
      </c>
      <c r="L2" s="126" t="s">
        <v>33</v>
      </c>
      <c r="M2" s="131" t="s">
        <v>91</v>
      </c>
      <c r="N2" s="131" t="s">
        <v>92</v>
      </c>
    </row>
    <row r="3" customFormat="false" ht="12.8" hidden="false" customHeight="false" outlineLevel="0" collapsed="false">
      <c r="A3" s="132" t="s">
        <v>84</v>
      </c>
      <c r="B3" s="133" t="s">
        <v>29</v>
      </c>
      <c r="C3" s="134" t="n">
        <v>45657</v>
      </c>
      <c r="D3" s="135" t="s">
        <v>85</v>
      </c>
      <c r="E3" s="136" t="s">
        <v>86</v>
      </c>
      <c r="F3" s="136" t="s">
        <v>87</v>
      </c>
      <c r="G3" s="136" t="s">
        <v>88</v>
      </c>
      <c r="H3" s="137" t="s">
        <v>86</v>
      </c>
      <c r="I3" s="135" t="s">
        <v>89</v>
      </c>
      <c r="J3" s="132" t="s">
        <v>41</v>
      </c>
      <c r="K3" s="137" t="s">
        <v>90</v>
      </c>
      <c r="L3" s="138" t="s">
        <v>33</v>
      </c>
      <c r="M3" s="139" t="s">
        <v>91</v>
      </c>
      <c r="N3" s="139" t="s">
        <v>92</v>
      </c>
    </row>
    <row r="4" customFormat="false" ht="12.8" hidden="false" customHeight="false" outlineLevel="0" collapsed="false">
      <c r="A4" s="132" t="n">
        <v>111</v>
      </c>
      <c r="B4" s="133" t="s">
        <v>93</v>
      </c>
      <c r="C4" s="134" t="n">
        <v>34320161933.92</v>
      </c>
      <c r="D4" s="135" t="n">
        <v>1505071990.0769</v>
      </c>
      <c r="E4" s="136" t="n">
        <v>1053550393.05383</v>
      </c>
      <c r="F4" s="136"/>
      <c r="G4" s="136"/>
      <c r="H4" s="137" t="s">
        <v>94</v>
      </c>
      <c r="I4" s="135" t="s">
        <v>95</v>
      </c>
      <c r="J4" s="132" t="s">
        <v>96</v>
      </c>
      <c r="K4" s="137" t="s">
        <v>56</v>
      </c>
      <c r="L4" s="138" t="s">
        <v>56</v>
      </c>
      <c r="M4" s="139" t="s">
        <v>54</v>
      </c>
      <c r="N4" s="139" t="s">
        <v>97</v>
      </c>
      <c r="P4" s="140"/>
    </row>
    <row r="5" customFormat="false" ht="12.8" hidden="false" customHeight="false" outlineLevel="0" collapsed="false">
      <c r="A5" s="132" t="n">
        <v>112</v>
      </c>
      <c r="B5" s="133" t="s">
        <v>98</v>
      </c>
      <c r="C5" s="134" t="n">
        <v>16281458401</v>
      </c>
      <c r="D5" s="135" t="n">
        <v>1505071990.0769</v>
      </c>
      <c r="E5" s="136" t="n">
        <v>1053550393.05383</v>
      </c>
      <c r="F5" s="136"/>
      <c r="G5" s="136"/>
      <c r="H5" s="137" t="s">
        <v>94</v>
      </c>
      <c r="I5" s="135" t="s">
        <v>95</v>
      </c>
      <c r="J5" s="132" t="s">
        <v>94</v>
      </c>
      <c r="K5" s="137" t="s">
        <v>56</v>
      </c>
      <c r="L5" s="138" t="s">
        <v>56</v>
      </c>
      <c r="M5" s="139" t="s">
        <v>54</v>
      </c>
      <c r="N5" s="139" t="s">
        <v>97</v>
      </c>
    </row>
    <row r="6" customFormat="false" ht="12.8" hidden="false" customHeight="false" outlineLevel="0" collapsed="false">
      <c r="A6" s="132" t="n">
        <v>116</v>
      </c>
      <c r="B6" s="133" t="s">
        <v>99</v>
      </c>
      <c r="C6" s="134" t="n">
        <v>14229502774.06</v>
      </c>
      <c r="D6" s="135" t="n">
        <v>1505071990.0769</v>
      </c>
      <c r="E6" s="136" t="n">
        <v>1053550393.05383</v>
      </c>
      <c r="F6" s="136"/>
      <c r="G6" s="136"/>
      <c r="H6" s="137" t="s">
        <v>94</v>
      </c>
      <c r="I6" s="135" t="s">
        <v>95</v>
      </c>
      <c r="J6" s="132" t="s">
        <v>96</v>
      </c>
      <c r="K6" s="137" t="s">
        <v>56</v>
      </c>
      <c r="L6" s="138" t="s">
        <v>56</v>
      </c>
      <c r="M6" s="139" t="s">
        <v>54</v>
      </c>
      <c r="N6" s="139" t="s">
        <v>97</v>
      </c>
    </row>
    <row r="7" customFormat="false" ht="12.8" hidden="false" customHeight="false" outlineLevel="0" collapsed="false">
      <c r="A7" s="132" t="n">
        <v>117</v>
      </c>
      <c r="B7" s="133" t="s">
        <v>100</v>
      </c>
      <c r="C7" s="134" t="n">
        <v>2133021044</v>
      </c>
      <c r="D7" s="135" t="n">
        <v>1505071990.0769</v>
      </c>
      <c r="E7" s="136" t="n">
        <v>1053550393.05383</v>
      </c>
      <c r="F7" s="136"/>
      <c r="G7" s="136"/>
      <c r="H7" s="137" t="s">
        <v>94</v>
      </c>
      <c r="I7" s="135" t="s">
        <v>95</v>
      </c>
      <c r="J7" s="132" t="s">
        <v>94</v>
      </c>
      <c r="K7" s="137" t="s">
        <v>56</v>
      </c>
      <c r="L7" s="138" t="s">
        <v>54</v>
      </c>
      <c r="M7" s="139" t="s">
        <v>54</v>
      </c>
      <c r="N7" s="139" t="s">
        <v>97</v>
      </c>
    </row>
    <row r="8" customFormat="false" ht="12.8" hidden="false" customHeight="false" outlineLevel="0" collapsed="false">
      <c r="A8" s="132" t="n">
        <v>118</v>
      </c>
      <c r="B8" s="133" t="s">
        <v>101</v>
      </c>
      <c r="C8" s="134" t="n">
        <v>499052369</v>
      </c>
      <c r="D8" s="135" t="n">
        <v>1505071990.0769</v>
      </c>
      <c r="E8" s="136" t="n">
        <v>1053550393.05383</v>
      </c>
      <c r="F8" s="136" t="n">
        <v>421420157.221532</v>
      </c>
      <c r="G8" s="136" t="n">
        <v>294994110.055072</v>
      </c>
      <c r="H8" s="137" t="s">
        <v>94</v>
      </c>
      <c r="I8" s="135" t="s">
        <v>95</v>
      </c>
      <c r="J8" s="132" t="s">
        <v>96</v>
      </c>
      <c r="K8" s="137" t="s">
        <v>56</v>
      </c>
      <c r="L8" s="138" t="s">
        <v>56</v>
      </c>
      <c r="M8" s="139" t="s">
        <v>54</v>
      </c>
      <c r="N8" s="139" t="s">
        <v>97</v>
      </c>
    </row>
    <row r="9" customFormat="false" ht="12.8" hidden="false" customHeight="false" outlineLevel="0" collapsed="false">
      <c r="A9" s="132" t="n">
        <v>119</v>
      </c>
      <c r="B9" s="133" t="s">
        <v>102</v>
      </c>
      <c r="C9" s="134" t="n">
        <v>35200000</v>
      </c>
      <c r="D9" s="135" t="n">
        <v>1505071990.0769</v>
      </c>
      <c r="E9" s="136" t="n">
        <v>1053550393.05383</v>
      </c>
      <c r="F9" s="136"/>
      <c r="G9" s="136"/>
      <c r="H9" s="137" t="s">
        <v>103</v>
      </c>
      <c r="I9" s="135" t="s">
        <v>95</v>
      </c>
      <c r="J9" s="132" t="s">
        <v>96</v>
      </c>
      <c r="K9" s="137" t="s">
        <v>56</v>
      </c>
      <c r="L9" s="138" t="s">
        <v>56</v>
      </c>
      <c r="M9" s="139" t="s">
        <v>56</v>
      </c>
      <c r="N9" s="139" t="s">
        <v>56</v>
      </c>
    </row>
    <row r="10" customFormat="false" ht="12.8" hidden="false" customHeight="false" outlineLevel="0" collapsed="false">
      <c r="A10" s="132" t="n">
        <v>125</v>
      </c>
      <c r="B10" s="133" t="s">
        <v>104</v>
      </c>
      <c r="C10" s="134" t="n">
        <v>7776927237</v>
      </c>
      <c r="D10" s="135" t="n">
        <v>1505071990.0769</v>
      </c>
      <c r="E10" s="136" t="n">
        <v>1053550393.05383</v>
      </c>
      <c r="F10" s="136"/>
      <c r="G10" s="136"/>
      <c r="H10" s="137" t="s">
        <v>94</v>
      </c>
      <c r="I10" s="135" t="s">
        <v>95</v>
      </c>
      <c r="J10" s="132" t="s">
        <v>96</v>
      </c>
      <c r="K10" s="137" t="s">
        <v>56</v>
      </c>
      <c r="L10" s="138" t="s">
        <v>54</v>
      </c>
      <c r="M10" s="139" t="s">
        <v>54</v>
      </c>
      <c r="N10" s="139" t="s">
        <v>97</v>
      </c>
    </row>
    <row r="11" customFormat="false" ht="12.8" hidden="false" customHeight="false" outlineLevel="0" collapsed="false">
      <c r="A11" s="132" t="n">
        <v>127</v>
      </c>
      <c r="B11" s="133" t="s">
        <v>105</v>
      </c>
      <c r="C11" s="134" t="n">
        <v>0</v>
      </c>
      <c r="D11" s="135" t="n">
        <v>1505071990.0769</v>
      </c>
      <c r="E11" s="136" t="n">
        <v>1053550393.05383</v>
      </c>
      <c r="F11" s="136"/>
      <c r="G11" s="136"/>
      <c r="H11" s="137" t="s">
        <v>103</v>
      </c>
      <c r="I11" s="135" t="s">
        <v>95</v>
      </c>
      <c r="J11" s="132" t="s">
        <v>96</v>
      </c>
      <c r="K11" s="137" t="s">
        <v>56</v>
      </c>
      <c r="L11" s="138" t="s">
        <v>56</v>
      </c>
      <c r="M11" s="139" t="s">
        <v>56</v>
      </c>
      <c r="N11" s="139" t="s">
        <v>56</v>
      </c>
    </row>
    <row r="12" customFormat="false" ht="12.8" hidden="false" customHeight="false" outlineLevel="0" collapsed="false">
      <c r="A12" s="132" t="n">
        <v>211</v>
      </c>
      <c r="B12" s="133" t="s">
        <v>106</v>
      </c>
      <c r="C12" s="134" t="n">
        <v>12695741652.31</v>
      </c>
      <c r="D12" s="135" t="n">
        <v>1505071990.0769</v>
      </c>
      <c r="E12" s="136" t="n">
        <v>1053550393.05383</v>
      </c>
      <c r="F12" s="136"/>
      <c r="G12" s="136"/>
      <c r="H12" s="137" t="s">
        <v>94</v>
      </c>
      <c r="I12" s="135" t="s">
        <v>107</v>
      </c>
      <c r="J12" s="132" t="s">
        <v>96</v>
      </c>
      <c r="K12" s="137" t="s">
        <v>56</v>
      </c>
      <c r="L12" s="138" t="s">
        <v>56</v>
      </c>
      <c r="M12" s="139" t="s">
        <v>54</v>
      </c>
      <c r="N12" s="139" t="s">
        <v>97</v>
      </c>
    </row>
    <row r="13" customFormat="false" ht="12.8" hidden="false" customHeight="false" outlineLevel="0" collapsed="false">
      <c r="A13" s="132" t="n">
        <v>212</v>
      </c>
      <c r="B13" s="133" t="s">
        <v>108</v>
      </c>
      <c r="C13" s="134" t="n">
        <v>15873194</v>
      </c>
      <c r="D13" s="135" t="n">
        <v>1505071990.0769</v>
      </c>
      <c r="E13" s="136" t="n">
        <v>1053550393.05383</v>
      </c>
      <c r="F13" s="136"/>
      <c r="G13" s="136"/>
      <c r="H13" s="137" t="s">
        <v>103</v>
      </c>
      <c r="I13" s="135" t="s">
        <v>107</v>
      </c>
      <c r="J13" s="132" t="s">
        <v>96</v>
      </c>
      <c r="K13" s="137" t="s">
        <v>56</v>
      </c>
      <c r="L13" s="138" t="s">
        <v>56</v>
      </c>
      <c r="M13" s="139" t="s">
        <v>56</v>
      </c>
      <c r="N13" s="139" t="s">
        <v>56</v>
      </c>
    </row>
    <row r="14" customFormat="false" ht="12.8" hidden="false" customHeight="false" outlineLevel="0" collapsed="false">
      <c r="A14" s="132" t="n">
        <v>216</v>
      </c>
      <c r="B14" s="133" t="s">
        <v>109</v>
      </c>
      <c r="C14" s="134" t="n">
        <v>1247188889</v>
      </c>
      <c r="D14" s="135" t="n">
        <v>1505071990.0769</v>
      </c>
      <c r="E14" s="136" t="n">
        <v>1053550393.05383</v>
      </c>
      <c r="F14" s="136"/>
      <c r="G14" s="136"/>
      <c r="H14" s="137" t="s">
        <v>94</v>
      </c>
      <c r="I14" s="135" t="s">
        <v>107</v>
      </c>
      <c r="J14" s="132" t="s">
        <v>96</v>
      </c>
      <c r="K14" s="137" t="s">
        <v>56</v>
      </c>
      <c r="L14" s="138" t="s">
        <v>56</v>
      </c>
      <c r="M14" s="139" t="s">
        <v>54</v>
      </c>
      <c r="N14" s="139" t="s">
        <v>97</v>
      </c>
    </row>
    <row r="15" customFormat="false" ht="12.8" hidden="false" customHeight="false" outlineLevel="0" collapsed="false">
      <c r="A15" s="132" t="n">
        <v>217</v>
      </c>
      <c r="B15" s="133" t="s">
        <v>110</v>
      </c>
      <c r="C15" s="134" t="n">
        <v>501182221</v>
      </c>
      <c r="D15" s="135" t="n">
        <v>1505071990.0769</v>
      </c>
      <c r="E15" s="136" t="n">
        <v>1053550393.05383</v>
      </c>
      <c r="F15" s="136" t="n">
        <v>421420157.221532</v>
      </c>
      <c r="G15" s="136" t="n">
        <v>294994110.055072</v>
      </c>
      <c r="H15" s="137" t="s">
        <v>94</v>
      </c>
      <c r="I15" s="135" t="s">
        <v>107</v>
      </c>
      <c r="J15" s="132" t="s">
        <v>96</v>
      </c>
      <c r="K15" s="137" t="s">
        <v>56</v>
      </c>
      <c r="L15" s="138" t="s">
        <v>56</v>
      </c>
      <c r="M15" s="139" t="s">
        <v>54</v>
      </c>
      <c r="N15" s="139" t="s">
        <v>97</v>
      </c>
    </row>
    <row r="16" customFormat="false" ht="12.8" hidden="false" customHeight="false" outlineLevel="0" collapsed="false">
      <c r="A16" s="132" t="n">
        <v>229</v>
      </c>
      <c r="B16" s="133" t="s">
        <v>111</v>
      </c>
      <c r="C16" s="134" t="n">
        <v>2775984576</v>
      </c>
      <c r="D16" s="135" t="n">
        <v>1505071990.0769</v>
      </c>
      <c r="E16" s="136" t="n">
        <v>1053550393.05383</v>
      </c>
      <c r="F16" s="136"/>
      <c r="G16" s="136"/>
      <c r="H16" s="137" t="s">
        <v>94</v>
      </c>
      <c r="I16" s="135" t="s">
        <v>107</v>
      </c>
      <c r="J16" s="132" t="s">
        <v>96</v>
      </c>
      <c r="K16" s="137" t="s">
        <v>56</v>
      </c>
      <c r="L16" s="138" t="s">
        <v>56</v>
      </c>
      <c r="M16" s="139" t="s">
        <v>54</v>
      </c>
      <c r="N16" s="139" t="s">
        <v>97</v>
      </c>
    </row>
    <row r="17" customFormat="false" ht="12.8" hidden="false" customHeight="false" outlineLevel="0" collapsed="false">
      <c r="A17" s="132" t="n">
        <v>311</v>
      </c>
      <c r="B17" s="133" t="s">
        <v>112</v>
      </c>
      <c r="C17" s="134" t="n">
        <v>10500000000</v>
      </c>
      <c r="D17" s="135" t="n">
        <v>1505071990.0769</v>
      </c>
      <c r="E17" s="136" t="n">
        <v>1053550393.05383</v>
      </c>
      <c r="F17" s="136"/>
      <c r="G17" s="136"/>
      <c r="H17" s="137" t="s">
        <v>94</v>
      </c>
      <c r="I17" s="135" t="s">
        <v>95</v>
      </c>
      <c r="J17" s="132" t="s">
        <v>96</v>
      </c>
      <c r="K17" s="137" t="s">
        <v>56</v>
      </c>
      <c r="L17" s="138" t="s">
        <v>56</v>
      </c>
      <c r="M17" s="139" t="s">
        <v>54</v>
      </c>
      <c r="N17" s="139" t="s">
        <v>97</v>
      </c>
    </row>
    <row r="18" customFormat="false" ht="12.8" hidden="false" customHeight="false" outlineLevel="0" collapsed="false">
      <c r="A18" s="132" t="n">
        <v>332</v>
      </c>
      <c r="B18" s="133" t="s">
        <v>113</v>
      </c>
      <c r="C18" s="134" t="n">
        <v>31480858157</v>
      </c>
      <c r="D18" s="135" t="n">
        <v>1505071990.0769</v>
      </c>
      <c r="E18" s="136" t="n">
        <v>1053550393.05383</v>
      </c>
      <c r="F18" s="136"/>
      <c r="G18" s="136"/>
      <c r="H18" s="137" t="s">
        <v>94</v>
      </c>
      <c r="I18" s="135" t="s">
        <v>95</v>
      </c>
      <c r="J18" s="132" t="s">
        <v>96</v>
      </c>
      <c r="K18" s="137" t="s">
        <v>56</v>
      </c>
      <c r="L18" s="138" t="s">
        <v>56</v>
      </c>
      <c r="M18" s="139" t="s">
        <v>54</v>
      </c>
      <c r="N18" s="139" t="s">
        <v>97</v>
      </c>
    </row>
    <row r="19" customFormat="false" ht="12.8" hidden="false" customHeight="false" outlineLevel="0" collapsed="false">
      <c r="A19" s="132" t="n">
        <v>411</v>
      </c>
      <c r="B19" s="133" t="s">
        <v>114</v>
      </c>
      <c r="C19" s="134" t="n">
        <v>83417567223.6</v>
      </c>
      <c r="D19" s="135" t="n">
        <v>1505071990.0769</v>
      </c>
      <c r="E19" s="136" t="n">
        <v>1053550393.05383</v>
      </c>
      <c r="F19" s="136"/>
      <c r="G19" s="136"/>
      <c r="H19" s="137" t="s">
        <v>94</v>
      </c>
      <c r="I19" s="135" t="s">
        <v>115</v>
      </c>
      <c r="J19" s="132" t="s">
        <v>116</v>
      </c>
      <c r="K19" s="137" t="s">
        <v>56</v>
      </c>
      <c r="L19" s="138" t="s">
        <v>56</v>
      </c>
      <c r="M19" s="139" t="s">
        <v>54</v>
      </c>
      <c r="N19" s="139" t="s">
        <v>97</v>
      </c>
    </row>
    <row r="20" customFormat="false" ht="12.8" hidden="false" customHeight="false" outlineLevel="0" collapsed="false">
      <c r="A20" s="132" t="n">
        <v>421</v>
      </c>
      <c r="B20" s="133" t="s">
        <v>117</v>
      </c>
      <c r="C20" s="134" t="n">
        <v>549481484.31</v>
      </c>
      <c r="D20" s="135" t="n">
        <v>1505071990.0769</v>
      </c>
      <c r="E20" s="136" t="n">
        <v>1053550393.05383</v>
      </c>
      <c r="F20" s="136" t="n">
        <v>421420157.221532</v>
      </c>
      <c r="G20" s="136" t="n">
        <v>294994110.055072</v>
      </c>
      <c r="H20" s="137" t="s">
        <v>94</v>
      </c>
      <c r="I20" s="135" t="s">
        <v>115</v>
      </c>
      <c r="J20" s="132" t="s">
        <v>96</v>
      </c>
      <c r="K20" s="137" t="s">
        <v>56</v>
      </c>
      <c r="L20" s="138" t="s">
        <v>56</v>
      </c>
      <c r="M20" s="139" t="s">
        <v>54</v>
      </c>
      <c r="N20" s="139" t="s">
        <v>97</v>
      </c>
    </row>
    <row r="21" customFormat="false" ht="12.8" hidden="false" customHeight="false" outlineLevel="0" collapsed="false">
      <c r="A21" s="132" t="n">
        <v>422</v>
      </c>
      <c r="B21" s="133" t="s">
        <v>118</v>
      </c>
      <c r="C21" s="134" t="n">
        <v>-171233312.75</v>
      </c>
      <c r="D21" s="135" t="n">
        <v>1505071990.0769</v>
      </c>
      <c r="E21" s="136" t="n">
        <v>1053550393.05383</v>
      </c>
      <c r="F21" s="136"/>
      <c r="G21" s="136"/>
      <c r="H21" s="137" t="s">
        <v>94</v>
      </c>
      <c r="I21" s="135" t="s">
        <v>119</v>
      </c>
      <c r="J21" s="132" t="s">
        <v>96</v>
      </c>
      <c r="K21" s="137" t="s">
        <v>56</v>
      </c>
      <c r="L21" s="138" t="s">
        <v>56</v>
      </c>
      <c r="M21" s="139" t="s">
        <v>54</v>
      </c>
      <c r="N21" s="139" t="s">
        <v>97</v>
      </c>
    </row>
    <row r="22" customFormat="false" ht="12.8" hidden="false" customHeight="false" outlineLevel="0" collapsed="false">
      <c r="A22" s="132" t="n">
        <v>511</v>
      </c>
      <c r="B22" s="133" t="s">
        <v>120</v>
      </c>
      <c r="C22" s="134" t="n">
        <v>51089641292.24</v>
      </c>
      <c r="D22" s="135" t="n">
        <v>1505071990.0769</v>
      </c>
      <c r="E22" s="136" t="n">
        <v>1053550393.05383</v>
      </c>
      <c r="F22" s="136"/>
      <c r="G22" s="136"/>
      <c r="H22" s="137" t="s">
        <v>94</v>
      </c>
      <c r="I22" s="135" t="s">
        <v>119</v>
      </c>
      <c r="J22" s="132" t="s">
        <v>96</v>
      </c>
      <c r="K22" s="137" t="s">
        <v>56</v>
      </c>
      <c r="L22" s="138" t="s">
        <v>56</v>
      </c>
      <c r="M22" s="139" t="s">
        <v>54</v>
      </c>
      <c r="N22" s="139" t="s">
        <v>97</v>
      </c>
    </row>
    <row r="23" customFormat="false" ht="12.8" hidden="false" customHeight="false" outlineLevel="0" collapsed="false">
      <c r="A23" s="132" t="n">
        <v>521</v>
      </c>
      <c r="B23" s="133" t="s">
        <v>121</v>
      </c>
      <c r="C23" s="134" t="n">
        <v>3418854851</v>
      </c>
      <c r="D23" s="135" t="n">
        <v>1505071990.0769</v>
      </c>
      <c r="E23" s="136" t="n">
        <v>1053550393.05383</v>
      </c>
      <c r="F23" s="136"/>
      <c r="G23" s="136"/>
      <c r="H23" s="137" t="s">
        <v>94</v>
      </c>
      <c r="I23" s="135" t="s">
        <v>119</v>
      </c>
      <c r="J23" s="132" t="s">
        <v>96</v>
      </c>
      <c r="K23" s="137" t="s">
        <v>56</v>
      </c>
      <c r="L23" s="138" t="s">
        <v>56</v>
      </c>
      <c r="M23" s="139" t="s">
        <v>54</v>
      </c>
      <c r="N23" s="139" t="s">
        <v>97</v>
      </c>
    </row>
    <row r="24" customFormat="false" ht="12.8" hidden="false" customHeight="false" outlineLevel="0" collapsed="false">
      <c r="A24" s="132" t="n">
        <v>522</v>
      </c>
      <c r="B24" s="133" t="s">
        <v>122</v>
      </c>
      <c r="C24" s="134" t="n">
        <v>3875587433.39</v>
      </c>
      <c r="D24" s="135" t="n">
        <v>1505071990.0769</v>
      </c>
      <c r="E24" s="136" t="n">
        <v>1053550393.05383</v>
      </c>
      <c r="F24" s="136"/>
      <c r="G24" s="136"/>
      <c r="H24" s="137" t="s">
        <v>103</v>
      </c>
      <c r="I24" s="135" t="s">
        <v>119</v>
      </c>
      <c r="J24" s="132" t="s">
        <v>96</v>
      </c>
      <c r="K24" s="137" t="s">
        <v>56</v>
      </c>
      <c r="L24" s="138" t="s">
        <v>56</v>
      </c>
      <c r="M24" s="139" t="s">
        <v>56</v>
      </c>
      <c r="N24" s="139" t="s">
        <v>56</v>
      </c>
    </row>
    <row r="25" customFormat="false" ht="12.8" hidden="false" customHeight="false" outlineLevel="0" collapsed="false">
      <c r="A25" s="132" t="n">
        <v>523</v>
      </c>
      <c r="B25" s="133" t="s">
        <v>123</v>
      </c>
      <c r="C25" s="134" t="n">
        <v>495378476</v>
      </c>
      <c r="D25" s="135" t="n">
        <v>1505071990.0769</v>
      </c>
      <c r="E25" s="136" t="n">
        <v>1053550393.05383</v>
      </c>
      <c r="F25" s="136"/>
      <c r="G25" s="136"/>
      <c r="H25" s="137" t="s">
        <v>94</v>
      </c>
      <c r="I25" s="135" t="s">
        <v>119</v>
      </c>
      <c r="J25" s="132" t="s">
        <v>96</v>
      </c>
      <c r="K25" s="137" t="s">
        <v>56</v>
      </c>
      <c r="L25" s="138" t="s">
        <v>56</v>
      </c>
      <c r="M25" s="139" t="s">
        <v>54</v>
      </c>
      <c r="N25" s="139" t="s">
        <v>97</v>
      </c>
    </row>
    <row r="26" customFormat="false" ht="12.8" hidden="false" customHeight="false" outlineLevel="0" collapsed="false">
      <c r="A26" s="132" t="n">
        <v>532</v>
      </c>
      <c r="B26" s="133" t="s">
        <v>124</v>
      </c>
      <c r="C26" s="134" t="n">
        <v>3415324912.86</v>
      </c>
      <c r="D26" s="135" t="n">
        <v>1505071990.0769</v>
      </c>
      <c r="E26" s="136" t="n">
        <v>1053550393.05383</v>
      </c>
      <c r="F26" s="136"/>
      <c r="G26" s="136"/>
      <c r="H26" s="137" t="s">
        <v>94</v>
      </c>
      <c r="I26" s="135" t="s">
        <v>119</v>
      </c>
      <c r="J26" s="132" t="s">
        <v>96</v>
      </c>
      <c r="K26" s="137" t="s">
        <v>56</v>
      </c>
      <c r="L26" s="138" t="s">
        <v>56</v>
      </c>
      <c r="M26" s="139" t="s">
        <v>54</v>
      </c>
      <c r="N26" s="139" t="s">
        <v>97</v>
      </c>
    </row>
    <row r="27" customFormat="false" ht="12.8" hidden="false" customHeight="false" outlineLevel="0" collapsed="false">
      <c r="A27" s="132" t="n">
        <v>541</v>
      </c>
      <c r="B27" s="133" t="s">
        <v>125</v>
      </c>
      <c r="C27" s="134" t="n">
        <v>5442533360</v>
      </c>
      <c r="D27" s="135" t="n">
        <v>1505071990.0769</v>
      </c>
      <c r="E27" s="136" t="n">
        <v>1053550393.05383</v>
      </c>
      <c r="F27" s="136"/>
      <c r="G27" s="136"/>
      <c r="H27" s="137" t="s">
        <v>94</v>
      </c>
      <c r="I27" s="135" t="s">
        <v>119</v>
      </c>
      <c r="J27" s="132" t="s">
        <v>96</v>
      </c>
      <c r="K27" s="137" t="s">
        <v>56</v>
      </c>
      <c r="L27" s="138" t="s">
        <v>56</v>
      </c>
      <c r="M27" s="139" t="s">
        <v>54</v>
      </c>
      <c r="N27" s="139" t="s">
        <v>97</v>
      </c>
    </row>
    <row r="28" customFormat="false" ht="12.8" hidden="false" customHeight="false" outlineLevel="0" collapsed="false">
      <c r="A28" s="132"/>
      <c r="B28" s="133"/>
      <c r="C28" s="134"/>
      <c r="D28" s="135"/>
      <c r="E28" s="136"/>
      <c r="F28" s="136"/>
      <c r="G28" s="136"/>
      <c r="H28" s="137"/>
      <c r="I28" s="135"/>
      <c r="J28" s="132"/>
      <c r="K28" s="137"/>
      <c r="L28" s="138"/>
      <c r="M28" s="139"/>
      <c r="N28" s="139"/>
    </row>
    <row r="29" customFormat="false" ht="12.8" hidden="false" customHeight="false" outlineLevel="0" collapsed="false">
      <c r="A29" s="132"/>
      <c r="B29" s="133"/>
      <c r="C29" s="134"/>
      <c r="D29" s="135"/>
      <c r="E29" s="136"/>
      <c r="F29" s="136"/>
      <c r="G29" s="136"/>
      <c r="H29" s="137"/>
      <c r="I29" s="135"/>
      <c r="J29" s="132"/>
      <c r="K29" s="137"/>
      <c r="L29" s="138"/>
      <c r="M29" s="139"/>
      <c r="N29" s="139"/>
    </row>
    <row r="30" customFormat="false" ht="12.8" hidden="false" customHeight="false" outlineLevel="0" collapsed="false">
      <c r="A30" s="132"/>
      <c r="B30" s="133"/>
      <c r="C30" s="134"/>
      <c r="D30" s="135"/>
      <c r="E30" s="136"/>
      <c r="F30" s="136"/>
      <c r="G30" s="136"/>
      <c r="H30" s="137"/>
      <c r="I30" s="135"/>
      <c r="J30" s="132"/>
      <c r="K30" s="137"/>
      <c r="L30" s="138"/>
      <c r="M30" s="139"/>
      <c r="N30" s="139"/>
    </row>
    <row r="31" customFormat="false" ht="12.8" hidden="false" customHeight="false" outlineLevel="0" collapsed="false">
      <c r="A31" s="132"/>
      <c r="B31" s="133"/>
      <c r="C31" s="134"/>
      <c r="D31" s="135"/>
      <c r="E31" s="136"/>
      <c r="F31" s="136"/>
      <c r="G31" s="136"/>
      <c r="H31" s="137"/>
      <c r="I31" s="135"/>
      <c r="J31" s="132"/>
      <c r="K31" s="137"/>
      <c r="L31" s="138"/>
      <c r="M31" s="139"/>
      <c r="N31" s="139"/>
    </row>
    <row r="32" customFormat="false" ht="12.8" hidden="false" customHeight="false" outlineLevel="0" collapsed="false">
      <c r="A32" s="132"/>
      <c r="B32" s="133"/>
      <c r="C32" s="134"/>
      <c r="D32" s="135"/>
      <c r="E32" s="136"/>
      <c r="F32" s="136"/>
      <c r="G32" s="136"/>
      <c r="H32" s="137"/>
      <c r="I32" s="135"/>
      <c r="J32" s="132"/>
      <c r="K32" s="137"/>
      <c r="L32" s="138"/>
      <c r="M32" s="139"/>
      <c r="N32" s="139"/>
    </row>
    <row r="33" customFormat="false" ht="12.8" hidden="false" customHeight="false" outlineLevel="0" collapsed="false">
      <c r="A33" s="132"/>
      <c r="B33" s="133"/>
      <c r="C33" s="134"/>
      <c r="D33" s="135"/>
      <c r="E33" s="136"/>
      <c r="F33" s="136"/>
      <c r="G33" s="136"/>
      <c r="H33" s="137"/>
      <c r="I33" s="135"/>
      <c r="J33" s="132"/>
      <c r="K33" s="137"/>
      <c r="L33" s="138"/>
      <c r="M33" s="139"/>
      <c r="N33" s="139"/>
    </row>
    <row r="34" customFormat="false" ht="12.8" hidden="false" customHeight="false" outlineLevel="0" collapsed="false">
      <c r="A34" s="132"/>
      <c r="B34" s="133"/>
      <c r="C34" s="134"/>
      <c r="D34" s="135"/>
      <c r="E34" s="136"/>
      <c r="F34" s="136"/>
      <c r="G34" s="136"/>
      <c r="H34" s="137"/>
      <c r="I34" s="135"/>
      <c r="J34" s="132"/>
      <c r="K34" s="137"/>
      <c r="L34" s="138"/>
      <c r="M34" s="139"/>
      <c r="N34" s="139"/>
    </row>
    <row r="35" customFormat="false" ht="12.8" hidden="false" customHeight="false" outlineLevel="0" collapsed="false">
      <c r="A35" s="132"/>
      <c r="B35" s="133"/>
      <c r="C35" s="134"/>
      <c r="D35" s="135"/>
      <c r="E35" s="136"/>
      <c r="F35" s="136"/>
      <c r="G35" s="136"/>
      <c r="H35" s="137"/>
      <c r="I35" s="135"/>
      <c r="J35" s="132"/>
      <c r="K35" s="137"/>
      <c r="L35" s="138"/>
      <c r="M35" s="139"/>
      <c r="N35" s="139"/>
    </row>
    <row r="36" customFormat="false" ht="12.8" hidden="false" customHeight="false" outlineLevel="0" collapsed="false">
      <c r="A36" s="132"/>
      <c r="B36" s="133"/>
      <c r="C36" s="134"/>
      <c r="D36" s="135"/>
      <c r="E36" s="136"/>
      <c r="F36" s="136"/>
      <c r="G36" s="136"/>
      <c r="H36" s="137"/>
      <c r="I36" s="135"/>
      <c r="J36" s="132"/>
      <c r="K36" s="137"/>
      <c r="L36" s="138"/>
      <c r="M36" s="139"/>
      <c r="N36" s="139"/>
    </row>
    <row r="37" customFormat="false" ht="12.8" hidden="false" customHeight="false" outlineLevel="0" collapsed="false">
      <c r="A37" s="132"/>
      <c r="B37" s="133"/>
      <c r="C37" s="134"/>
      <c r="D37" s="135"/>
      <c r="E37" s="136"/>
      <c r="F37" s="136"/>
      <c r="G37" s="136"/>
      <c r="H37" s="137"/>
      <c r="I37" s="135"/>
      <c r="J37" s="132"/>
      <c r="K37" s="137"/>
      <c r="L37" s="138"/>
      <c r="M37" s="139"/>
      <c r="N37" s="139"/>
    </row>
    <row r="38" customFormat="false" ht="12.8" hidden="false" customHeight="false" outlineLevel="0" collapsed="false">
      <c r="A38" s="132"/>
      <c r="B38" s="133"/>
      <c r="C38" s="134"/>
      <c r="D38" s="135"/>
      <c r="E38" s="136"/>
      <c r="F38" s="136"/>
      <c r="G38" s="136"/>
      <c r="H38" s="137"/>
      <c r="I38" s="135"/>
      <c r="J38" s="132"/>
      <c r="K38" s="137"/>
      <c r="L38" s="138"/>
      <c r="M38" s="139"/>
      <c r="N38" s="139"/>
    </row>
    <row r="39" customFormat="false" ht="12.8" hidden="false" customHeight="false" outlineLevel="0" collapsed="false">
      <c r="A39" s="132"/>
      <c r="B39" s="133"/>
      <c r="C39" s="134"/>
      <c r="D39" s="135"/>
      <c r="E39" s="136"/>
      <c r="F39" s="136"/>
      <c r="G39" s="136"/>
      <c r="H39" s="137"/>
      <c r="I39" s="135"/>
      <c r="J39" s="132"/>
      <c r="K39" s="137"/>
      <c r="L39" s="138"/>
      <c r="M39" s="139"/>
      <c r="N39" s="139"/>
    </row>
    <row r="40" customFormat="false" ht="12.8" hidden="false" customHeight="false" outlineLevel="0" collapsed="false">
      <c r="A40" s="132"/>
      <c r="B40" s="133"/>
      <c r="C40" s="134"/>
      <c r="D40" s="135"/>
      <c r="E40" s="136"/>
      <c r="F40" s="136"/>
      <c r="G40" s="136"/>
      <c r="H40" s="137"/>
      <c r="I40" s="135"/>
      <c r="J40" s="132"/>
      <c r="K40" s="137"/>
      <c r="L40" s="138"/>
      <c r="M40" s="139"/>
      <c r="N40" s="139"/>
    </row>
    <row r="41" customFormat="false" ht="12.8" hidden="false" customHeight="false" outlineLevel="0" collapsed="false">
      <c r="A41" s="132"/>
      <c r="B41" s="133"/>
      <c r="C41" s="134"/>
      <c r="D41" s="135"/>
      <c r="E41" s="136"/>
      <c r="F41" s="136"/>
      <c r="G41" s="136"/>
      <c r="H41" s="137"/>
      <c r="I41" s="135"/>
      <c r="J41" s="132"/>
      <c r="K41" s="137"/>
      <c r="L41" s="138"/>
      <c r="M41" s="139"/>
      <c r="N41" s="139"/>
    </row>
    <row r="42" customFormat="false" ht="12.8" hidden="false" customHeight="false" outlineLevel="0" collapsed="false">
      <c r="A42" s="132"/>
      <c r="B42" s="133"/>
      <c r="C42" s="134"/>
      <c r="D42" s="135"/>
      <c r="E42" s="136"/>
      <c r="F42" s="136"/>
      <c r="G42" s="136"/>
      <c r="H42" s="137"/>
      <c r="I42" s="135"/>
      <c r="J42" s="132"/>
      <c r="K42" s="137"/>
      <c r="L42" s="138"/>
      <c r="M42" s="139"/>
      <c r="N42" s="139"/>
    </row>
    <row r="43" customFormat="false" ht="12.8" hidden="false" customHeight="false" outlineLevel="0" collapsed="false">
      <c r="A43" s="132"/>
      <c r="B43" s="133"/>
      <c r="C43" s="134"/>
      <c r="D43" s="135"/>
      <c r="E43" s="136"/>
      <c r="F43" s="136"/>
      <c r="G43" s="136"/>
      <c r="H43" s="137"/>
      <c r="I43" s="135"/>
      <c r="J43" s="132"/>
      <c r="K43" s="137"/>
      <c r="L43" s="138"/>
      <c r="M43" s="139"/>
      <c r="N43" s="139"/>
    </row>
    <row r="44" customFormat="false" ht="12.8" hidden="false" customHeight="false" outlineLevel="0" collapsed="false">
      <c r="A44" s="132"/>
      <c r="B44" s="133"/>
      <c r="C44" s="134"/>
      <c r="D44" s="135"/>
      <c r="E44" s="136"/>
      <c r="F44" s="136"/>
      <c r="G44" s="136"/>
      <c r="H44" s="137"/>
      <c r="I44" s="135"/>
      <c r="J44" s="132"/>
      <c r="K44" s="137"/>
      <c r="L44" s="138"/>
      <c r="M44" s="139"/>
      <c r="N44" s="139"/>
    </row>
    <row r="45" customFormat="false" ht="12.8" hidden="false" customHeight="false" outlineLevel="0" collapsed="false">
      <c r="A45" s="132"/>
      <c r="B45" s="133"/>
      <c r="C45" s="134"/>
      <c r="D45" s="135"/>
      <c r="E45" s="136"/>
      <c r="F45" s="136"/>
      <c r="G45" s="136"/>
      <c r="H45" s="137"/>
      <c r="I45" s="135"/>
      <c r="J45" s="132"/>
      <c r="K45" s="137"/>
      <c r="L45" s="138"/>
      <c r="M45" s="139"/>
      <c r="N45" s="139"/>
    </row>
    <row r="46" customFormat="false" ht="12.8" hidden="false" customHeight="false" outlineLevel="0" collapsed="false">
      <c r="A46" s="132"/>
      <c r="B46" s="133"/>
      <c r="C46" s="134"/>
      <c r="D46" s="135"/>
      <c r="E46" s="136"/>
      <c r="F46" s="136"/>
      <c r="G46" s="136"/>
      <c r="H46" s="137"/>
      <c r="I46" s="135"/>
      <c r="J46" s="132"/>
      <c r="K46" s="137"/>
      <c r="L46" s="138"/>
      <c r="M46" s="139"/>
      <c r="N46" s="139"/>
    </row>
    <row r="47" customFormat="false" ht="12.8" hidden="false" customHeight="false" outlineLevel="0" collapsed="false">
      <c r="A47" s="132"/>
      <c r="B47" s="133"/>
      <c r="C47" s="134"/>
      <c r="D47" s="135"/>
      <c r="E47" s="136"/>
      <c r="F47" s="136"/>
      <c r="G47" s="136"/>
      <c r="H47" s="137"/>
      <c r="I47" s="135"/>
      <c r="J47" s="132"/>
      <c r="K47" s="137"/>
      <c r="L47" s="138"/>
      <c r="M47" s="139"/>
      <c r="N47" s="139"/>
    </row>
    <row r="48" customFormat="false" ht="12.8" hidden="false" customHeight="false" outlineLevel="0" collapsed="false">
      <c r="A48" s="132"/>
      <c r="B48" s="133"/>
      <c r="C48" s="134"/>
      <c r="D48" s="135"/>
      <c r="E48" s="136"/>
      <c r="F48" s="136"/>
      <c r="G48" s="136"/>
      <c r="H48" s="137"/>
      <c r="I48" s="135"/>
      <c r="J48" s="132"/>
      <c r="K48" s="137"/>
      <c r="L48" s="138"/>
      <c r="M48" s="139"/>
      <c r="N48" s="139"/>
    </row>
    <row r="49" customFormat="false" ht="12.8" hidden="false" customHeight="false" outlineLevel="0" collapsed="false">
      <c r="A49" s="132"/>
      <c r="B49" s="133"/>
      <c r="C49" s="134"/>
      <c r="D49" s="135"/>
      <c r="E49" s="136"/>
      <c r="F49" s="136"/>
      <c r="G49" s="136"/>
      <c r="H49" s="137"/>
      <c r="I49" s="135"/>
      <c r="J49" s="132"/>
      <c r="K49" s="137"/>
      <c r="L49" s="138"/>
      <c r="M49" s="139"/>
      <c r="N49" s="139"/>
    </row>
    <row r="50" customFormat="false" ht="12.8" hidden="false" customHeight="false" outlineLevel="0" collapsed="false">
      <c r="A50" s="132"/>
      <c r="B50" s="133"/>
      <c r="C50" s="134"/>
      <c r="D50" s="135"/>
      <c r="E50" s="136"/>
      <c r="F50" s="136"/>
      <c r="G50" s="136"/>
      <c r="H50" s="137"/>
      <c r="I50" s="135"/>
      <c r="J50" s="132"/>
      <c r="K50" s="137"/>
      <c r="L50" s="138"/>
      <c r="M50" s="139"/>
      <c r="N50" s="139"/>
    </row>
    <row r="51" customFormat="false" ht="12.8" hidden="false" customHeight="false" outlineLevel="0" collapsed="false">
      <c r="A51" s="132"/>
      <c r="B51" s="133"/>
      <c r="C51" s="134"/>
      <c r="D51" s="135"/>
      <c r="E51" s="136"/>
      <c r="F51" s="136"/>
      <c r="G51" s="136"/>
      <c r="H51" s="137"/>
      <c r="I51" s="135"/>
      <c r="J51" s="132"/>
      <c r="K51" s="137"/>
      <c r="L51" s="138"/>
      <c r="M51" s="139"/>
      <c r="N51" s="139"/>
    </row>
    <row r="52" customFormat="false" ht="12.8" hidden="false" customHeight="false" outlineLevel="0" collapsed="false">
      <c r="A52" s="132"/>
      <c r="B52" s="133"/>
      <c r="C52" s="134"/>
      <c r="D52" s="135"/>
      <c r="E52" s="136"/>
      <c r="F52" s="136"/>
      <c r="G52" s="136"/>
      <c r="H52" s="137"/>
      <c r="I52" s="135"/>
      <c r="J52" s="132"/>
      <c r="K52" s="137"/>
      <c r="L52" s="138"/>
      <c r="M52" s="139"/>
      <c r="N52" s="139"/>
    </row>
    <row r="53" customFormat="false" ht="12.8" hidden="false" customHeight="false" outlineLevel="0" collapsed="false">
      <c r="A53" s="132"/>
      <c r="B53" s="133"/>
      <c r="C53" s="134"/>
      <c r="D53" s="135"/>
      <c r="E53" s="136"/>
      <c r="F53" s="136"/>
      <c r="G53" s="136"/>
      <c r="H53" s="137"/>
      <c r="I53" s="135"/>
      <c r="J53" s="132"/>
      <c r="K53" s="137"/>
      <c r="L53" s="138"/>
      <c r="M53" s="139"/>
      <c r="N53" s="139"/>
    </row>
    <row r="54" customFormat="false" ht="12.8" hidden="false" customHeight="false" outlineLevel="0" collapsed="false">
      <c r="A54" s="132"/>
      <c r="B54" s="133"/>
      <c r="C54" s="134"/>
      <c r="D54" s="135"/>
      <c r="E54" s="136"/>
      <c r="F54" s="136"/>
      <c r="G54" s="136"/>
      <c r="H54" s="137"/>
      <c r="I54" s="135"/>
      <c r="J54" s="132"/>
      <c r="K54" s="137"/>
      <c r="L54" s="138"/>
      <c r="M54" s="139"/>
      <c r="N54" s="139"/>
    </row>
    <row r="55" customFormat="false" ht="12.8" hidden="false" customHeight="false" outlineLevel="0" collapsed="false">
      <c r="A55" s="132"/>
      <c r="B55" s="133"/>
      <c r="C55" s="134"/>
      <c r="D55" s="135"/>
      <c r="E55" s="136"/>
      <c r="F55" s="136"/>
      <c r="G55" s="136"/>
      <c r="H55" s="137"/>
      <c r="I55" s="135"/>
      <c r="J55" s="132"/>
      <c r="K55" s="137"/>
      <c r="L55" s="138"/>
      <c r="M55" s="139"/>
      <c r="N55" s="139"/>
    </row>
    <row r="56" customFormat="false" ht="12.8" hidden="false" customHeight="false" outlineLevel="0" collapsed="false">
      <c r="A56" s="132"/>
      <c r="B56" s="133"/>
      <c r="C56" s="134"/>
      <c r="D56" s="135"/>
      <c r="E56" s="136"/>
      <c r="F56" s="136"/>
      <c r="G56" s="136"/>
      <c r="H56" s="137"/>
      <c r="I56" s="135"/>
      <c r="J56" s="132"/>
      <c r="K56" s="137"/>
      <c r="L56" s="138"/>
      <c r="M56" s="139"/>
      <c r="N56" s="139"/>
    </row>
    <row r="57" customFormat="false" ht="12.8" hidden="false" customHeight="false" outlineLevel="0" collapsed="false">
      <c r="A57" s="132"/>
      <c r="B57" s="133"/>
      <c r="C57" s="134"/>
      <c r="D57" s="135"/>
      <c r="E57" s="136"/>
      <c r="F57" s="136"/>
      <c r="G57" s="136"/>
      <c r="H57" s="137"/>
      <c r="I57" s="135"/>
      <c r="J57" s="132"/>
      <c r="K57" s="137"/>
      <c r="L57" s="138"/>
      <c r="M57" s="139"/>
      <c r="N57" s="139"/>
    </row>
    <row r="58" customFormat="false" ht="12.8" hidden="false" customHeight="false" outlineLevel="0" collapsed="false">
      <c r="A58" s="132"/>
      <c r="B58" s="133"/>
      <c r="C58" s="134"/>
      <c r="D58" s="135"/>
      <c r="E58" s="136"/>
      <c r="F58" s="136"/>
      <c r="G58" s="136"/>
      <c r="H58" s="137"/>
      <c r="I58" s="135"/>
      <c r="J58" s="132"/>
      <c r="K58" s="137"/>
      <c r="L58" s="138"/>
      <c r="M58" s="139"/>
      <c r="N58" s="139"/>
    </row>
    <row r="59" customFormat="false" ht="12.8" hidden="false" customHeight="false" outlineLevel="0" collapsed="false">
      <c r="A59" s="132"/>
      <c r="B59" s="133"/>
      <c r="C59" s="134"/>
      <c r="D59" s="135"/>
      <c r="E59" s="136"/>
      <c r="F59" s="136"/>
      <c r="G59" s="136"/>
      <c r="H59" s="137"/>
      <c r="I59" s="135"/>
      <c r="J59" s="132"/>
      <c r="K59" s="137"/>
      <c r="L59" s="138"/>
      <c r="M59" s="139"/>
      <c r="N59" s="139"/>
    </row>
    <row r="60" customFormat="false" ht="12.8" hidden="false" customHeight="false" outlineLevel="0" collapsed="false">
      <c r="A60" s="132"/>
      <c r="B60" s="133"/>
      <c r="C60" s="134"/>
      <c r="D60" s="135"/>
      <c r="E60" s="136"/>
      <c r="F60" s="136"/>
      <c r="G60" s="136"/>
      <c r="H60" s="137"/>
      <c r="I60" s="135"/>
      <c r="J60" s="132"/>
      <c r="K60" s="137"/>
      <c r="L60" s="138"/>
      <c r="M60" s="139"/>
      <c r="N60" s="139"/>
    </row>
    <row r="61" customFormat="false" ht="12.8" hidden="false" customHeight="false" outlineLevel="0" collapsed="false">
      <c r="A61" s="132"/>
      <c r="B61" s="133"/>
      <c r="C61" s="134"/>
      <c r="D61" s="135"/>
      <c r="E61" s="136"/>
      <c r="F61" s="136"/>
      <c r="G61" s="136"/>
      <c r="H61" s="137"/>
      <c r="I61" s="135"/>
      <c r="J61" s="132"/>
      <c r="K61" s="137"/>
      <c r="L61" s="138"/>
      <c r="M61" s="139"/>
      <c r="N61" s="139"/>
    </row>
    <row r="62" customFormat="false" ht="12.8" hidden="false" customHeight="false" outlineLevel="0" collapsed="false">
      <c r="A62" s="132"/>
      <c r="B62" s="133"/>
      <c r="C62" s="134"/>
      <c r="D62" s="135"/>
      <c r="E62" s="136"/>
      <c r="F62" s="136"/>
      <c r="G62" s="136"/>
      <c r="H62" s="137"/>
      <c r="I62" s="135"/>
      <c r="J62" s="132"/>
      <c r="K62" s="137"/>
      <c r="L62" s="138"/>
      <c r="M62" s="139"/>
      <c r="N62" s="139"/>
    </row>
    <row r="63" customFormat="false" ht="12.8" hidden="false" customHeight="false" outlineLevel="0" collapsed="false">
      <c r="A63" s="141" t="s">
        <v>57</v>
      </c>
      <c r="B63" s="141" t="s">
        <v>57</v>
      </c>
      <c r="C63" s="141" t="s">
        <v>57</v>
      </c>
      <c r="D63" s="142" t="s">
        <v>57</v>
      </c>
      <c r="E63" s="143" t="s">
        <v>57</v>
      </c>
      <c r="F63" s="143" t="s">
        <v>57</v>
      </c>
      <c r="G63" s="143" t="s">
        <v>57</v>
      </c>
      <c r="H63" s="144" t="s">
        <v>57</v>
      </c>
      <c r="I63" s="142" t="s">
        <v>57</v>
      </c>
      <c r="J63" s="143" t="s">
        <v>57</v>
      </c>
      <c r="K63" s="144" t="s">
        <v>57</v>
      </c>
      <c r="L63" s="142" t="s">
        <v>57</v>
      </c>
      <c r="M63" s="142" t="s">
        <v>57</v>
      </c>
      <c r="N63" s="145" t="s">
        <v>57</v>
      </c>
    </row>
  </sheetData>
  <sheetProtection sheet="true" objects="true" scenarios="true"/>
  <mergeCells count="4">
    <mergeCell ref="A1:B1"/>
    <mergeCell ref="D1:H1"/>
    <mergeCell ref="I1:K1"/>
    <mergeCell ref="L1:N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20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B59"/>
    <pageSetUpPr fitToPage="true"/>
  </sheetPr>
  <dimension ref="A1:Z1029"/>
  <sheetViews>
    <sheetView showFormulas="false" showGridLines="false" showRowColHeaders="true" showZeros="true" rightToLeft="false" tabSelected="false" showOutlineSymbols="true" defaultGridColor="true" view="normal" topLeftCell="A105" colorId="64" zoomScale="100" zoomScaleNormal="100" zoomScalePageLayoutView="100" workbookViewId="0">
      <selection pane="topLeft" activeCell="A107" activeCellId="0" sqref="A1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17" width="26.12"/>
    <col collapsed="false" customWidth="true" hidden="false" outlineLevel="0" max="2" min="2" style="117" width="8.46"/>
    <col collapsed="false" customWidth="true" hidden="false" outlineLevel="0" max="3" min="3" style="146" width="8.46"/>
    <col collapsed="false" customWidth="true" hidden="false" outlineLevel="0" max="4" min="4" style="146" width="48.41"/>
    <col collapsed="false" customWidth="true" hidden="false" outlineLevel="0" max="5" min="5" style="146" width="19.46"/>
    <col collapsed="false" customWidth="true" hidden="false" outlineLevel="0" max="6" min="6" style="147" width="19.46"/>
    <col collapsed="false" customWidth="true" hidden="false" outlineLevel="0" max="7" min="7" style="148" width="19.46"/>
    <col collapsed="false" customWidth="true" hidden="false" outlineLevel="0" max="8" min="8" style="149" width="8.34"/>
    <col collapsed="false" customWidth="true" hidden="false" outlineLevel="0" max="10" min="9" style="146" width="19.46"/>
    <col collapsed="false" customWidth="true" hidden="false" outlineLevel="0" max="11" min="11" style="150" width="19.46"/>
    <col collapsed="false" customWidth="true" hidden="false" outlineLevel="0" max="12" min="12" style="150" width="2.59"/>
    <col collapsed="false" customWidth="true" hidden="false" outlineLevel="0" max="14" min="13" style="150" width="19.46"/>
    <col collapsed="false" customWidth="true" hidden="false" outlineLevel="0" max="15" min="15" style="150" width="37.09"/>
    <col collapsed="false" customWidth="true" hidden="false" outlineLevel="0" max="16" min="16" style="150" width="15.14"/>
    <col collapsed="false" customWidth="true" hidden="false" outlineLevel="0" max="17" min="17" style="150" width="4.87"/>
    <col collapsed="false" customWidth="true" hidden="false" outlineLevel="0" max="18" min="18" style="150" width="5.1"/>
    <col collapsed="false" customWidth="true" hidden="false" outlineLevel="0" max="19" min="19" style="150" width="30.38"/>
    <col collapsed="false" customWidth="true" hidden="false" outlineLevel="0" max="20" min="20" style="150" width="4.87"/>
    <col collapsed="false" customWidth="true" hidden="false" outlineLevel="0" max="21" min="21" style="150" width="30.38"/>
    <col collapsed="false" customWidth="true" hidden="false" outlineLevel="0" max="22" min="22" style="150" width="4.87"/>
    <col collapsed="false" customWidth="true" hidden="false" outlineLevel="0" max="23" min="23" style="150" width="6.03"/>
    <col collapsed="false" customWidth="false" hidden="false" outlineLevel="0" max="988" min="24" style="146" width="11.53"/>
    <col collapsed="false" customWidth="false" hidden="false" outlineLevel="0" max="1017" min="989" style="117" width="11.53"/>
    <col collapsed="false" customWidth="false" hidden="false" outlineLevel="0" max="1024" min="1018" style="80" width="11.53"/>
  </cols>
  <sheetData>
    <row r="1" customFormat="false" ht="12.8" hidden="false" customHeight="false" outlineLevel="0" collapsed="false">
      <c r="A1" s="151" t="s">
        <v>23</v>
      </c>
      <c r="B1" s="151"/>
      <c r="C1" s="151"/>
      <c r="D1" s="151"/>
      <c r="E1" s="151" t="s">
        <v>16</v>
      </c>
      <c r="F1" s="151" t="s">
        <v>126</v>
      </c>
      <c r="G1" s="151" t="s">
        <v>127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customFormat="false" ht="12.8" hidden="false" customHeight="false" outlineLevel="0" collapsed="false">
      <c r="A2" s="152" t="s">
        <v>128</v>
      </c>
      <c r="B2" s="152" t="s">
        <v>30</v>
      </c>
      <c r="C2" s="152" t="s">
        <v>31</v>
      </c>
      <c r="D2" s="152" t="s">
        <v>129</v>
      </c>
      <c r="E2" s="153" t="n">
        <v>45657</v>
      </c>
      <c r="F2" s="153" t="n">
        <v>45291</v>
      </c>
      <c r="G2" s="153" t="n">
        <v>45657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customFormat="false" ht="12.8" hidden="false" customHeight="false" outlineLevel="0" collapsed="false">
      <c r="A3" s="154" t="s">
        <v>98</v>
      </c>
      <c r="B3" s="155" t="n">
        <v>11201</v>
      </c>
      <c r="C3" s="58" t="s">
        <v>130</v>
      </c>
      <c r="D3" s="156" t="s">
        <v>131</v>
      </c>
      <c r="E3" s="57" t="n">
        <v>18567911215</v>
      </c>
      <c r="F3" s="157" t="n">
        <v>22990014172</v>
      </c>
      <c r="G3" s="157" t="n">
        <v>18567911215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customFormat="false" ht="12.8" hidden="false" customHeight="false" outlineLevel="0" collapsed="false">
      <c r="A4" s="154" t="s">
        <v>98</v>
      </c>
      <c r="B4" s="155" t="n">
        <v>11202</v>
      </c>
      <c r="C4" s="58" t="s">
        <v>132</v>
      </c>
      <c r="D4" s="156" t="s">
        <v>133</v>
      </c>
      <c r="E4" s="57" t="n">
        <v>-2286452814</v>
      </c>
      <c r="F4" s="157" t="n">
        <v>-1143226407</v>
      </c>
      <c r="G4" s="158" t="n">
        <v>-2286452814</v>
      </c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customFormat="false" ht="12.8" hidden="false" customHeight="false" outlineLevel="0" collapsed="false">
      <c r="A5" s="154" t="s">
        <v>102</v>
      </c>
      <c r="B5" s="155" t="n">
        <v>11901</v>
      </c>
      <c r="C5" s="58" t="s">
        <v>134</v>
      </c>
      <c r="D5" s="156" t="s">
        <v>135</v>
      </c>
      <c r="E5" s="57" t="n">
        <v>0</v>
      </c>
      <c r="F5" s="157" t="n">
        <v>16000000</v>
      </c>
      <c r="G5" s="158" t="n">
        <v>0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customFormat="false" ht="12.8" hidden="false" customHeight="false" outlineLevel="0" collapsed="false">
      <c r="A6" s="154" t="s">
        <v>102</v>
      </c>
      <c r="B6" s="155" t="n">
        <v>11902</v>
      </c>
      <c r="C6" s="58" t="s">
        <v>136</v>
      </c>
      <c r="D6" s="156" t="s">
        <v>137</v>
      </c>
      <c r="E6" s="57" t="n">
        <v>0</v>
      </c>
      <c r="F6" s="157" t="n">
        <v>0</v>
      </c>
      <c r="G6" s="158" t="n">
        <v>0</v>
      </c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customFormat="false" ht="12.8" hidden="false" customHeight="false" outlineLevel="0" collapsed="false">
      <c r="A7" s="154" t="s">
        <v>93</v>
      </c>
      <c r="B7" s="155" t="n">
        <v>11101</v>
      </c>
      <c r="C7" s="58" t="s">
        <v>138</v>
      </c>
      <c r="D7" s="156" t="s">
        <v>139</v>
      </c>
      <c r="E7" s="57" t="n">
        <v>23836003.7</v>
      </c>
      <c r="F7" s="157" t="n">
        <v>15160437</v>
      </c>
      <c r="G7" s="158" t="n">
        <v>23836003.7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customFormat="false" ht="12.8" hidden="false" customHeight="false" outlineLevel="0" collapsed="false">
      <c r="A8" s="154" t="s">
        <v>93</v>
      </c>
      <c r="B8" s="155" t="n">
        <v>11102</v>
      </c>
      <c r="C8" s="58" t="s">
        <v>140</v>
      </c>
      <c r="D8" s="156" t="s">
        <v>141</v>
      </c>
      <c r="E8" s="57" t="n">
        <v>21825625.9299999</v>
      </c>
      <c r="F8" s="157" t="n">
        <v>993712492</v>
      </c>
      <c r="G8" s="158" t="n">
        <v>21825625.9299999</v>
      </c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customFormat="false" ht="12.8" hidden="false" customHeight="false" outlineLevel="0" collapsed="false">
      <c r="A9" s="154" t="s">
        <v>93</v>
      </c>
      <c r="B9" s="155" t="n">
        <v>11103</v>
      </c>
      <c r="C9" s="58" t="s">
        <v>142</v>
      </c>
      <c r="D9" s="156" t="s">
        <v>143</v>
      </c>
      <c r="E9" s="57" t="n">
        <v>248790499.24</v>
      </c>
      <c r="F9" s="157" t="n">
        <v>309372414</v>
      </c>
      <c r="G9" s="158" t="n">
        <v>248790499.24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customFormat="false" ht="12.8" hidden="false" customHeight="false" outlineLevel="0" collapsed="false">
      <c r="A10" s="154" t="s">
        <v>93</v>
      </c>
      <c r="B10" s="155" t="n">
        <v>11104</v>
      </c>
      <c r="C10" s="58" t="s">
        <v>144</v>
      </c>
      <c r="D10" s="156" t="s">
        <v>145</v>
      </c>
      <c r="E10" s="57" t="n">
        <v>33120579203.05</v>
      </c>
      <c r="F10" s="157" t="n">
        <v>26887905412</v>
      </c>
      <c r="G10" s="158" t="n">
        <v>33120579203.05</v>
      </c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customFormat="false" ht="12.8" hidden="false" customHeight="false" outlineLevel="0" collapsed="false">
      <c r="A11" s="154" t="s">
        <v>93</v>
      </c>
      <c r="B11" s="155" t="n">
        <v>11105</v>
      </c>
      <c r="C11" s="58" t="s">
        <v>146</v>
      </c>
      <c r="D11" s="156" t="s">
        <v>147</v>
      </c>
      <c r="E11" s="57" t="n">
        <v>0</v>
      </c>
      <c r="F11" s="157" t="n">
        <v>0</v>
      </c>
      <c r="G11" s="158" t="n">
        <v>0</v>
      </c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customFormat="false" ht="12.8" hidden="false" customHeight="false" outlineLevel="0" collapsed="false">
      <c r="A12" s="154" t="s">
        <v>93</v>
      </c>
      <c r="B12" s="155" t="n">
        <v>11106</v>
      </c>
      <c r="C12" s="58" t="s">
        <v>148</v>
      </c>
      <c r="D12" s="156" t="s">
        <v>149</v>
      </c>
      <c r="E12" s="57" t="n">
        <v>905130602</v>
      </c>
      <c r="F12" s="157" t="n">
        <v>897718588</v>
      </c>
      <c r="G12" s="158" t="n">
        <v>905130602</v>
      </c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customFormat="false" ht="12.8" hidden="false" customHeight="false" outlineLevel="0" collapsed="false">
      <c r="A13" s="154" t="s">
        <v>99</v>
      </c>
      <c r="B13" s="155" t="n">
        <v>11601</v>
      </c>
      <c r="C13" s="58" t="s">
        <v>150</v>
      </c>
      <c r="D13" s="156" t="s">
        <v>151</v>
      </c>
      <c r="E13" s="57" t="n">
        <v>333000000</v>
      </c>
      <c r="F13" s="157" t="n">
        <v>333000000</v>
      </c>
      <c r="G13" s="158" t="n">
        <v>333000000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customFormat="false" ht="12.8" hidden="false" customHeight="false" outlineLevel="0" collapsed="false">
      <c r="A14" s="154" t="s">
        <v>99</v>
      </c>
      <c r="B14" s="155" t="n">
        <v>11602</v>
      </c>
      <c r="C14" s="58" t="s">
        <v>152</v>
      </c>
      <c r="D14" s="156" t="s">
        <v>153</v>
      </c>
      <c r="E14" s="57" t="n">
        <v>13896502774.06</v>
      </c>
      <c r="F14" s="157" t="n">
        <v>9896961465</v>
      </c>
      <c r="G14" s="158" t="n">
        <v>13896502774.06</v>
      </c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customFormat="false" ht="12.8" hidden="false" customHeight="false" outlineLevel="0" collapsed="false">
      <c r="A15" s="154" t="s">
        <v>102</v>
      </c>
      <c r="B15" s="155" t="n">
        <v>11903</v>
      </c>
      <c r="C15" s="58" t="s">
        <v>154</v>
      </c>
      <c r="D15" s="156" t="s">
        <v>155</v>
      </c>
      <c r="E15" s="57" t="n">
        <v>1500000</v>
      </c>
      <c r="F15" s="157" t="n">
        <v>1500000</v>
      </c>
      <c r="G15" s="158" t="n">
        <v>1500000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customFormat="false" ht="12.8" hidden="false" customHeight="false" outlineLevel="0" collapsed="false">
      <c r="A16" s="154" t="s">
        <v>102</v>
      </c>
      <c r="B16" s="155" t="n">
        <v>11904</v>
      </c>
      <c r="C16" s="58" t="s">
        <v>156</v>
      </c>
      <c r="D16" s="156" t="s">
        <v>157</v>
      </c>
      <c r="E16" s="57" t="n">
        <v>0</v>
      </c>
      <c r="F16" s="157" t="n">
        <v>0</v>
      </c>
      <c r="G16" s="158" t="n">
        <v>0</v>
      </c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customFormat="false" ht="12.8" hidden="false" customHeight="false" outlineLevel="0" collapsed="false">
      <c r="A17" s="154" t="s">
        <v>102</v>
      </c>
      <c r="B17" s="155" t="n">
        <v>11905</v>
      </c>
      <c r="C17" s="58" t="s">
        <v>158</v>
      </c>
      <c r="D17" s="156" t="s">
        <v>159</v>
      </c>
      <c r="E17" s="57" t="n">
        <v>0</v>
      </c>
      <c r="F17" s="157" t="n">
        <v>1000000</v>
      </c>
      <c r="G17" s="158" t="n">
        <v>0</v>
      </c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customFormat="false" ht="12.8" hidden="false" customHeight="false" outlineLevel="0" collapsed="false">
      <c r="A18" s="154" t="s">
        <v>102</v>
      </c>
      <c r="B18" s="155" t="n">
        <v>11906</v>
      </c>
      <c r="C18" s="58" t="s">
        <v>160</v>
      </c>
      <c r="D18" s="156" t="s">
        <v>161</v>
      </c>
      <c r="E18" s="57" t="n">
        <v>0</v>
      </c>
      <c r="F18" s="157" t="n">
        <v>0</v>
      </c>
      <c r="G18" s="158" t="n">
        <v>0</v>
      </c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customFormat="false" ht="12.8" hidden="false" customHeight="false" outlineLevel="0" collapsed="false">
      <c r="A19" s="154" t="s">
        <v>102</v>
      </c>
      <c r="B19" s="155" t="n">
        <v>11907</v>
      </c>
      <c r="C19" s="58" t="s">
        <v>162</v>
      </c>
      <c r="D19" s="156" t="s">
        <v>163</v>
      </c>
      <c r="E19" s="57" t="n">
        <v>2400000</v>
      </c>
      <c r="F19" s="157" t="n">
        <v>0</v>
      </c>
      <c r="G19" s="158" t="n">
        <v>2400000</v>
      </c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customFormat="false" ht="12.8" hidden="false" customHeight="false" outlineLevel="0" collapsed="false">
      <c r="A20" s="154" t="s">
        <v>102</v>
      </c>
      <c r="B20" s="155" t="n">
        <v>11908</v>
      </c>
      <c r="C20" s="58" t="s">
        <v>164</v>
      </c>
      <c r="D20" s="156" t="s">
        <v>165</v>
      </c>
      <c r="E20" s="57" t="n">
        <v>0</v>
      </c>
      <c r="F20" s="157" t="n">
        <v>0</v>
      </c>
      <c r="G20" s="158" t="n">
        <v>0</v>
      </c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customFormat="false" ht="12.8" hidden="false" customHeight="false" outlineLevel="0" collapsed="false">
      <c r="A21" s="154" t="s">
        <v>102</v>
      </c>
      <c r="B21" s="155" t="n">
        <v>11909</v>
      </c>
      <c r="C21" s="58" t="s">
        <v>166</v>
      </c>
      <c r="D21" s="156" t="s">
        <v>167</v>
      </c>
      <c r="E21" s="57" t="n">
        <v>0</v>
      </c>
      <c r="F21" s="157" t="n">
        <v>0</v>
      </c>
      <c r="G21" s="158" t="n">
        <v>0</v>
      </c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customFormat="false" ht="12.8" hidden="false" customHeight="false" outlineLevel="0" collapsed="false">
      <c r="A22" s="154" t="s">
        <v>102</v>
      </c>
      <c r="B22" s="155" t="n">
        <v>11910</v>
      </c>
      <c r="C22" s="58" t="s">
        <v>168</v>
      </c>
      <c r="D22" s="156" t="s">
        <v>169</v>
      </c>
      <c r="E22" s="57" t="n">
        <v>0</v>
      </c>
      <c r="F22" s="157" t="n">
        <v>4000000</v>
      </c>
      <c r="G22" s="158" t="n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customFormat="false" ht="12.8" hidden="false" customHeight="false" outlineLevel="0" collapsed="false">
      <c r="A23" s="154" t="s">
        <v>102</v>
      </c>
      <c r="B23" s="155" t="n">
        <v>11911</v>
      </c>
      <c r="C23" s="58" t="s">
        <v>170</v>
      </c>
      <c r="D23" s="156" t="s">
        <v>171</v>
      </c>
      <c r="E23" s="57" t="n">
        <v>4500000</v>
      </c>
      <c r="F23" s="157" t="n">
        <v>0</v>
      </c>
      <c r="G23" s="158" t="n">
        <v>4500000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customFormat="false" ht="12.8" hidden="false" customHeight="false" outlineLevel="0" collapsed="false">
      <c r="A24" s="154" t="s">
        <v>102</v>
      </c>
      <c r="B24" s="155" t="n">
        <v>11912</v>
      </c>
      <c r="C24" s="58" t="s">
        <v>172</v>
      </c>
      <c r="D24" s="156" t="s">
        <v>173</v>
      </c>
      <c r="E24" s="57" t="n">
        <v>0</v>
      </c>
      <c r="F24" s="157" t="n">
        <v>400000</v>
      </c>
      <c r="G24" s="158" t="n">
        <v>0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customFormat="false" ht="12.8" hidden="false" customHeight="false" outlineLevel="0" collapsed="false">
      <c r="A25" s="154" t="s">
        <v>102</v>
      </c>
      <c r="B25" s="155" t="n">
        <v>11913</v>
      </c>
      <c r="C25" s="58" t="s">
        <v>174</v>
      </c>
      <c r="D25" s="156" t="s">
        <v>163</v>
      </c>
      <c r="E25" s="57" t="n">
        <v>6600000</v>
      </c>
      <c r="F25" s="157" t="n">
        <v>14900000</v>
      </c>
      <c r="G25" s="158" t="n">
        <v>6600000</v>
      </c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customFormat="false" ht="12.8" hidden="false" customHeight="false" outlineLevel="0" collapsed="false">
      <c r="A26" s="154" t="s">
        <v>102</v>
      </c>
      <c r="B26" s="155" t="n">
        <v>11914</v>
      </c>
      <c r="C26" s="58" t="s">
        <v>175</v>
      </c>
      <c r="D26" s="156" t="s">
        <v>173</v>
      </c>
      <c r="E26" s="57" t="n">
        <v>7100000</v>
      </c>
      <c r="F26" s="157" t="n">
        <v>8800000</v>
      </c>
      <c r="G26" s="158" t="n">
        <v>7100000</v>
      </c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customFormat="false" ht="12.8" hidden="false" customHeight="false" outlineLevel="0" collapsed="false">
      <c r="A27" s="154" t="s">
        <v>102</v>
      </c>
      <c r="B27" s="155" t="n">
        <v>11915</v>
      </c>
      <c r="C27" s="58" t="s">
        <v>176</v>
      </c>
      <c r="D27" s="156" t="s">
        <v>167</v>
      </c>
      <c r="E27" s="57" t="n">
        <v>6200000</v>
      </c>
      <c r="F27" s="157" t="n">
        <v>11400000</v>
      </c>
      <c r="G27" s="158" t="n">
        <v>6200000</v>
      </c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customFormat="false" ht="12.8" hidden="false" customHeight="false" outlineLevel="0" collapsed="false">
      <c r="A28" s="154" t="s">
        <v>102</v>
      </c>
      <c r="B28" s="155" t="n">
        <v>11916</v>
      </c>
      <c r="C28" s="58" t="s">
        <v>177</v>
      </c>
      <c r="D28" s="156" t="s">
        <v>178</v>
      </c>
      <c r="E28" s="57" t="n">
        <v>6900000</v>
      </c>
      <c r="F28" s="157" t="n">
        <v>2400000</v>
      </c>
      <c r="G28" s="158" t="n">
        <v>6900000</v>
      </c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customFormat="false" ht="12.8" hidden="false" customHeight="false" outlineLevel="0" collapsed="false">
      <c r="A29" s="154" t="s">
        <v>100</v>
      </c>
      <c r="B29" s="155" t="n">
        <v>11701</v>
      </c>
      <c r="C29" s="58" t="s">
        <v>179</v>
      </c>
      <c r="D29" s="156" t="s">
        <v>180</v>
      </c>
      <c r="E29" s="57" t="n">
        <v>250000</v>
      </c>
      <c r="F29" s="157" t="n">
        <v>250000</v>
      </c>
      <c r="G29" s="158" t="n">
        <v>250000</v>
      </c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customFormat="false" ht="12.8" hidden="false" customHeight="false" outlineLevel="0" collapsed="false">
      <c r="A30" s="154" t="s">
        <v>100</v>
      </c>
      <c r="B30" s="155" t="n">
        <v>11702</v>
      </c>
      <c r="C30" s="58" t="s">
        <v>181</v>
      </c>
      <c r="D30" s="156" t="s">
        <v>182</v>
      </c>
      <c r="E30" s="57" t="n">
        <v>7681826</v>
      </c>
      <c r="F30" s="157" t="n">
        <v>7708345</v>
      </c>
      <c r="G30" s="158" t="n">
        <v>7681826</v>
      </c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customFormat="false" ht="12.8" hidden="false" customHeight="false" outlineLevel="0" collapsed="false">
      <c r="A31" s="154" t="s">
        <v>100</v>
      </c>
      <c r="B31" s="155" t="n">
        <v>11703</v>
      </c>
      <c r="C31" s="58" t="s">
        <v>183</v>
      </c>
      <c r="D31" s="156" t="s">
        <v>184</v>
      </c>
      <c r="E31" s="57" t="n">
        <v>5312723044</v>
      </c>
      <c r="F31" s="157" t="n">
        <v>5312723044</v>
      </c>
      <c r="G31" s="158" t="n">
        <v>5312723044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customFormat="false" ht="12.8" hidden="false" customHeight="false" outlineLevel="0" collapsed="false">
      <c r="A32" s="154" t="s">
        <v>100</v>
      </c>
      <c r="B32" s="155" t="n">
        <v>11704</v>
      </c>
      <c r="C32" s="58" t="s">
        <v>185</v>
      </c>
      <c r="D32" s="156" t="s">
        <v>186</v>
      </c>
      <c r="E32" s="57" t="n">
        <v>0</v>
      </c>
      <c r="F32" s="157" t="n">
        <v>0</v>
      </c>
      <c r="G32" s="158" t="n">
        <v>0</v>
      </c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customFormat="false" ht="12.8" hidden="false" customHeight="false" outlineLevel="0" collapsed="false">
      <c r="A33" s="154" t="s">
        <v>100</v>
      </c>
      <c r="B33" s="155" t="n">
        <v>11705</v>
      </c>
      <c r="C33" s="58" t="s">
        <v>187</v>
      </c>
      <c r="D33" s="156" t="s">
        <v>188</v>
      </c>
      <c r="E33" s="57" t="n">
        <v>-3187633826</v>
      </c>
      <c r="F33" s="157" t="n">
        <v>-1593816913</v>
      </c>
      <c r="G33" s="158" t="n">
        <v>-3187633826</v>
      </c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customFormat="false" ht="12.8" hidden="false" customHeight="false" outlineLevel="0" collapsed="false">
      <c r="A34" s="154" t="s">
        <v>101</v>
      </c>
      <c r="B34" s="155" t="n">
        <v>11801</v>
      </c>
      <c r="C34" s="58" t="s">
        <v>189</v>
      </c>
      <c r="D34" s="156" t="s">
        <v>190</v>
      </c>
      <c r="E34" s="57" t="n">
        <v>32847583</v>
      </c>
      <c r="F34" s="157" t="n">
        <v>0</v>
      </c>
      <c r="G34" s="158" t="n">
        <v>32847583</v>
      </c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customFormat="false" ht="12.8" hidden="false" customHeight="false" outlineLevel="0" collapsed="false">
      <c r="A35" s="154" t="s">
        <v>101</v>
      </c>
      <c r="B35" s="155" t="n">
        <v>11802</v>
      </c>
      <c r="C35" s="58" t="s">
        <v>191</v>
      </c>
      <c r="D35" s="156" t="s">
        <v>192</v>
      </c>
      <c r="E35" s="57" t="n">
        <v>466204786</v>
      </c>
      <c r="F35" s="157" t="n">
        <v>0</v>
      </c>
      <c r="G35" s="158" t="n">
        <v>466204786</v>
      </c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customFormat="false" ht="12.8" hidden="false" customHeight="false" outlineLevel="0" collapsed="false">
      <c r="A36" s="154" t="s">
        <v>104</v>
      </c>
      <c r="B36" s="155" t="n">
        <v>12501</v>
      </c>
      <c r="C36" s="58" t="s">
        <v>193</v>
      </c>
      <c r="D36" s="156" t="s">
        <v>194</v>
      </c>
      <c r="E36" s="57" t="n">
        <v>2351082000</v>
      </c>
      <c r="F36" s="157" t="n">
        <v>2351082000</v>
      </c>
      <c r="G36" s="158" t="n">
        <v>2351082000</v>
      </c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customFormat="false" ht="12.8" hidden="false" customHeight="false" outlineLevel="0" collapsed="false">
      <c r="A37" s="154" t="s">
        <v>104</v>
      </c>
      <c r="B37" s="155" t="n">
        <v>12502</v>
      </c>
      <c r="C37" s="58" t="s">
        <v>195</v>
      </c>
      <c r="D37" s="156" t="s">
        <v>196</v>
      </c>
      <c r="E37" s="57" t="n">
        <v>9427534194</v>
      </c>
      <c r="F37" s="157" t="n">
        <v>9427534194</v>
      </c>
      <c r="G37" s="158" t="n">
        <v>9427534194</v>
      </c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customFormat="false" ht="12.8" hidden="false" customHeight="false" outlineLevel="0" collapsed="false">
      <c r="A38" s="154" t="s">
        <v>104</v>
      </c>
      <c r="B38" s="155" t="n">
        <v>12503</v>
      </c>
      <c r="C38" s="58" t="s">
        <v>197</v>
      </c>
      <c r="D38" s="156" t="s">
        <v>198</v>
      </c>
      <c r="E38" s="57" t="n">
        <v>-4050622029</v>
      </c>
      <c r="F38" s="157" t="n">
        <v>-3579245361</v>
      </c>
      <c r="G38" s="158" t="n">
        <v>-4050622029</v>
      </c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customFormat="false" ht="12.8" hidden="false" customHeight="false" outlineLevel="0" collapsed="false">
      <c r="A39" s="154" t="s">
        <v>104</v>
      </c>
      <c r="B39" s="155" t="n">
        <v>12504</v>
      </c>
      <c r="C39" s="58" t="s">
        <v>199</v>
      </c>
      <c r="D39" s="156" t="s">
        <v>200</v>
      </c>
      <c r="E39" s="57" t="n">
        <v>707586797</v>
      </c>
      <c r="F39" s="157" t="n">
        <v>708284213</v>
      </c>
      <c r="G39" s="158" t="n">
        <v>707586797</v>
      </c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customFormat="false" ht="12.8" hidden="false" customHeight="false" outlineLevel="0" collapsed="false">
      <c r="A40" s="154" t="s">
        <v>104</v>
      </c>
      <c r="B40" s="155" t="n">
        <v>12505</v>
      </c>
      <c r="C40" s="58" t="s">
        <v>201</v>
      </c>
      <c r="D40" s="156" t="s">
        <v>202</v>
      </c>
      <c r="E40" s="57" t="n">
        <v>-668924449</v>
      </c>
      <c r="F40" s="157" t="n">
        <v>-655997641</v>
      </c>
      <c r="G40" s="158" t="n">
        <v>-668924449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customFormat="false" ht="12.8" hidden="false" customHeight="false" outlineLevel="0" collapsed="false">
      <c r="A41" s="154" t="s">
        <v>104</v>
      </c>
      <c r="B41" s="155" t="n">
        <v>12506</v>
      </c>
      <c r="C41" s="58" t="s">
        <v>203</v>
      </c>
      <c r="D41" s="156" t="s">
        <v>204</v>
      </c>
      <c r="E41" s="57" t="n">
        <v>361959091</v>
      </c>
      <c r="F41" s="157" t="n">
        <v>361959091</v>
      </c>
      <c r="G41" s="158" t="n">
        <v>361959091</v>
      </c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customFormat="false" ht="12.8" hidden="false" customHeight="false" outlineLevel="0" collapsed="false">
      <c r="A42" s="154" t="s">
        <v>104</v>
      </c>
      <c r="B42" s="155" t="n">
        <v>12507</v>
      </c>
      <c r="C42" s="58" t="s">
        <v>205</v>
      </c>
      <c r="D42" s="156" t="s">
        <v>206</v>
      </c>
      <c r="E42" s="57" t="n">
        <v>-361959091</v>
      </c>
      <c r="F42" s="157" t="n">
        <v>-361959091</v>
      </c>
      <c r="G42" s="158" t="n">
        <v>-361959091</v>
      </c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customFormat="false" ht="12.8" hidden="false" customHeight="false" outlineLevel="0" collapsed="false">
      <c r="A43" s="154" t="s">
        <v>104</v>
      </c>
      <c r="B43" s="155" t="n">
        <v>12508</v>
      </c>
      <c r="C43" s="58" t="s">
        <v>207</v>
      </c>
      <c r="D43" s="156" t="s">
        <v>208</v>
      </c>
      <c r="E43" s="57" t="n">
        <v>72082517</v>
      </c>
      <c r="F43" s="157" t="n">
        <v>68082517</v>
      </c>
      <c r="G43" s="158" t="n">
        <v>72082517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customFormat="false" ht="12.8" hidden="false" customHeight="false" outlineLevel="0" collapsed="false">
      <c r="A44" s="154" t="s">
        <v>104</v>
      </c>
      <c r="B44" s="155" t="n">
        <v>12509</v>
      </c>
      <c r="C44" s="58" t="s">
        <v>209</v>
      </c>
      <c r="D44" s="156" t="s">
        <v>210</v>
      </c>
      <c r="E44" s="57" t="n">
        <v>-61811793</v>
      </c>
      <c r="F44" s="157" t="n">
        <v>-59858925</v>
      </c>
      <c r="G44" s="158" t="n">
        <v>-61811793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customFormat="false" ht="12.8" hidden="false" customHeight="false" outlineLevel="0" collapsed="false">
      <c r="A45" s="154" t="s">
        <v>105</v>
      </c>
      <c r="B45" s="155" t="n">
        <v>12701</v>
      </c>
      <c r="C45" s="58" t="s">
        <v>211</v>
      </c>
      <c r="D45" s="156" t="s">
        <v>212</v>
      </c>
      <c r="E45" s="57" t="n">
        <v>115843336</v>
      </c>
      <c r="F45" s="157" t="n">
        <v>115843336</v>
      </c>
      <c r="G45" s="158" t="n">
        <v>115843336</v>
      </c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customFormat="false" ht="12.8" hidden="false" customHeight="false" outlineLevel="0" collapsed="false">
      <c r="A46" s="154" t="s">
        <v>105</v>
      </c>
      <c r="B46" s="155" t="n">
        <v>12702</v>
      </c>
      <c r="C46" s="58" t="s">
        <v>213</v>
      </c>
      <c r="D46" s="156" t="s">
        <v>214</v>
      </c>
      <c r="E46" s="57" t="n">
        <v>-115843336</v>
      </c>
      <c r="F46" s="157" t="n">
        <v>-115468336</v>
      </c>
      <c r="G46" s="158" t="n">
        <v>-115843336</v>
      </c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customFormat="false" ht="12.8" hidden="false" customHeight="false" outlineLevel="0" collapsed="false">
      <c r="A47" s="154" t="s">
        <v>106</v>
      </c>
      <c r="B47" s="155" t="n">
        <v>21101</v>
      </c>
      <c r="C47" s="58" t="s">
        <v>215</v>
      </c>
      <c r="D47" s="156" t="s">
        <v>216</v>
      </c>
      <c r="E47" s="57" t="n">
        <v>3612199904</v>
      </c>
      <c r="F47" s="157" t="n">
        <v>836782875</v>
      </c>
      <c r="G47" s="158" t="n">
        <v>3612199904</v>
      </c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customFormat="false" ht="12.8" hidden="false" customHeight="false" outlineLevel="0" collapsed="false">
      <c r="A48" s="154" t="s">
        <v>106</v>
      </c>
      <c r="B48" s="155" t="n">
        <v>21102</v>
      </c>
      <c r="C48" s="58" t="s">
        <v>217</v>
      </c>
      <c r="D48" s="156" t="s">
        <v>218</v>
      </c>
      <c r="E48" s="57" t="n">
        <v>9083541748.31</v>
      </c>
      <c r="F48" s="157" t="n">
        <v>2437859327</v>
      </c>
      <c r="G48" s="158" t="n">
        <v>9083541748.31</v>
      </c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customFormat="false" ht="12.8" hidden="false" customHeight="false" outlineLevel="0" collapsed="false">
      <c r="A49" s="154" t="s">
        <v>108</v>
      </c>
      <c r="B49" s="155" t="n">
        <v>21201</v>
      </c>
      <c r="C49" s="58" t="s">
        <v>219</v>
      </c>
      <c r="D49" s="156" t="s">
        <v>220</v>
      </c>
      <c r="E49" s="57" t="n">
        <v>14686300</v>
      </c>
      <c r="F49" s="157" t="n">
        <v>16179729</v>
      </c>
      <c r="G49" s="158" t="n">
        <v>14686300</v>
      </c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customFormat="false" ht="12.8" hidden="false" customHeight="false" outlineLevel="0" collapsed="false">
      <c r="A50" s="154" t="s">
        <v>108</v>
      </c>
      <c r="B50" s="155" t="n">
        <v>21202</v>
      </c>
      <c r="C50" s="58" t="s">
        <v>221</v>
      </c>
      <c r="D50" s="156" t="s">
        <v>222</v>
      </c>
      <c r="E50" s="57" t="n">
        <v>1186894</v>
      </c>
      <c r="F50" s="157" t="n">
        <v>0</v>
      </c>
      <c r="G50" s="158" t="n">
        <v>1186894</v>
      </c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customFormat="false" ht="12.8" hidden="false" customHeight="false" outlineLevel="0" collapsed="false">
      <c r="A51" s="154" t="s">
        <v>109</v>
      </c>
      <c r="B51" s="155" t="n">
        <v>21601</v>
      </c>
      <c r="C51" s="58" t="s">
        <v>223</v>
      </c>
      <c r="D51" s="156" t="s">
        <v>224</v>
      </c>
      <c r="E51" s="57" t="n">
        <v>1247188889</v>
      </c>
      <c r="F51" s="157" t="n">
        <v>1018959667</v>
      </c>
      <c r="G51" s="158" t="n">
        <v>1247188889</v>
      </c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customFormat="false" ht="12.8" hidden="false" customHeight="false" outlineLevel="0" collapsed="false">
      <c r="A52" s="154" t="s">
        <v>111</v>
      </c>
      <c r="B52" s="155" t="n">
        <v>22901</v>
      </c>
      <c r="C52" s="58" t="s">
        <v>225</v>
      </c>
      <c r="D52" s="156" t="s">
        <v>226</v>
      </c>
      <c r="E52" s="57" t="n">
        <v>2775984576</v>
      </c>
      <c r="F52" s="157" t="n">
        <v>1999000000</v>
      </c>
      <c r="G52" s="158" t="n">
        <v>2775984576</v>
      </c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customFormat="false" ht="12.8" hidden="false" customHeight="false" outlineLevel="0" collapsed="false">
      <c r="A53" s="154" t="s">
        <v>111</v>
      </c>
      <c r="B53" s="155" t="n">
        <v>22902</v>
      </c>
      <c r="C53" s="58" t="s">
        <v>227</v>
      </c>
      <c r="D53" s="156" t="s">
        <v>228</v>
      </c>
      <c r="E53" s="57" t="n">
        <v>0</v>
      </c>
      <c r="F53" s="157" t="n">
        <v>2533198840</v>
      </c>
      <c r="G53" s="158" t="n">
        <v>0</v>
      </c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customFormat="false" ht="12.8" hidden="false" customHeight="false" outlineLevel="0" collapsed="false">
      <c r="A54" s="154" t="s">
        <v>110</v>
      </c>
      <c r="B54" s="155" t="n">
        <v>21701</v>
      </c>
      <c r="C54" s="58" t="s">
        <v>229</v>
      </c>
      <c r="D54" s="156" t="s">
        <v>230</v>
      </c>
      <c r="E54" s="57" t="n">
        <v>3085065</v>
      </c>
      <c r="F54" s="157" t="n">
        <v>6069136</v>
      </c>
      <c r="G54" s="158" t="n">
        <v>3085065</v>
      </c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customFormat="false" ht="12.8" hidden="false" customHeight="false" outlineLevel="0" collapsed="false">
      <c r="A55" s="154" t="s">
        <v>110</v>
      </c>
      <c r="B55" s="155" t="n">
        <v>21702</v>
      </c>
      <c r="C55" s="58" t="s">
        <v>231</v>
      </c>
      <c r="D55" s="156" t="s">
        <v>232</v>
      </c>
      <c r="E55" s="57" t="n">
        <v>0</v>
      </c>
      <c r="F55" s="157" t="n">
        <v>353443</v>
      </c>
      <c r="G55" s="158" t="n">
        <v>0</v>
      </c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customFormat="false" ht="12.8" hidden="false" customHeight="false" outlineLevel="0" collapsed="false">
      <c r="A56" s="154" t="s">
        <v>110</v>
      </c>
      <c r="B56" s="155" t="n">
        <v>21703</v>
      </c>
      <c r="C56" s="58" t="s">
        <v>233</v>
      </c>
      <c r="D56" s="156" t="s">
        <v>234</v>
      </c>
      <c r="E56" s="57" t="n">
        <v>0</v>
      </c>
      <c r="F56" s="157" t="n">
        <v>8022020</v>
      </c>
      <c r="G56" s="158" t="n">
        <v>0</v>
      </c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customFormat="false" ht="12.8" hidden="false" customHeight="false" outlineLevel="0" collapsed="false">
      <c r="A57" s="154" t="s">
        <v>110</v>
      </c>
      <c r="B57" s="155" t="n">
        <v>21704</v>
      </c>
      <c r="C57" s="58" t="s">
        <v>235</v>
      </c>
      <c r="D57" s="156" t="s">
        <v>236</v>
      </c>
      <c r="E57" s="57" t="n">
        <v>0</v>
      </c>
      <c r="F57" s="157" t="n">
        <v>231486494</v>
      </c>
      <c r="G57" s="158" t="n">
        <v>0</v>
      </c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customFormat="false" ht="12.8" hidden="false" customHeight="false" outlineLevel="0" collapsed="false">
      <c r="A58" s="154" t="s">
        <v>110</v>
      </c>
      <c r="B58" s="155" t="n">
        <v>21705</v>
      </c>
      <c r="C58" s="58" t="s">
        <v>237</v>
      </c>
      <c r="D58" s="156" t="s">
        <v>238</v>
      </c>
      <c r="E58" s="57" t="n">
        <v>402433766</v>
      </c>
      <c r="F58" s="157" t="n">
        <v>407300605</v>
      </c>
      <c r="G58" s="158" t="n">
        <v>402433766</v>
      </c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customFormat="false" ht="12.8" hidden="false" customHeight="false" outlineLevel="0" collapsed="false">
      <c r="A59" s="154" t="s">
        <v>110</v>
      </c>
      <c r="B59" s="155" t="n">
        <v>21706</v>
      </c>
      <c r="C59" s="58" t="s">
        <v>239</v>
      </c>
      <c r="D59" s="156" t="s">
        <v>240</v>
      </c>
      <c r="E59" s="57" t="n">
        <v>95663390</v>
      </c>
      <c r="F59" s="157" t="n">
        <v>273068753</v>
      </c>
      <c r="G59" s="158" t="n">
        <v>95663390</v>
      </c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customFormat="false" ht="12.8" hidden="false" customHeight="false" outlineLevel="0" collapsed="false">
      <c r="A60" s="154" t="s">
        <v>112</v>
      </c>
      <c r="B60" s="155" t="n">
        <v>31101</v>
      </c>
      <c r="C60" s="58" t="s">
        <v>241</v>
      </c>
      <c r="D60" s="156" t="s">
        <v>242</v>
      </c>
      <c r="E60" s="57" t="n">
        <v>10500000000</v>
      </c>
      <c r="F60" s="157" t="n">
        <v>1979000000</v>
      </c>
      <c r="G60" s="158" t="n">
        <v>10500000000</v>
      </c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customFormat="false" ht="12.8" hidden="false" customHeight="false" outlineLevel="0" collapsed="false">
      <c r="A61" s="154" t="s">
        <v>113</v>
      </c>
      <c r="B61" s="155" t="n">
        <v>33201</v>
      </c>
      <c r="C61" s="58" t="s">
        <v>243</v>
      </c>
      <c r="D61" s="156" t="s">
        <v>244</v>
      </c>
      <c r="E61" s="57" t="n">
        <v>31480858157</v>
      </c>
      <c r="F61" s="157" t="n">
        <v>44021621016</v>
      </c>
      <c r="G61" s="158" t="n">
        <v>31480858157</v>
      </c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customFormat="false" ht="12.8" hidden="false" customHeight="false" outlineLevel="0" collapsed="false">
      <c r="A62" s="154" t="s">
        <v>114</v>
      </c>
      <c r="B62" s="155" t="n">
        <v>41101</v>
      </c>
      <c r="C62" s="58" t="s">
        <v>245</v>
      </c>
      <c r="D62" s="156" t="s">
        <v>246</v>
      </c>
      <c r="E62" s="57" t="n">
        <v>4390382740</v>
      </c>
      <c r="F62" s="157" t="n">
        <v>5036746760</v>
      </c>
      <c r="G62" s="158" t="n">
        <v>4390382740</v>
      </c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customFormat="false" ht="12.8" hidden="false" customHeight="false" outlineLevel="0" collapsed="false">
      <c r="A63" s="154" t="s">
        <v>114</v>
      </c>
      <c r="B63" s="155" t="n">
        <v>41102</v>
      </c>
      <c r="C63" s="58" t="s">
        <v>247</v>
      </c>
      <c r="D63" s="156" t="s">
        <v>248</v>
      </c>
      <c r="E63" s="57" t="n">
        <v>59146640207.6</v>
      </c>
      <c r="F63" s="157" t="n">
        <v>56344653614</v>
      </c>
      <c r="G63" s="158" t="n">
        <v>59146640207.6</v>
      </c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customFormat="false" ht="12.8" hidden="false" customHeight="false" outlineLevel="0" collapsed="false">
      <c r="A64" s="154" t="s">
        <v>114</v>
      </c>
      <c r="B64" s="155" t="n">
        <v>41103</v>
      </c>
      <c r="C64" s="58" t="s">
        <v>249</v>
      </c>
      <c r="D64" s="156" t="s">
        <v>250</v>
      </c>
      <c r="E64" s="57" t="n">
        <v>17703000000</v>
      </c>
      <c r="F64" s="157" t="n">
        <v>13653900000</v>
      </c>
      <c r="G64" s="158" t="n">
        <v>17703000000</v>
      </c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customFormat="false" ht="12.8" hidden="false" customHeight="false" outlineLevel="0" collapsed="false">
      <c r="A65" s="154" t="s">
        <v>114</v>
      </c>
      <c r="B65" s="155" t="n">
        <v>41104</v>
      </c>
      <c r="C65" s="58" t="s">
        <v>251</v>
      </c>
      <c r="D65" s="156" t="s">
        <v>252</v>
      </c>
      <c r="E65" s="57" t="n">
        <v>2193044276</v>
      </c>
      <c r="F65" s="157" t="n">
        <v>1922810000</v>
      </c>
      <c r="G65" s="158" t="n">
        <v>2193044276</v>
      </c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customFormat="false" ht="12.8" hidden="false" customHeight="false" outlineLevel="0" collapsed="false">
      <c r="A66" s="154" t="s">
        <v>114</v>
      </c>
      <c r="B66" s="155" t="n">
        <v>41105</v>
      </c>
      <c r="C66" s="58" t="s">
        <v>253</v>
      </c>
      <c r="D66" s="156" t="s">
        <v>254</v>
      </c>
      <c r="E66" s="57" t="n">
        <v>-15500000</v>
      </c>
      <c r="F66" s="157" t="n">
        <v>0</v>
      </c>
      <c r="G66" s="158" t="n">
        <v>-15500000</v>
      </c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customFormat="false" ht="12.8" hidden="false" customHeight="false" outlineLevel="0" collapsed="false">
      <c r="A67" s="154" t="s">
        <v>120</v>
      </c>
      <c r="B67" s="155" t="n">
        <v>51101</v>
      </c>
      <c r="C67" s="58" t="s">
        <v>255</v>
      </c>
      <c r="D67" s="156" t="s">
        <v>256</v>
      </c>
      <c r="E67" s="57" t="n">
        <v>333000000</v>
      </c>
      <c r="F67" s="157" t="n">
        <v>0</v>
      </c>
      <c r="G67" s="158" t="n">
        <v>333000000</v>
      </c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customFormat="false" ht="12.8" hidden="false" customHeight="false" outlineLevel="0" collapsed="false">
      <c r="A68" s="154" t="s">
        <v>120</v>
      </c>
      <c r="B68" s="155" t="n">
        <v>51102</v>
      </c>
      <c r="C68" s="58" t="s">
        <v>257</v>
      </c>
      <c r="D68" s="156" t="s">
        <v>258</v>
      </c>
      <c r="E68" s="57" t="n">
        <v>9896961464.77</v>
      </c>
      <c r="F68" s="157" t="n">
        <v>14529731625</v>
      </c>
      <c r="G68" s="158" t="n">
        <v>9896961464.77</v>
      </c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customFormat="false" ht="12.8" hidden="false" customHeight="false" outlineLevel="0" collapsed="false">
      <c r="A69" s="154" t="s">
        <v>120</v>
      </c>
      <c r="B69" s="155" t="n">
        <v>51103</v>
      </c>
      <c r="C69" s="58" t="s">
        <v>259</v>
      </c>
      <c r="D69" s="156" t="s">
        <v>260</v>
      </c>
      <c r="E69" s="57" t="n">
        <v>36720070736.49</v>
      </c>
      <c r="F69" s="157" t="n">
        <v>25861019914</v>
      </c>
      <c r="G69" s="158" t="n">
        <v>36720070736.49</v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customFormat="false" ht="12.8" hidden="false" customHeight="false" outlineLevel="0" collapsed="false">
      <c r="A70" s="154" t="s">
        <v>120</v>
      </c>
      <c r="B70" s="155" t="n">
        <v>51104</v>
      </c>
      <c r="C70" s="58" t="s">
        <v>261</v>
      </c>
      <c r="D70" s="156" t="s">
        <v>262</v>
      </c>
      <c r="E70" s="57" t="n">
        <v>14380360768.41</v>
      </c>
      <c r="F70" s="157" t="n">
        <v>9039965525</v>
      </c>
      <c r="G70" s="158" t="n">
        <v>14380360768.41</v>
      </c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customFormat="false" ht="12.8" hidden="false" customHeight="false" outlineLevel="0" collapsed="false">
      <c r="A71" s="154" t="s">
        <v>120</v>
      </c>
      <c r="B71" s="155" t="n">
        <v>51105</v>
      </c>
      <c r="C71" s="58" t="s">
        <v>263</v>
      </c>
      <c r="D71" s="156" t="s">
        <v>264</v>
      </c>
      <c r="E71" s="57" t="n">
        <v>3030023431</v>
      </c>
      <c r="F71" s="157" t="n">
        <v>4399727304</v>
      </c>
      <c r="G71" s="158" t="n">
        <v>3030023431</v>
      </c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customFormat="false" ht="12.8" hidden="false" customHeight="false" outlineLevel="0" collapsed="false">
      <c r="A72" s="154" t="s">
        <v>120</v>
      </c>
      <c r="B72" s="155" t="n">
        <v>51106</v>
      </c>
      <c r="C72" s="58" t="s">
        <v>265</v>
      </c>
      <c r="D72" s="156" t="s">
        <v>266</v>
      </c>
      <c r="E72" s="57" t="n">
        <v>19730200</v>
      </c>
      <c r="F72" s="157" t="n">
        <v>16000000</v>
      </c>
      <c r="G72" s="158" t="n">
        <v>19730200</v>
      </c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customFormat="false" ht="12.8" hidden="false" customHeight="false" outlineLevel="0" collapsed="false">
      <c r="A73" s="154" t="s">
        <v>120</v>
      </c>
      <c r="B73" s="155" t="n">
        <v>51107</v>
      </c>
      <c r="C73" s="58" t="s">
        <v>267</v>
      </c>
      <c r="D73" s="156" t="s">
        <v>268</v>
      </c>
      <c r="E73" s="57" t="n">
        <v>-333000000</v>
      </c>
      <c r="F73" s="157" t="n">
        <v>-333000000</v>
      </c>
      <c r="G73" s="158" t="n">
        <v>-333000000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customFormat="false" ht="12.8" hidden="false" customHeight="false" outlineLevel="0" collapsed="false">
      <c r="A74" s="154" t="s">
        <v>120</v>
      </c>
      <c r="B74" s="155" t="n">
        <v>51108</v>
      </c>
      <c r="C74" s="58" t="s">
        <v>269</v>
      </c>
      <c r="D74" s="156" t="s">
        <v>270</v>
      </c>
      <c r="E74" s="57" t="n">
        <v>-13896502773.83</v>
      </c>
      <c r="F74" s="157" t="n">
        <v>-9896961465</v>
      </c>
      <c r="G74" s="158" t="n">
        <v>-13896502773.83</v>
      </c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customFormat="false" ht="12.8" hidden="false" customHeight="false" outlineLevel="0" collapsed="false">
      <c r="A75" s="154" t="s">
        <v>120</v>
      </c>
      <c r="B75" s="155" t="n">
        <v>51109</v>
      </c>
      <c r="C75" s="58" t="s">
        <v>271</v>
      </c>
      <c r="D75" s="156" t="s">
        <v>272</v>
      </c>
      <c r="E75" s="57" t="n">
        <v>937044597.4</v>
      </c>
      <c r="F75" s="157" t="n">
        <v>631768627</v>
      </c>
      <c r="G75" s="158" t="n">
        <v>937044597.4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customFormat="false" ht="12.8" hidden="false" customHeight="false" outlineLevel="0" collapsed="false">
      <c r="A76" s="154" t="s">
        <v>120</v>
      </c>
      <c r="B76" s="155" t="n">
        <v>51110</v>
      </c>
      <c r="C76" s="58" t="s">
        <v>273</v>
      </c>
      <c r="D76" s="156" t="s">
        <v>274</v>
      </c>
      <c r="E76" s="57" t="n">
        <v>1952868</v>
      </c>
      <c r="F76" s="157" t="n">
        <v>1541928</v>
      </c>
      <c r="G76" s="158" t="n">
        <v>1952868</v>
      </c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customFormat="false" ht="12.8" hidden="false" customHeight="false" outlineLevel="0" collapsed="false">
      <c r="A77" s="154" t="s">
        <v>124</v>
      </c>
      <c r="B77" s="155" t="n">
        <v>53201</v>
      </c>
      <c r="C77" s="58" t="s">
        <v>275</v>
      </c>
      <c r="D77" s="156" t="s">
        <v>276</v>
      </c>
      <c r="E77" s="57" t="n">
        <v>673793251.86</v>
      </c>
      <c r="F77" s="157" t="n">
        <v>153020392</v>
      </c>
      <c r="G77" s="158" t="n">
        <v>673793251.86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customFormat="false" ht="12.8" hidden="false" customHeight="false" outlineLevel="0" collapsed="false">
      <c r="A78" s="154" t="s">
        <v>118</v>
      </c>
      <c r="B78" s="155" t="n">
        <v>42201</v>
      </c>
      <c r="C78" s="58" t="s">
        <v>277</v>
      </c>
      <c r="D78" s="156" t="s">
        <v>278</v>
      </c>
      <c r="E78" s="57" t="n">
        <v>-61347100.65</v>
      </c>
      <c r="F78" s="157" t="n">
        <v>-92147024</v>
      </c>
      <c r="G78" s="158" t="n">
        <v>-61347100.65</v>
      </c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customFormat="false" ht="12.8" hidden="false" customHeight="false" outlineLevel="0" collapsed="false">
      <c r="A79" s="154" t="s">
        <v>118</v>
      </c>
      <c r="B79" s="155" t="n">
        <v>42202</v>
      </c>
      <c r="C79" s="58" t="s">
        <v>279</v>
      </c>
      <c r="D79" s="156" t="s">
        <v>280</v>
      </c>
      <c r="E79" s="57" t="n">
        <v>10089.16</v>
      </c>
      <c r="F79" s="157" t="n">
        <v>139</v>
      </c>
      <c r="G79" s="158" t="n">
        <v>10089.16</v>
      </c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customFormat="false" ht="12.8" hidden="false" customHeight="false" outlineLevel="0" collapsed="false">
      <c r="A80" s="154" t="s">
        <v>117</v>
      </c>
      <c r="B80" s="155" t="n">
        <v>42101</v>
      </c>
      <c r="C80" s="58" t="s">
        <v>281</v>
      </c>
      <c r="D80" s="156" t="s">
        <v>282</v>
      </c>
      <c r="E80" s="57" t="n">
        <v>549481484.31</v>
      </c>
      <c r="F80" s="157" t="n">
        <v>581094191</v>
      </c>
      <c r="G80" s="158" t="n">
        <v>549481484.31</v>
      </c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customFormat="false" ht="12.8" hidden="false" customHeight="false" outlineLevel="0" collapsed="false">
      <c r="A81" s="154" t="s">
        <v>118</v>
      </c>
      <c r="B81" s="155" t="n">
        <v>42203</v>
      </c>
      <c r="C81" s="58" t="s">
        <v>283</v>
      </c>
      <c r="D81" s="156" t="s">
        <v>284</v>
      </c>
      <c r="E81" s="57" t="n">
        <v>-109896301.26</v>
      </c>
      <c r="F81" s="157" t="n">
        <v>-116219023</v>
      </c>
      <c r="G81" s="158" t="n">
        <v>-109896301.26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customFormat="false" ht="12.8" hidden="false" customHeight="false" outlineLevel="0" collapsed="false">
      <c r="A82" s="154" t="s">
        <v>118</v>
      </c>
      <c r="B82" s="155" t="n">
        <v>42204</v>
      </c>
      <c r="C82" s="58" t="s">
        <v>285</v>
      </c>
      <c r="D82" s="156" t="s">
        <v>286</v>
      </c>
      <c r="E82" s="57" t="n">
        <v>0</v>
      </c>
      <c r="F82" s="157" t="n">
        <v>25776000</v>
      </c>
      <c r="G82" s="158" t="n">
        <v>0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customFormat="false" ht="12.8" hidden="false" customHeight="false" outlineLevel="0" collapsed="false">
      <c r="A83" s="154" t="s">
        <v>121</v>
      </c>
      <c r="B83" s="155" t="n">
        <v>52101</v>
      </c>
      <c r="C83" s="58" t="s">
        <v>287</v>
      </c>
      <c r="D83" s="156" t="s">
        <v>288</v>
      </c>
      <c r="E83" s="57" t="n">
        <v>0</v>
      </c>
      <c r="F83" s="157" t="n">
        <v>-145782228</v>
      </c>
      <c r="G83" s="158" t="n">
        <v>0</v>
      </c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customFormat="false" ht="12.8" hidden="false" customHeight="false" outlineLevel="0" collapsed="false">
      <c r="A84" s="154" t="s">
        <v>122</v>
      </c>
      <c r="B84" s="155" t="n">
        <v>52201</v>
      </c>
      <c r="C84" s="58" t="s">
        <v>289</v>
      </c>
      <c r="D84" s="156" t="s">
        <v>290</v>
      </c>
      <c r="E84" s="57" t="n">
        <v>150000000</v>
      </c>
      <c r="F84" s="157" t="n">
        <v>150000000</v>
      </c>
      <c r="G84" s="158" t="n">
        <v>150000000</v>
      </c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customFormat="false" ht="12.8" hidden="false" customHeight="false" outlineLevel="0" collapsed="false">
      <c r="A85" s="154" t="s">
        <v>122</v>
      </c>
      <c r="B85" s="155" t="n">
        <v>52202</v>
      </c>
      <c r="C85" s="58" t="s">
        <v>291</v>
      </c>
      <c r="D85" s="156" t="s">
        <v>292</v>
      </c>
      <c r="E85" s="57" t="n">
        <v>50500000</v>
      </c>
      <c r="F85" s="157" t="n">
        <v>49500000</v>
      </c>
      <c r="G85" s="158" t="n">
        <v>50500000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customFormat="false" ht="12.8" hidden="false" customHeight="false" outlineLevel="0" collapsed="false">
      <c r="A86" s="154" t="s">
        <v>122</v>
      </c>
      <c r="B86" s="155" t="n">
        <v>52203</v>
      </c>
      <c r="C86" s="58" t="s">
        <v>293</v>
      </c>
      <c r="D86" s="156" t="s">
        <v>294</v>
      </c>
      <c r="E86" s="57" t="n">
        <v>23508742.49</v>
      </c>
      <c r="F86" s="157" t="n">
        <v>25402682</v>
      </c>
      <c r="G86" s="158" t="n">
        <v>23508742.49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customFormat="false" ht="12.8" hidden="false" customHeight="false" outlineLevel="0" collapsed="false">
      <c r="A87" s="154" t="s">
        <v>121</v>
      </c>
      <c r="B87" s="155" t="n">
        <v>52102</v>
      </c>
      <c r="C87" s="58" t="s">
        <v>295</v>
      </c>
      <c r="D87" s="156" t="s">
        <v>296</v>
      </c>
      <c r="E87" s="57" t="n">
        <v>329077573</v>
      </c>
      <c r="F87" s="157" t="n">
        <v>328688540</v>
      </c>
      <c r="G87" s="158" t="n">
        <v>329077573</v>
      </c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customFormat="false" ht="12.8" hidden="false" customHeight="false" outlineLevel="0" collapsed="false">
      <c r="A88" s="154" t="s">
        <v>122</v>
      </c>
      <c r="B88" s="155" t="n">
        <v>52204</v>
      </c>
      <c r="C88" s="58" t="s">
        <v>297</v>
      </c>
      <c r="D88" s="156" t="s">
        <v>298</v>
      </c>
      <c r="E88" s="57" t="n">
        <v>6656691.9</v>
      </c>
      <c r="F88" s="157" t="n">
        <v>7947122</v>
      </c>
      <c r="G88" s="158" t="n">
        <v>6656691.9</v>
      </c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customFormat="false" ht="12.8" hidden="false" customHeight="false" outlineLevel="0" collapsed="false">
      <c r="A89" s="154" t="s">
        <v>122</v>
      </c>
      <c r="B89" s="155" t="n">
        <v>52205</v>
      </c>
      <c r="C89" s="58" t="s">
        <v>299</v>
      </c>
      <c r="D89" s="156" t="s">
        <v>300</v>
      </c>
      <c r="E89" s="57" t="n">
        <v>50550920</v>
      </c>
      <c r="F89" s="157" t="n">
        <v>62099993</v>
      </c>
      <c r="G89" s="158" t="n">
        <v>50550920</v>
      </c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customFormat="false" ht="12.8" hidden="false" customHeight="false" outlineLevel="0" collapsed="false">
      <c r="A90" s="154" t="s">
        <v>122</v>
      </c>
      <c r="B90" s="155" t="n">
        <v>52206</v>
      </c>
      <c r="C90" s="58" t="s">
        <v>301</v>
      </c>
      <c r="D90" s="156" t="s">
        <v>302</v>
      </c>
      <c r="E90" s="57" t="n">
        <v>55291218</v>
      </c>
      <c r="F90" s="157" t="n">
        <v>56788616</v>
      </c>
      <c r="G90" s="158" t="n">
        <v>55291218</v>
      </c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customFormat="false" ht="12.8" hidden="false" customHeight="false" outlineLevel="0" collapsed="false">
      <c r="A91" s="154" t="s">
        <v>122</v>
      </c>
      <c r="B91" s="155" t="n">
        <v>52207</v>
      </c>
      <c r="C91" s="58" t="s">
        <v>303</v>
      </c>
      <c r="D91" s="156" t="s">
        <v>304</v>
      </c>
      <c r="E91" s="57" t="n">
        <v>28368600</v>
      </c>
      <c r="F91" s="157" t="n">
        <v>35685325</v>
      </c>
      <c r="G91" s="158" t="n">
        <v>28368600</v>
      </c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customFormat="false" ht="12.8" hidden="false" customHeight="false" outlineLevel="0" collapsed="false">
      <c r="A92" s="154" t="s">
        <v>121</v>
      </c>
      <c r="B92" s="155" t="n">
        <v>52103</v>
      </c>
      <c r="C92" s="58" t="s">
        <v>305</v>
      </c>
      <c r="D92" s="156" t="s">
        <v>306</v>
      </c>
      <c r="E92" s="57" t="n">
        <v>2861548056</v>
      </c>
      <c r="F92" s="157" t="n">
        <v>2800971568</v>
      </c>
      <c r="G92" s="158" t="n">
        <v>2861548056</v>
      </c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customFormat="false" ht="12.8" hidden="false" customHeight="false" outlineLevel="0" collapsed="false">
      <c r="A93" s="154" t="s">
        <v>122</v>
      </c>
      <c r="B93" s="155" t="n">
        <v>52208</v>
      </c>
      <c r="C93" s="58" t="s">
        <v>307</v>
      </c>
      <c r="D93" s="156" t="s">
        <v>308</v>
      </c>
      <c r="E93" s="57" t="n">
        <v>15985371</v>
      </c>
      <c r="F93" s="157" t="n">
        <v>28127628</v>
      </c>
      <c r="G93" s="158" t="n">
        <v>15985371</v>
      </c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customFormat="false" ht="12.8" hidden="false" customHeight="false" outlineLevel="0" collapsed="false">
      <c r="A94" s="154" t="s">
        <v>122</v>
      </c>
      <c r="B94" s="155" t="n">
        <v>52209</v>
      </c>
      <c r="C94" s="58" t="s">
        <v>309</v>
      </c>
      <c r="D94" s="156" t="s">
        <v>310</v>
      </c>
      <c r="E94" s="57" t="n">
        <v>27284847</v>
      </c>
      <c r="F94" s="157" t="n">
        <v>87840786</v>
      </c>
      <c r="G94" s="158" t="n">
        <v>27284847</v>
      </c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customFormat="false" ht="12.8" hidden="false" customHeight="false" outlineLevel="0" collapsed="false">
      <c r="A95" s="154" t="s">
        <v>122</v>
      </c>
      <c r="B95" s="155" t="n">
        <v>52210</v>
      </c>
      <c r="C95" s="58" t="s">
        <v>311</v>
      </c>
      <c r="D95" s="156" t="s">
        <v>312</v>
      </c>
      <c r="E95" s="57" t="n">
        <v>9436500</v>
      </c>
      <c r="F95" s="157" t="n">
        <v>6078920</v>
      </c>
      <c r="G95" s="158" t="n">
        <v>9436500</v>
      </c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customFormat="false" ht="12.8" hidden="false" customHeight="false" outlineLevel="0" collapsed="false">
      <c r="A96" s="154" t="s">
        <v>122</v>
      </c>
      <c r="B96" s="155" t="n">
        <v>52211</v>
      </c>
      <c r="C96" s="58" t="s">
        <v>313</v>
      </c>
      <c r="D96" s="156" t="s">
        <v>314</v>
      </c>
      <c r="E96" s="57" t="n">
        <v>4441258</v>
      </c>
      <c r="F96" s="157" t="n">
        <v>6287261</v>
      </c>
      <c r="G96" s="158" t="n">
        <v>4441258</v>
      </c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customFormat="false" ht="12.8" hidden="false" customHeight="false" outlineLevel="0" collapsed="false">
      <c r="A97" s="154" t="s">
        <v>122</v>
      </c>
      <c r="B97" s="155" t="n">
        <v>52212</v>
      </c>
      <c r="C97" s="58" t="s">
        <v>315</v>
      </c>
      <c r="D97" s="156" t="s">
        <v>316</v>
      </c>
      <c r="E97" s="57" t="n">
        <v>60023721</v>
      </c>
      <c r="F97" s="157" t="n">
        <v>61216581</v>
      </c>
      <c r="G97" s="158" t="n">
        <v>60023721</v>
      </c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customFormat="false" ht="12.8" hidden="false" customHeight="false" outlineLevel="0" collapsed="false">
      <c r="A98" s="154" t="s">
        <v>122</v>
      </c>
      <c r="B98" s="155" t="n">
        <v>52213</v>
      </c>
      <c r="C98" s="58" t="s">
        <v>317</v>
      </c>
      <c r="D98" s="156" t="s">
        <v>318</v>
      </c>
      <c r="E98" s="57" t="n">
        <v>70050000</v>
      </c>
      <c r="F98" s="157" t="n">
        <v>0</v>
      </c>
      <c r="G98" s="158" t="n">
        <v>70050000</v>
      </c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customFormat="false" ht="12.8" hidden="false" customHeight="false" outlineLevel="0" collapsed="false">
      <c r="A99" s="154" t="s">
        <v>122</v>
      </c>
      <c r="B99" s="155" t="n">
        <v>52214</v>
      </c>
      <c r="C99" s="58" t="s">
        <v>319</v>
      </c>
      <c r="D99" s="156" t="s">
        <v>320</v>
      </c>
      <c r="E99" s="57" t="n">
        <v>40093643</v>
      </c>
      <c r="F99" s="157" t="n">
        <v>31675629</v>
      </c>
      <c r="G99" s="158" t="n">
        <v>40093643</v>
      </c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customFormat="false" ht="12.8" hidden="false" customHeight="false" outlineLevel="0" collapsed="false">
      <c r="A100" s="154" t="s">
        <v>122</v>
      </c>
      <c r="B100" s="155" t="n">
        <v>52215</v>
      </c>
      <c r="C100" s="58" t="s">
        <v>321</v>
      </c>
      <c r="D100" s="156" t="s">
        <v>322</v>
      </c>
      <c r="E100" s="57" t="n">
        <v>60509240</v>
      </c>
      <c r="F100" s="157" t="n">
        <v>57633325</v>
      </c>
      <c r="G100" s="158" t="n">
        <v>60509240</v>
      </c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customFormat="false" ht="12.8" hidden="false" customHeight="false" outlineLevel="0" collapsed="false">
      <c r="A101" s="154" t="s">
        <v>122</v>
      </c>
      <c r="B101" s="155" t="n">
        <v>52216</v>
      </c>
      <c r="C101" s="58" t="s">
        <v>323</v>
      </c>
      <c r="D101" s="156" t="s">
        <v>324</v>
      </c>
      <c r="E101" s="57" t="n">
        <v>7459630</v>
      </c>
      <c r="F101" s="157" t="n">
        <v>16245768</v>
      </c>
      <c r="G101" s="158" t="n">
        <v>7459630</v>
      </c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customFormat="false" ht="12.8" hidden="false" customHeight="false" outlineLevel="0" collapsed="false">
      <c r="A102" s="154" t="s">
        <v>122</v>
      </c>
      <c r="B102" s="155" t="n">
        <v>52217</v>
      </c>
      <c r="C102" s="58" t="s">
        <v>325</v>
      </c>
      <c r="D102" s="156" t="s">
        <v>326</v>
      </c>
      <c r="E102" s="57" t="n">
        <v>5200539</v>
      </c>
      <c r="F102" s="157" t="n">
        <v>5304412</v>
      </c>
      <c r="G102" s="158" t="n">
        <v>5200539</v>
      </c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customFormat="false" ht="12.8" hidden="false" customHeight="false" outlineLevel="0" collapsed="false">
      <c r="A103" s="154" t="s">
        <v>122</v>
      </c>
      <c r="B103" s="155" t="n">
        <v>52218</v>
      </c>
      <c r="C103" s="58" t="s">
        <v>327</v>
      </c>
      <c r="D103" s="156" t="s">
        <v>328</v>
      </c>
      <c r="E103" s="57" t="n">
        <v>26938629</v>
      </c>
      <c r="F103" s="157" t="n">
        <v>26977331</v>
      </c>
      <c r="G103" s="158" t="n">
        <v>26938629</v>
      </c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customFormat="false" ht="12.8" hidden="false" customHeight="false" outlineLevel="0" collapsed="false">
      <c r="A104" s="154" t="s">
        <v>122</v>
      </c>
      <c r="B104" s="155" t="n">
        <v>52219</v>
      </c>
      <c r="C104" s="58" t="s">
        <v>329</v>
      </c>
      <c r="D104" s="156" t="s">
        <v>330</v>
      </c>
      <c r="E104" s="57" t="n">
        <v>0</v>
      </c>
      <c r="F104" s="157" t="n">
        <v>30482000</v>
      </c>
      <c r="G104" s="158" t="n">
        <v>0</v>
      </c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customFormat="false" ht="12.8" hidden="false" customHeight="false" outlineLevel="0" collapsed="false">
      <c r="A105" s="154" t="s">
        <v>122</v>
      </c>
      <c r="B105" s="155" t="n">
        <v>52220</v>
      </c>
      <c r="C105" s="58" t="s">
        <v>331</v>
      </c>
      <c r="D105" s="156" t="s">
        <v>332</v>
      </c>
      <c r="E105" s="57" t="n">
        <v>63000000</v>
      </c>
      <c r="F105" s="157" t="n">
        <v>10000000</v>
      </c>
      <c r="G105" s="158" t="n">
        <v>63000000</v>
      </c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customFormat="false" ht="12.8" hidden="false" customHeight="false" outlineLevel="0" collapsed="false">
      <c r="A106" s="154" t="s">
        <v>122</v>
      </c>
      <c r="B106" s="155" t="n">
        <v>52221</v>
      </c>
      <c r="C106" s="58" t="s">
        <v>333</v>
      </c>
      <c r="D106" s="156" t="s">
        <v>334</v>
      </c>
      <c r="E106" s="57" t="n">
        <v>2200000</v>
      </c>
      <c r="F106" s="157" t="n">
        <v>10900000</v>
      </c>
      <c r="G106" s="158" t="n">
        <v>2200000</v>
      </c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customFormat="false" ht="12.8" hidden="false" customHeight="false" outlineLevel="0" collapsed="false">
      <c r="A107" s="154" t="s">
        <v>123</v>
      </c>
      <c r="B107" s="155" t="n">
        <v>52301</v>
      </c>
      <c r="C107" s="58" t="s">
        <v>335</v>
      </c>
      <c r="D107" s="156" t="s">
        <v>336</v>
      </c>
      <c r="E107" s="57" t="n">
        <v>471376668</v>
      </c>
      <c r="F107" s="157" t="n">
        <v>471376668</v>
      </c>
      <c r="G107" s="158" t="n">
        <v>471376668</v>
      </c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customFormat="false" ht="12.8" hidden="false" customHeight="false" outlineLevel="0" collapsed="false">
      <c r="A108" s="154" t="s">
        <v>123</v>
      </c>
      <c r="B108" s="155" t="n">
        <v>52302</v>
      </c>
      <c r="C108" s="58" t="s">
        <v>337</v>
      </c>
      <c r="D108" s="156" t="s">
        <v>338</v>
      </c>
      <c r="E108" s="57" t="n">
        <v>23626808</v>
      </c>
      <c r="F108" s="157" t="n">
        <v>25738621</v>
      </c>
      <c r="G108" s="158" t="n">
        <v>23626808</v>
      </c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customFormat="false" ht="12.8" hidden="false" customHeight="false" outlineLevel="0" collapsed="false">
      <c r="A109" s="154" t="s">
        <v>123</v>
      </c>
      <c r="B109" s="155" t="n">
        <v>52303</v>
      </c>
      <c r="C109" s="58" t="s">
        <v>339</v>
      </c>
      <c r="D109" s="156" t="s">
        <v>340</v>
      </c>
      <c r="E109" s="57" t="n">
        <v>375000</v>
      </c>
      <c r="F109" s="157" t="n">
        <v>4722232</v>
      </c>
      <c r="G109" s="158" t="n">
        <v>375000</v>
      </c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customFormat="false" ht="12.8" hidden="false" customHeight="false" outlineLevel="0" collapsed="false">
      <c r="A110" s="154" t="s">
        <v>122</v>
      </c>
      <c r="B110" s="155" t="n">
        <v>52222</v>
      </c>
      <c r="C110" s="58" t="s">
        <v>341</v>
      </c>
      <c r="D110" s="156" t="s">
        <v>342</v>
      </c>
      <c r="E110" s="57" t="n">
        <v>15056808</v>
      </c>
      <c r="F110" s="157" t="n">
        <v>15056808</v>
      </c>
      <c r="G110" s="158" t="n">
        <v>15056808</v>
      </c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customFormat="false" ht="12.8" hidden="false" customHeight="false" outlineLevel="0" collapsed="false">
      <c r="A111" s="154" t="s">
        <v>122</v>
      </c>
      <c r="B111" s="155" t="n">
        <v>52223</v>
      </c>
      <c r="C111" s="58" t="s">
        <v>343</v>
      </c>
      <c r="D111" s="156" t="s">
        <v>344</v>
      </c>
      <c r="E111" s="57" t="n">
        <v>3278309</v>
      </c>
      <c r="F111" s="157" t="n">
        <v>3260006</v>
      </c>
      <c r="G111" s="158" t="n">
        <v>3278309</v>
      </c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customFormat="false" ht="12.8" hidden="false" customHeight="false" outlineLevel="0" collapsed="false">
      <c r="A112" s="154" t="s">
        <v>122</v>
      </c>
      <c r="B112" s="155" t="n">
        <v>52224</v>
      </c>
      <c r="C112" s="58" t="s">
        <v>345</v>
      </c>
      <c r="D112" s="156" t="s">
        <v>346</v>
      </c>
      <c r="E112" s="57" t="n">
        <v>4703400</v>
      </c>
      <c r="F112" s="157" t="n">
        <v>20162680</v>
      </c>
      <c r="G112" s="158" t="n">
        <v>4703400</v>
      </c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customFormat="false" ht="12.8" hidden="false" customHeight="false" outlineLevel="0" collapsed="false">
      <c r="A113" s="154" t="s">
        <v>122</v>
      </c>
      <c r="B113" s="155" t="n">
        <v>52225</v>
      </c>
      <c r="C113" s="58" t="s">
        <v>347</v>
      </c>
      <c r="D113" s="156" t="s">
        <v>348</v>
      </c>
      <c r="E113" s="57" t="n">
        <v>7200000</v>
      </c>
      <c r="F113" s="157" t="n">
        <v>5880000</v>
      </c>
      <c r="G113" s="158" t="n">
        <v>7200000</v>
      </c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customFormat="false" ht="12.8" hidden="false" customHeight="false" outlineLevel="0" collapsed="false">
      <c r="A114" s="154" t="s">
        <v>121</v>
      </c>
      <c r="B114" s="155" t="n">
        <v>52104</v>
      </c>
      <c r="C114" s="58" t="s">
        <v>349</v>
      </c>
      <c r="D114" s="156" t="s">
        <v>350</v>
      </c>
      <c r="E114" s="57" t="n">
        <v>228229222</v>
      </c>
      <c r="F114" s="157" t="n">
        <v>0</v>
      </c>
      <c r="G114" s="158" t="n">
        <v>228229222</v>
      </c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customFormat="false" ht="12.8" hidden="false" customHeight="false" outlineLevel="0" collapsed="false">
      <c r="A115" s="154" t="s">
        <v>122</v>
      </c>
      <c r="B115" s="155" t="n">
        <v>52226</v>
      </c>
      <c r="C115" s="58" t="s">
        <v>351</v>
      </c>
      <c r="D115" s="156" t="s">
        <v>352</v>
      </c>
      <c r="E115" s="57" t="n">
        <v>722173315</v>
      </c>
      <c r="F115" s="157" t="n">
        <v>736810587</v>
      </c>
      <c r="G115" s="158" t="n">
        <v>722173315</v>
      </c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customFormat="false" ht="12.8" hidden="false" customHeight="false" outlineLevel="0" collapsed="false">
      <c r="A116" s="154" t="s">
        <v>122</v>
      </c>
      <c r="B116" s="155" t="n">
        <v>52227</v>
      </c>
      <c r="C116" s="58" t="s">
        <v>353</v>
      </c>
      <c r="D116" s="156" t="s">
        <v>354</v>
      </c>
      <c r="E116" s="57" t="n">
        <v>1348372569</v>
      </c>
      <c r="F116" s="157" t="n">
        <v>1148057537</v>
      </c>
      <c r="G116" s="158" t="n">
        <v>1348372569</v>
      </c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customFormat="false" ht="12.8" hidden="false" customHeight="false" outlineLevel="0" collapsed="false">
      <c r="A117" s="154" t="s">
        <v>122</v>
      </c>
      <c r="B117" s="155" t="n">
        <v>52228</v>
      </c>
      <c r="C117" s="58" t="s">
        <v>355</v>
      </c>
      <c r="D117" s="156" t="s">
        <v>356</v>
      </c>
      <c r="E117" s="57" t="n">
        <v>458372405</v>
      </c>
      <c r="F117" s="157" t="n">
        <v>610811589</v>
      </c>
      <c r="G117" s="158" t="n">
        <v>458372405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customFormat="false" ht="12.8" hidden="false" customHeight="false" outlineLevel="0" collapsed="false">
      <c r="A118" s="154" t="s">
        <v>124</v>
      </c>
      <c r="B118" s="155" t="n">
        <v>53202</v>
      </c>
      <c r="C118" s="58" t="s">
        <v>357</v>
      </c>
      <c r="D118" s="156" t="s">
        <v>358</v>
      </c>
      <c r="E118" s="57" t="n">
        <v>4488341</v>
      </c>
      <c r="F118" s="157" t="n">
        <v>323047559</v>
      </c>
      <c r="G118" s="158" t="n">
        <v>4488341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customFormat="false" ht="12.8" hidden="false" customHeight="false" outlineLevel="0" collapsed="false">
      <c r="A119" s="154" t="s">
        <v>125</v>
      </c>
      <c r="B119" s="155" t="n">
        <v>54101</v>
      </c>
      <c r="C119" s="58" t="s">
        <v>359</v>
      </c>
      <c r="D119" s="156" t="s">
        <v>360</v>
      </c>
      <c r="E119" s="57" t="n">
        <v>5442533360</v>
      </c>
      <c r="F119" s="157" t="n">
        <v>5642524800</v>
      </c>
      <c r="G119" s="158" t="n">
        <v>5442533360</v>
      </c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customFormat="false" ht="12.8" hidden="false" customHeight="false" outlineLevel="0" collapsed="false">
      <c r="A120" s="154" t="s">
        <v>124</v>
      </c>
      <c r="B120" s="155" t="n">
        <v>53203</v>
      </c>
      <c r="C120" s="58" t="s">
        <v>361</v>
      </c>
      <c r="D120" s="156" t="s">
        <v>362</v>
      </c>
      <c r="E120" s="57" t="n">
        <v>1143226407</v>
      </c>
      <c r="F120" s="157" t="n">
        <v>1143226407</v>
      </c>
      <c r="G120" s="158" t="n">
        <v>1143226407</v>
      </c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customFormat="false" ht="12.8" hidden="false" customHeight="false" outlineLevel="0" collapsed="false">
      <c r="A121" s="154" t="s">
        <v>124</v>
      </c>
      <c r="B121" s="155" t="n">
        <v>53204</v>
      </c>
      <c r="C121" s="58" t="s">
        <v>363</v>
      </c>
      <c r="D121" s="156" t="s">
        <v>364</v>
      </c>
      <c r="E121" s="57" t="n">
        <v>1593816913</v>
      </c>
      <c r="F121" s="157" t="n">
        <v>1593816913</v>
      </c>
      <c r="G121" s="158" t="n">
        <v>1593816913</v>
      </c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customFormat="false" ht="12.8" hidden="false" customHeight="false" outlineLevel="0" collapsed="false">
      <c r="A122" s="154" t="s">
        <v>124</v>
      </c>
      <c r="B122" s="155" t="n">
        <v>53205</v>
      </c>
      <c r="C122" s="58" t="s">
        <v>365</v>
      </c>
      <c r="D122" s="156" t="s">
        <v>366</v>
      </c>
      <c r="E122" s="57" t="n">
        <v>0</v>
      </c>
      <c r="F122" s="157" t="n">
        <v>0</v>
      </c>
      <c r="G122" s="158" t="n">
        <v>0</v>
      </c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customFormat="false" ht="12.8" hidden="false" customHeight="false" outlineLevel="0" collapsed="false">
      <c r="A123" s="154" t="s">
        <v>124</v>
      </c>
      <c r="B123" s="155" t="n">
        <v>53206</v>
      </c>
      <c r="C123" s="58" t="s">
        <v>367</v>
      </c>
      <c r="D123" s="156" t="s">
        <v>368</v>
      </c>
      <c r="E123" s="57" t="n">
        <v>0</v>
      </c>
      <c r="F123" s="157" t="n">
        <v>0</v>
      </c>
      <c r="G123" s="158" t="n">
        <v>0</v>
      </c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customFormat="false" ht="12.8" hidden="false" customHeight="false" outlineLevel="0" collapsed="false">
      <c r="A124" s="154" t="s">
        <v>123</v>
      </c>
      <c r="B124" s="155" t="n">
        <v>52304</v>
      </c>
      <c r="C124" s="58" t="s">
        <v>369</v>
      </c>
      <c r="D124" s="156" t="s">
        <v>370</v>
      </c>
      <c r="E124" s="57" t="n">
        <v>0</v>
      </c>
      <c r="F124" s="157" t="n">
        <v>0</v>
      </c>
      <c r="G124" s="158" t="n">
        <v>0</v>
      </c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customFormat="false" ht="12.8" hidden="false" customHeight="false" outlineLevel="0" collapsed="false">
      <c r="A125" s="154" t="s">
        <v>122</v>
      </c>
      <c r="B125" s="155" t="n">
        <v>52229</v>
      </c>
      <c r="C125" s="58" t="s">
        <v>371</v>
      </c>
      <c r="D125" s="156" t="s">
        <v>372</v>
      </c>
      <c r="E125" s="57" t="n">
        <v>0</v>
      </c>
      <c r="F125" s="157" t="n">
        <v>0</v>
      </c>
      <c r="G125" s="158" t="n">
        <v>0</v>
      </c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customFormat="false" ht="12.8" hidden="false" customHeight="false" outlineLevel="0" collapsed="false">
      <c r="A126" s="154" t="s">
        <v>118</v>
      </c>
      <c r="B126" s="155" t="n">
        <v>42205</v>
      </c>
      <c r="C126" s="58" t="s">
        <v>373</v>
      </c>
      <c r="D126" s="156" t="s">
        <v>374</v>
      </c>
      <c r="E126" s="57" t="n">
        <v>0</v>
      </c>
      <c r="F126" s="157" t="n">
        <v>0</v>
      </c>
      <c r="G126" s="158" t="n">
        <v>0</v>
      </c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customFormat="false" ht="12.8" hidden="false" customHeight="false" outlineLevel="0" collapsed="false">
      <c r="A127" s="154" t="s">
        <v>118</v>
      </c>
      <c r="B127" s="155" t="n">
        <v>42206</v>
      </c>
      <c r="C127" s="58" t="s">
        <v>375</v>
      </c>
      <c r="D127" s="156" t="s">
        <v>376</v>
      </c>
      <c r="E127" s="57" t="n">
        <v>0</v>
      </c>
      <c r="F127" s="157" t="n">
        <v>0</v>
      </c>
      <c r="G127" s="158" t="n">
        <v>0</v>
      </c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customFormat="false" ht="12.8" hidden="false" customHeight="false" outlineLevel="0" collapsed="false">
      <c r="A128" s="154" t="s">
        <v>122</v>
      </c>
      <c r="B128" s="155" t="n">
        <v>52230</v>
      </c>
      <c r="C128" s="58" t="s">
        <v>377</v>
      </c>
      <c r="D128" s="156" t="s">
        <v>378</v>
      </c>
      <c r="E128" s="57" t="n">
        <v>558931077</v>
      </c>
      <c r="F128" s="157" t="n">
        <v>0</v>
      </c>
      <c r="G128" s="158" t="n">
        <v>558931077</v>
      </c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customFormat="false" ht="12.8" hidden="false" customHeight="false" outlineLevel="0" collapsed="false">
      <c r="A129" s="154"/>
      <c r="B129" s="155"/>
      <c r="C129" s="58"/>
      <c r="D129" s="156"/>
      <c r="E129" s="57"/>
      <c r="F129" s="157"/>
      <c r="G129" s="158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customFormat="false" ht="12.8" hidden="false" customHeight="false" outlineLevel="0" collapsed="false">
      <c r="A130" s="154"/>
      <c r="B130" s="155"/>
      <c r="C130" s="58"/>
      <c r="D130" s="156"/>
      <c r="E130" s="57"/>
      <c r="F130" s="157"/>
      <c r="G130" s="158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customFormat="false" ht="12.8" hidden="false" customHeight="false" outlineLevel="0" collapsed="false">
      <c r="A131" s="154"/>
      <c r="B131" s="155"/>
      <c r="C131" s="58"/>
      <c r="D131" s="156"/>
      <c r="E131" s="57"/>
      <c r="F131" s="157"/>
      <c r="G131" s="158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customFormat="false" ht="12.8" hidden="false" customHeight="false" outlineLevel="0" collapsed="false">
      <c r="A132" s="154"/>
      <c r="B132" s="155"/>
      <c r="C132" s="58"/>
      <c r="D132" s="156"/>
      <c r="E132" s="57"/>
      <c r="F132" s="157"/>
      <c r="G132" s="158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customFormat="false" ht="12.8" hidden="false" customHeight="false" outlineLevel="0" collapsed="false">
      <c r="A133" s="154"/>
      <c r="B133" s="155"/>
      <c r="C133" s="58"/>
      <c r="D133" s="156"/>
      <c r="E133" s="57"/>
      <c r="F133" s="157"/>
      <c r="G133" s="158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customFormat="false" ht="12.8" hidden="false" customHeight="false" outlineLevel="0" collapsed="false">
      <c r="A134" s="154"/>
      <c r="B134" s="155"/>
      <c r="C134" s="58"/>
      <c r="D134" s="156"/>
      <c r="E134" s="57"/>
      <c r="F134" s="157"/>
      <c r="G134" s="158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customFormat="false" ht="12.8" hidden="false" customHeight="false" outlineLevel="0" collapsed="false">
      <c r="A135" s="154"/>
      <c r="B135" s="155"/>
      <c r="C135" s="58"/>
      <c r="D135" s="156"/>
      <c r="E135" s="57"/>
      <c r="F135" s="157"/>
      <c r="G135" s="158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customFormat="false" ht="12.8" hidden="false" customHeight="false" outlineLevel="0" collapsed="false">
      <c r="A136" s="154"/>
      <c r="B136" s="155"/>
      <c r="C136" s="58"/>
      <c r="D136" s="156"/>
      <c r="E136" s="57"/>
      <c r="F136" s="157"/>
      <c r="G136" s="158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customFormat="false" ht="12.8" hidden="false" customHeight="false" outlineLevel="0" collapsed="false">
      <c r="A137" s="154"/>
      <c r="B137" s="155"/>
      <c r="C137" s="58"/>
      <c r="D137" s="156"/>
      <c r="E137" s="57"/>
      <c r="F137" s="157"/>
      <c r="G137" s="158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customFormat="false" ht="12.8" hidden="false" customHeight="false" outlineLevel="0" collapsed="false">
      <c r="A138" s="154"/>
      <c r="B138" s="155"/>
      <c r="C138" s="58"/>
      <c r="D138" s="156"/>
      <c r="E138" s="57"/>
      <c r="F138" s="157"/>
      <c r="G138" s="158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customFormat="false" ht="12.8" hidden="false" customHeight="false" outlineLevel="0" collapsed="false">
      <c r="A139" s="154"/>
      <c r="B139" s="155"/>
      <c r="C139" s="58"/>
      <c r="D139" s="156"/>
      <c r="E139" s="57"/>
      <c r="F139" s="157"/>
      <c r="G139" s="158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customFormat="false" ht="12.8" hidden="false" customHeight="false" outlineLevel="0" collapsed="false">
      <c r="A140" s="154"/>
      <c r="B140" s="155"/>
      <c r="C140" s="58"/>
      <c r="D140" s="156"/>
      <c r="E140" s="57"/>
      <c r="F140" s="157"/>
      <c r="G140" s="158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customFormat="false" ht="12.8" hidden="false" customHeight="false" outlineLevel="0" collapsed="false">
      <c r="A141" s="154"/>
      <c r="B141" s="155"/>
      <c r="C141" s="58"/>
      <c r="D141" s="156"/>
      <c r="E141" s="57"/>
      <c r="F141" s="157"/>
      <c r="G141" s="158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customFormat="false" ht="12.8" hidden="false" customHeight="false" outlineLevel="0" collapsed="false">
      <c r="A142" s="154"/>
      <c r="B142" s="155"/>
      <c r="C142" s="58"/>
      <c r="D142" s="156"/>
      <c r="E142" s="57"/>
      <c r="F142" s="157"/>
      <c r="G142" s="158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customFormat="false" ht="12.8" hidden="false" customHeight="false" outlineLevel="0" collapsed="false">
      <c r="A143" s="154"/>
      <c r="B143" s="155"/>
      <c r="C143" s="58"/>
      <c r="D143" s="156"/>
      <c r="E143" s="57"/>
      <c r="F143" s="157"/>
      <c r="G143" s="158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customFormat="false" ht="12.8" hidden="false" customHeight="false" outlineLevel="0" collapsed="false">
      <c r="A144" s="154"/>
      <c r="B144" s="155"/>
      <c r="C144" s="58"/>
      <c r="D144" s="156"/>
      <c r="E144" s="57"/>
      <c r="F144" s="157"/>
      <c r="G144" s="158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customFormat="false" ht="12.8" hidden="false" customHeight="false" outlineLevel="0" collapsed="false">
      <c r="A145" s="154"/>
      <c r="B145" s="155"/>
      <c r="C145" s="58"/>
      <c r="D145" s="156"/>
      <c r="E145" s="57"/>
      <c r="F145" s="157"/>
      <c r="G145" s="158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customFormat="false" ht="12.8" hidden="false" customHeight="false" outlineLevel="0" collapsed="false">
      <c r="A146" s="154"/>
      <c r="B146" s="155"/>
      <c r="C146" s="58"/>
      <c r="D146" s="156"/>
      <c r="E146" s="57"/>
      <c r="F146" s="157"/>
      <c r="G146" s="158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customFormat="false" ht="12.8" hidden="false" customHeight="false" outlineLevel="0" collapsed="false">
      <c r="A147" s="154"/>
      <c r="B147" s="155"/>
      <c r="C147" s="58"/>
      <c r="D147" s="156"/>
      <c r="E147" s="57"/>
      <c r="F147" s="157"/>
      <c r="G147" s="158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customFormat="false" ht="12.8" hidden="false" customHeight="false" outlineLevel="0" collapsed="false">
      <c r="A148" s="154"/>
      <c r="B148" s="155"/>
      <c r="C148" s="58"/>
      <c r="D148" s="156"/>
      <c r="E148" s="57"/>
      <c r="F148" s="157"/>
      <c r="G148" s="158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customFormat="false" ht="12.8" hidden="false" customHeight="false" outlineLevel="0" collapsed="false">
      <c r="A149" s="154"/>
      <c r="B149" s="155"/>
      <c r="C149" s="58"/>
      <c r="D149" s="156"/>
      <c r="E149" s="57"/>
      <c r="F149" s="157"/>
      <c r="G149" s="158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customFormat="false" ht="12.8" hidden="false" customHeight="false" outlineLevel="0" collapsed="false">
      <c r="A150" s="154"/>
      <c r="B150" s="155"/>
      <c r="C150" s="58"/>
      <c r="D150" s="156"/>
      <c r="E150" s="57"/>
      <c r="F150" s="157"/>
      <c r="G150" s="158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customFormat="false" ht="12.8" hidden="false" customHeight="false" outlineLevel="0" collapsed="false">
      <c r="A151" s="154"/>
      <c r="B151" s="155"/>
      <c r="C151" s="58"/>
      <c r="D151" s="156"/>
      <c r="E151" s="57"/>
      <c r="F151" s="157"/>
      <c r="G151" s="158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customFormat="false" ht="12.8" hidden="false" customHeight="false" outlineLevel="0" collapsed="false">
      <c r="A152" s="154"/>
      <c r="B152" s="155"/>
      <c r="C152" s="58"/>
      <c r="D152" s="156"/>
      <c r="E152" s="57"/>
      <c r="F152" s="157"/>
      <c r="G152" s="158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customFormat="false" ht="12.8" hidden="false" customHeight="false" outlineLevel="0" collapsed="false">
      <c r="A153" s="154"/>
      <c r="B153" s="155"/>
      <c r="C153" s="58"/>
      <c r="D153" s="156"/>
      <c r="E153" s="57"/>
      <c r="F153" s="157"/>
      <c r="G153" s="158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customFormat="false" ht="12.8" hidden="false" customHeight="false" outlineLevel="0" collapsed="false">
      <c r="A154" s="154"/>
      <c r="B154" s="155"/>
      <c r="C154" s="58"/>
      <c r="D154" s="156"/>
      <c r="E154" s="57"/>
      <c r="F154" s="157"/>
      <c r="G154" s="158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customFormat="false" ht="12.8" hidden="false" customHeight="false" outlineLevel="0" collapsed="false">
      <c r="A155" s="154"/>
      <c r="B155" s="155"/>
      <c r="C155" s="58"/>
      <c r="D155" s="156"/>
      <c r="E155" s="57"/>
      <c r="F155" s="157"/>
      <c r="G155" s="158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customFormat="false" ht="12.8" hidden="false" customHeight="false" outlineLevel="0" collapsed="false">
      <c r="A156" s="154"/>
      <c r="B156" s="155"/>
      <c r="C156" s="58"/>
      <c r="D156" s="156"/>
      <c r="E156" s="57"/>
      <c r="F156" s="157"/>
      <c r="G156" s="158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customFormat="false" ht="12.8" hidden="false" customHeight="false" outlineLevel="0" collapsed="false">
      <c r="A157" s="154"/>
      <c r="B157" s="155"/>
      <c r="C157" s="58"/>
      <c r="D157" s="156"/>
      <c r="E157" s="57"/>
      <c r="F157" s="157"/>
      <c r="G157" s="158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customFormat="false" ht="12.8" hidden="false" customHeight="false" outlineLevel="0" collapsed="false">
      <c r="A158" s="154"/>
      <c r="B158" s="155"/>
      <c r="C158" s="58"/>
      <c r="D158" s="156"/>
      <c r="E158" s="57"/>
      <c r="F158" s="157"/>
      <c r="G158" s="158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customFormat="false" ht="12.8" hidden="false" customHeight="false" outlineLevel="0" collapsed="false">
      <c r="A159" s="154"/>
      <c r="B159" s="155"/>
      <c r="C159" s="58"/>
      <c r="D159" s="156"/>
      <c r="E159" s="57"/>
      <c r="F159" s="157"/>
      <c r="G159" s="158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customFormat="false" ht="12.8" hidden="false" customHeight="false" outlineLevel="0" collapsed="false">
      <c r="A160" s="154"/>
      <c r="B160" s="155"/>
      <c r="C160" s="58"/>
      <c r="D160" s="156"/>
      <c r="E160" s="57"/>
      <c r="F160" s="157"/>
      <c r="G160" s="158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customFormat="false" ht="12.8" hidden="false" customHeight="false" outlineLevel="0" collapsed="false">
      <c r="A161" s="154"/>
      <c r="B161" s="155"/>
      <c r="C161" s="58"/>
      <c r="D161" s="156"/>
      <c r="E161" s="57"/>
      <c r="F161" s="157"/>
      <c r="G161" s="158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customFormat="false" ht="12.8" hidden="false" customHeight="false" outlineLevel="0" collapsed="false">
      <c r="A162" s="154"/>
      <c r="B162" s="155"/>
      <c r="C162" s="58"/>
      <c r="D162" s="156"/>
      <c r="E162" s="57"/>
      <c r="F162" s="157"/>
      <c r="G162" s="158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customFormat="false" ht="12.8" hidden="false" customHeight="false" outlineLevel="0" collapsed="false">
      <c r="A163" s="154"/>
      <c r="B163" s="155"/>
      <c r="C163" s="58"/>
      <c r="D163" s="156"/>
      <c r="E163" s="57"/>
      <c r="F163" s="157"/>
      <c r="G163" s="158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customFormat="false" ht="12.8" hidden="false" customHeight="false" outlineLevel="0" collapsed="false">
      <c r="A164" s="154"/>
      <c r="B164" s="155"/>
      <c r="C164" s="58"/>
      <c r="D164" s="156"/>
      <c r="E164" s="57"/>
      <c r="F164" s="157"/>
      <c r="G164" s="158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customFormat="false" ht="12.8" hidden="false" customHeight="false" outlineLevel="0" collapsed="false">
      <c r="A165" s="154"/>
      <c r="B165" s="155"/>
      <c r="C165" s="58"/>
      <c r="D165" s="156"/>
      <c r="E165" s="57"/>
      <c r="F165" s="157"/>
      <c r="G165" s="158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customFormat="false" ht="12.8" hidden="false" customHeight="false" outlineLevel="0" collapsed="false">
      <c r="A166" s="154"/>
      <c r="B166" s="155"/>
      <c r="C166" s="58"/>
      <c r="D166" s="156"/>
      <c r="E166" s="57"/>
      <c r="F166" s="157"/>
      <c r="G166" s="158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customFormat="false" ht="12.8" hidden="false" customHeight="false" outlineLevel="0" collapsed="false">
      <c r="A167" s="154"/>
      <c r="B167" s="155"/>
      <c r="C167" s="58"/>
      <c r="D167" s="156"/>
      <c r="E167" s="57"/>
      <c r="F167" s="157"/>
      <c r="G167" s="158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customFormat="false" ht="12.8" hidden="false" customHeight="false" outlineLevel="0" collapsed="false">
      <c r="A168" s="154"/>
      <c r="B168" s="155"/>
      <c r="C168" s="58"/>
      <c r="D168" s="156"/>
      <c r="E168" s="57"/>
      <c r="F168" s="157"/>
      <c r="G168" s="158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customFormat="false" ht="12.8" hidden="false" customHeight="false" outlineLevel="0" collapsed="false">
      <c r="A169" s="154"/>
      <c r="B169" s="155"/>
      <c r="C169" s="58"/>
      <c r="D169" s="156"/>
      <c r="E169" s="57"/>
      <c r="F169" s="157"/>
      <c r="G169" s="158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customFormat="false" ht="12.8" hidden="false" customHeight="false" outlineLevel="0" collapsed="false">
      <c r="A170" s="154"/>
      <c r="B170" s="155"/>
      <c r="C170" s="58"/>
      <c r="D170" s="156"/>
      <c r="E170" s="57"/>
      <c r="F170" s="157"/>
      <c r="G170" s="158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customFormat="false" ht="12.8" hidden="false" customHeight="false" outlineLevel="0" collapsed="false">
      <c r="A171" s="154"/>
      <c r="B171" s="155"/>
      <c r="C171" s="58"/>
      <c r="D171" s="156"/>
      <c r="E171" s="57"/>
      <c r="F171" s="157"/>
      <c r="G171" s="158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customFormat="false" ht="12.8" hidden="false" customHeight="false" outlineLevel="0" collapsed="false">
      <c r="A172" s="154"/>
      <c r="B172" s="155"/>
      <c r="C172" s="58"/>
      <c r="D172" s="156"/>
      <c r="E172" s="57"/>
      <c r="F172" s="157"/>
      <c r="G172" s="158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customFormat="false" ht="12.8" hidden="false" customHeight="false" outlineLevel="0" collapsed="false">
      <c r="A173" s="154"/>
      <c r="B173" s="155"/>
      <c r="C173" s="58"/>
      <c r="D173" s="156"/>
      <c r="E173" s="57"/>
      <c r="F173" s="157"/>
      <c r="G173" s="158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customFormat="false" ht="12.8" hidden="false" customHeight="false" outlineLevel="0" collapsed="false">
      <c r="A174" s="154"/>
      <c r="B174" s="155"/>
      <c r="C174" s="58"/>
      <c r="D174" s="156"/>
      <c r="E174" s="57"/>
      <c r="F174" s="157"/>
      <c r="G174" s="158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customFormat="false" ht="12.8" hidden="false" customHeight="false" outlineLevel="0" collapsed="false">
      <c r="A175" s="154"/>
      <c r="B175" s="155"/>
      <c r="C175" s="58"/>
      <c r="D175" s="156"/>
      <c r="E175" s="57"/>
      <c r="F175" s="157"/>
      <c r="G175" s="158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customFormat="false" ht="12.8" hidden="false" customHeight="false" outlineLevel="0" collapsed="false">
      <c r="A176" s="154"/>
      <c r="B176" s="155"/>
      <c r="C176" s="58"/>
      <c r="D176" s="156"/>
      <c r="E176" s="57"/>
      <c r="F176" s="157"/>
      <c r="G176" s="158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customFormat="false" ht="12.8" hidden="false" customHeight="false" outlineLevel="0" collapsed="false">
      <c r="A177" s="154"/>
      <c r="B177" s="155"/>
      <c r="C177" s="58"/>
      <c r="D177" s="156"/>
      <c r="E177" s="57"/>
      <c r="F177" s="157"/>
      <c r="G177" s="158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customFormat="false" ht="12.8" hidden="false" customHeight="false" outlineLevel="0" collapsed="false">
      <c r="A178" s="154"/>
      <c r="B178" s="155"/>
      <c r="C178" s="58"/>
      <c r="D178" s="156"/>
      <c r="E178" s="57"/>
      <c r="F178" s="157"/>
      <c r="G178" s="158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customFormat="false" ht="12.8" hidden="false" customHeight="false" outlineLevel="0" collapsed="false">
      <c r="A179" s="154"/>
      <c r="B179" s="155"/>
      <c r="C179" s="58"/>
      <c r="D179" s="156"/>
      <c r="E179" s="57"/>
      <c r="F179" s="157"/>
      <c r="G179" s="158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customFormat="false" ht="12.8" hidden="false" customHeight="false" outlineLevel="0" collapsed="false">
      <c r="A180" s="154"/>
      <c r="B180" s="155"/>
      <c r="C180" s="58"/>
      <c r="D180" s="156"/>
      <c r="E180" s="57"/>
      <c r="F180" s="157"/>
      <c r="G180" s="158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customFormat="false" ht="12.8" hidden="false" customHeight="false" outlineLevel="0" collapsed="false">
      <c r="A181" s="154"/>
      <c r="B181" s="155"/>
      <c r="C181" s="58"/>
      <c r="D181" s="156"/>
      <c r="E181" s="57"/>
      <c r="F181" s="157"/>
      <c r="G181" s="158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customFormat="false" ht="12.8" hidden="false" customHeight="false" outlineLevel="0" collapsed="false">
      <c r="A182" s="154"/>
      <c r="B182" s="155"/>
      <c r="C182" s="58"/>
      <c r="D182" s="156"/>
      <c r="E182" s="57"/>
      <c r="F182" s="157"/>
      <c r="G182" s="158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customFormat="false" ht="12.8" hidden="false" customHeight="false" outlineLevel="0" collapsed="false">
      <c r="A183" s="154"/>
      <c r="B183" s="155"/>
      <c r="C183" s="58"/>
      <c r="D183" s="156"/>
      <c r="E183" s="57"/>
      <c r="F183" s="157"/>
      <c r="G183" s="158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customFormat="false" ht="12.8" hidden="false" customHeight="false" outlineLevel="0" collapsed="false">
      <c r="A184" s="154"/>
      <c r="B184" s="155"/>
      <c r="C184" s="58"/>
      <c r="D184" s="156"/>
      <c r="E184" s="57"/>
      <c r="F184" s="157"/>
      <c r="G184" s="158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customFormat="false" ht="12.8" hidden="false" customHeight="false" outlineLevel="0" collapsed="false">
      <c r="A185" s="154"/>
      <c r="B185" s="155"/>
      <c r="C185" s="58"/>
      <c r="D185" s="156"/>
      <c r="E185" s="57"/>
      <c r="F185" s="157"/>
      <c r="G185" s="158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customFormat="false" ht="12.8" hidden="false" customHeight="false" outlineLevel="0" collapsed="false">
      <c r="A186" s="154"/>
      <c r="B186" s="155"/>
      <c r="C186" s="58"/>
      <c r="D186" s="156"/>
      <c r="E186" s="57"/>
      <c r="F186" s="157"/>
      <c r="G186" s="158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customFormat="false" ht="12.8" hidden="false" customHeight="false" outlineLevel="0" collapsed="false">
      <c r="A187" s="154"/>
      <c r="B187" s="155"/>
      <c r="C187" s="58"/>
      <c r="D187" s="156"/>
      <c r="E187" s="57"/>
      <c r="F187" s="157"/>
      <c r="G187" s="158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customFormat="false" ht="12.8" hidden="false" customHeight="false" outlineLevel="0" collapsed="false">
      <c r="A188" s="154"/>
      <c r="B188" s="155"/>
      <c r="C188" s="58"/>
      <c r="D188" s="156"/>
      <c r="E188" s="57"/>
      <c r="F188" s="157"/>
      <c r="G188" s="158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customFormat="false" ht="12.8" hidden="false" customHeight="false" outlineLevel="0" collapsed="false">
      <c r="A189" s="154"/>
      <c r="B189" s="155"/>
      <c r="C189" s="58"/>
      <c r="D189" s="156"/>
      <c r="E189" s="57"/>
      <c r="F189" s="157"/>
      <c r="G189" s="158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customFormat="false" ht="12.8" hidden="false" customHeight="false" outlineLevel="0" collapsed="false">
      <c r="A190" s="154"/>
      <c r="B190" s="155"/>
      <c r="C190" s="58"/>
      <c r="D190" s="156"/>
      <c r="E190" s="57"/>
      <c r="F190" s="157"/>
      <c r="G190" s="158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customFormat="false" ht="12.8" hidden="false" customHeight="false" outlineLevel="0" collapsed="false">
      <c r="A191" s="154"/>
      <c r="B191" s="155"/>
      <c r="C191" s="58"/>
      <c r="D191" s="156"/>
      <c r="E191" s="57"/>
      <c r="F191" s="157"/>
      <c r="G191" s="158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customFormat="false" ht="12.8" hidden="false" customHeight="false" outlineLevel="0" collapsed="false">
      <c r="A192" s="154"/>
      <c r="B192" s="155"/>
      <c r="C192" s="58"/>
      <c r="D192" s="156"/>
      <c r="E192" s="57"/>
      <c r="F192" s="157"/>
      <c r="G192" s="158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customFormat="false" ht="12.8" hidden="false" customHeight="false" outlineLevel="0" collapsed="false">
      <c r="A193" s="154"/>
      <c r="B193" s="155"/>
      <c r="C193" s="58"/>
      <c r="D193" s="156"/>
      <c r="E193" s="57"/>
      <c r="F193" s="157"/>
      <c r="G193" s="158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customFormat="false" ht="12.8" hidden="false" customHeight="false" outlineLevel="0" collapsed="false">
      <c r="A194" s="154"/>
      <c r="B194" s="155"/>
      <c r="C194" s="58"/>
      <c r="D194" s="156"/>
      <c r="E194" s="57"/>
      <c r="F194" s="157"/>
      <c r="G194" s="158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customFormat="false" ht="12.8" hidden="false" customHeight="false" outlineLevel="0" collapsed="false">
      <c r="A195" s="154"/>
      <c r="B195" s="155"/>
      <c r="C195" s="58"/>
      <c r="D195" s="156"/>
      <c r="E195" s="57"/>
      <c r="F195" s="157"/>
      <c r="G195" s="158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customFormat="false" ht="12.8" hidden="false" customHeight="false" outlineLevel="0" collapsed="false">
      <c r="A196" s="154"/>
      <c r="B196" s="155"/>
      <c r="C196" s="58"/>
      <c r="D196" s="156"/>
      <c r="E196" s="57"/>
      <c r="F196" s="157"/>
      <c r="G196" s="158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customFormat="false" ht="12.8" hidden="false" customHeight="false" outlineLevel="0" collapsed="false">
      <c r="A197" s="154"/>
      <c r="B197" s="155"/>
      <c r="C197" s="58"/>
      <c r="D197" s="156"/>
      <c r="E197" s="57"/>
      <c r="F197" s="157"/>
      <c r="G197" s="158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customFormat="false" ht="12.8" hidden="false" customHeight="false" outlineLevel="0" collapsed="false">
      <c r="A198" s="154"/>
      <c r="B198" s="155"/>
      <c r="C198" s="58"/>
      <c r="D198" s="156"/>
      <c r="E198" s="57"/>
      <c r="F198" s="157"/>
      <c r="G198" s="158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customFormat="false" ht="12.8" hidden="false" customHeight="false" outlineLevel="0" collapsed="false">
      <c r="A199" s="154"/>
      <c r="B199" s="155"/>
      <c r="C199" s="58"/>
      <c r="D199" s="156"/>
      <c r="E199" s="57"/>
      <c r="F199" s="157"/>
      <c r="G199" s="158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customFormat="false" ht="12.8" hidden="false" customHeight="false" outlineLevel="0" collapsed="false">
      <c r="A200" s="154"/>
      <c r="B200" s="155"/>
      <c r="C200" s="58"/>
      <c r="D200" s="156"/>
      <c r="E200" s="57"/>
      <c r="F200" s="157"/>
      <c r="G200" s="158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customFormat="false" ht="12.8" hidden="false" customHeight="false" outlineLevel="0" collapsed="false">
      <c r="A201" s="154"/>
      <c r="B201" s="155"/>
      <c r="C201" s="58"/>
      <c r="D201" s="156"/>
      <c r="E201" s="57"/>
      <c r="F201" s="157"/>
      <c r="G201" s="158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customFormat="false" ht="12.8" hidden="false" customHeight="false" outlineLevel="0" collapsed="false">
      <c r="A202" s="154"/>
      <c r="B202" s="155"/>
      <c r="C202" s="58"/>
      <c r="D202" s="156"/>
      <c r="E202" s="57"/>
      <c r="F202" s="157"/>
      <c r="G202" s="158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customFormat="false" ht="12.8" hidden="false" customHeight="false" outlineLevel="0" collapsed="false">
      <c r="A203" s="154"/>
      <c r="B203" s="155"/>
      <c r="C203" s="58"/>
      <c r="D203" s="156"/>
      <c r="E203" s="57"/>
      <c r="F203" s="157"/>
      <c r="G203" s="158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customFormat="false" ht="12.8" hidden="false" customHeight="false" outlineLevel="0" collapsed="false">
      <c r="A204" s="154"/>
      <c r="B204" s="155"/>
      <c r="C204" s="58"/>
      <c r="D204" s="156"/>
      <c r="E204" s="57"/>
      <c r="F204" s="157"/>
      <c r="G204" s="158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customFormat="false" ht="12.8" hidden="false" customHeight="false" outlineLevel="0" collapsed="false">
      <c r="A205" s="154"/>
      <c r="B205" s="155"/>
      <c r="C205" s="58"/>
      <c r="D205" s="156"/>
      <c r="E205" s="57"/>
      <c r="F205" s="157"/>
      <c r="G205" s="158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customFormat="false" ht="12.8" hidden="false" customHeight="false" outlineLevel="0" collapsed="false">
      <c r="A206" s="154"/>
      <c r="B206" s="155"/>
      <c r="C206" s="58"/>
      <c r="D206" s="156"/>
      <c r="E206" s="57"/>
      <c r="F206" s="157"/>
      <c r="G206" s="158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customFormat="false" ht="12.8" hidden="false" customHeight="false" outlineLevel="0" collapsed="false">
      <c r="A207" s="154"/>
      <c r="B207" s="155"/>
      <c r="C207" s="58"/>
      <c r="D207" s="156"/>
      <c r="E207" s="57"/>
      <c r="F207" s="157"/>
      <c r="G207" s="158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customFormat="false" ht="12.8" hidden="false" customHeight="false" outlineLevel="0" collapsed="false">
      <c r="A208" s="154"/>
      <c r="B208" s="155"/>
      <c r="C208" s="58"/>
      <c r="D208" s="156"/>
      <c r="E208" s="57"/>
      <c r="F208" s="157"/>
      <c r="G208" s="158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customFormat="false" ht="12.8" hidden="false" customHeight="false" outlineLevel="0" collapsed="false">
      <c r="A209" s="154"/>
      <c r="B209" s="155"/>
      <c r="C209" s="58"/>
      <c r="D209" s="156"/>
      <c r="E209" s="57"/>
      <c r="F209" s="157"/>
      <c r="G209" s="158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customFormat="false" ht="12.8" hidden="false" customHeight="false" outlineLevel="0" collapsed="false">
      <c r="A210" s="154"/>
      <c r="B210" s="155"/>
      <c r="C210" s="58"/>
      <c r="D210" s="156"/>
      <c r="E210" s="57"/>
      <c r="F210" s="157"/>
      <c r="G210" s="158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customFormat="false" ht="12.8" hidden="false" customHeight="false" outlineLevel="0" collapsed="false">
      <c r="A211" s="154"/>
      <c r="B211" s="155"/>
      <c r="C211" s="58"/>
      <c r="D211" s="156"/>
      <c r="E211" s="57"/>
      <c r="F211" s="157"/>
      <c r="G211" s="158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customFormat="false" ht="12.8" hidden="false" customHeight="false" outlineLevel="0" collapsed="false">
      <c r="A212" s="154"/>
      <c r="B212" s="155"/>
      <c r="C212" s="58"/>
      <c r="D212" s="156"/>
      <c r="E212" s="57"/>
      <c r="F212" s="157"/>
      <c r="G212" s="158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customFormat="false" ht="12.8" hidden="false" customHeight="false" outlineLevel="0" collapsed="false">
      <c r="A213" s="154"/>
      <c r="B213" s="155"/>
      <c r="C213" s="58"/>
      <c r="D213" s="156"/>
      <c r="E213" s="57"/>
      <c r="F213" s="157"/>
      <c r="G213" s="158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customFormat="false" ht="12.8" hidden="false" customHeight="false" outlineLevel="0" collapsed="false">
      <c r="A214" s="154"/>
      <c r="B214" s="155"/>
      <c r="C214" s="58"/>
      <c r="D214" s="156"/>
      <c r="E214" s="57"/>
      <c r="F214" s="157"/>
      <c r="G214" s="158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customFormat="false" ht="12.8" hidden="false" customHeight="false" outlineLevel="0" collapsed="false">
      <c r="A215" s="154"/>
      <c r="B215" s="155"/>
      <c r="C215" s="58"/>
      <c r="D215" s="156"/>
      <c r="E215" s="57"/>
      <c r="F215" s="157"/>
      <c r="G215" s="158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customFormat="false" ht="12.8" hidden="false" customHeight="false" outlineLevel="0" collapsed="false">
      <c r="A216" s="154"/>
      <c r="B216" s="155"/>
      <c r="C216" s="58"/>
      <c r="D216" s="156"/>
      <c r="E216" s="57"/>
      <c r="F216" s="157"/>
      <c r="G216" s="158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customFormat="false" ht="12.8" hidden="false" customHeight="false" outlineLevel="0" collapsed="false">
      <c r="A217" s="154"/>
      <c r="B217" s="155"/>
      <c r="C217" s="58"/>
      <c r="D217" s="156"/>
      <c r="E217" s="57"/>
      <c r="F217" s="157"/>
      <c r="G217" s="158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customFormat="false" ht="12.8" hidden="false" customHeight="false" outlineLevel="0" collapsed="false">
      <c r="A218" s="154"/>
      <c r="B218" s="155"/>
      <c r="C218" s="58"/>
      <c r="D218" s="156"/>
      <c r="E218" s="57"/>
      <c r="F218" s="157"/>
      <c r="G218" s="158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customFormat="false" ht="12.8" hidden="false" customHeight="false" outlineLevel="0" collapsed="false">
      <c r="A219" s="154"/>
      <c r="B219" s="155"/>
      <c r="C219" s="58"/>
      <c r="D219" s="156"/>
      <c r="E219" s="57"/>
      <c r="F219" s="157"/>
      <c r="G219" s="158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customFormat="false" ht="12.8" hidden="false" customHeight="false" outlineLevel="0" collapsed="false">
      <c r="A220" s="154"/>
      <c r="B220" s="155"/>
      <c r="C220" s="58"/>
      <c r="D220" s="156"/>
      <c r="E220" s="57"/>
      <c r="F220" s="157"/>
      <c r="G220" s="158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customFormat="false" ht="12.8" hidden="false" customHeight="false" outlineLevel="0" collapsed="false">
      <c r="A221" s="154"/>
      <c r="B221" s="155"/>
      <c r="C221" s="58"/>
      <c r="D221" s="156"/>
      <c r="E221" s="57"/>
      <c r="F221" s="157"/>
      <c r="G221" s="158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customFormat="false" ht="12.8" hidden="false" customHeight="false" outlineLevel="0" collapsed="false">
      <c r="A222" s="154"/>
      <c r="B222" s="155"/>
      <c r="C222" s="58"/>
      <c r="D222" s="156"/>
      <c r="E222" s="57"/>
      <c r="F222" s="157"/>
      <c r="G222" s="158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customFormat="false" ht="12.8" hidden="false" customHeight="false" outlineLevel="0" collapsed="false">
      <c r="A223" s="154"/>
      <c r="B223" s="155"/>
      <c r="C223" s="58"/>
      <c r="D223" s="156"/>
      <c r="E223" s="57"/>
      <c r="F223" s="157"/>
      <c r="G223" s="158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customFormat="false" ht="12.8" hidden="false" customHeight="false" outlineLevel="0" collapsed="false">
      <c r="A224" s="154"/>
      <c r="B224" s="155"/>
      <c r="C224" s="58"/>
      <c r="D224" s="156"/>
      <c r="E224" s="57"/>
      <c r="F224" s="157"/>
      <c r="G224" s="158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customFormat="false" ht="12.8" hidden="false" customHeight="false" outlineLevel="0" collapsed="false">
      <c r="A225" s="154"/>
      <c r="B225" s="155"/>
      <c r="C225" s="58"/>
      <c r="D225" s="156"/>
      <c r="E225" s="57"/>
      <c r="F225" s="157"/>
      <c r="G225" s="158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customFormat="false" ht="12.8" hidden="false" customHeight="false" outlineLevel="0" collapsed="false">
      <c r="A226" s="154"/>
      <c r="B226" s="155"/>
      <c r="C226" s="58"/>
      <c r="D226" s="156"/>
      <c r="E226" s="57"/>
      <c r="F226" s="157"/>
      <c r="G226" s="158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customFormat="false" ht="12.8" hidden="false" customHeight="false" outlineLevel="0" collapsed="false">
      <c r="A227" s="154"/>
      <c r="B227" s="155"/>
      <c r="C227" s="58"/>
      <c r="D227" s="156"/>
      <c r="E227" s="57"/>
      <c r="F227" s="157"/>
      <c r="G227" s="158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customFormat="false" ht="12.8" hidden="false" customHeight="false" outlineLevel="0" collapsed="false">
      <c r="A228" s="154"/>
      <c r="B228" s="155"/>
      <c r="C228" s="58"/>
      <c r="D228" s="156"/>
      <c r="E228" s="57"/>
      <c r="F228" s="157"/>
      <c r="G228" s="158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customFormat="false" ht="12.8" hidden="false" customHeight="false" outlineLevel="0" collapsed="false">
      <c r="A229" s="154"/>
      <c r="B229" s="155"/>
      <c r="C229" s="58"/>
      <c r="D229" s="156"/>
      <c r="E229" s="57"/>
      <c r="F229" s="157"/>
      <c r="G229" s="158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customFormat="false" ht="12.8" hidden="false" customHeight="false" outlineLevel="0" collapsed="false">
      <c r="A230" s="154"/>
      <c r="B230" s="155"/>
      <c r="C230" s="58"/>
      <c r="D230" s="156"/>
      <c r="E230" s="57"/>
      <c r="F230" s="157"/>
      <c r="G230" s="158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customFormat="false" ht="12.8" hidden="false" customHeight="false" outlineLevel="0" collapsed="false">
      <c r="A231" s="154"/>
      <c r="B231" s="155"/>
      <c r="C231" s="58"/>
      <c r="D231" s="156"/>
      <c r="E231" s="57"/>
      <c r="F231" s="157"/>
      <c r="G231" s="158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customFormat="false" ht="12.8" hidden="false" customHeight="false" outlineLevel="0" collapsed="false">
      <c r="A232" s="154"/>
      <c r="B232" s="155"/>
      <c r="C232" s="58"/>
      <c r="D232" s="156"/>
      <c r="E232" s="57"/>
      <c r="F232" s="157"/>
      <c r="G232" s="158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customFormat="false" ht="12.8" hidden="false" customHeight="false" outlineLevel="0" collapsed="false">
      <c r="A233" s="154"/>
      <c r="B233" s="155"/>
      <c r="C233" s="58"/>
      <c r="D233" s="156"/>
      <c r="E233" s="57"/>
      <c r="F233" s="157"/>
      <c r="G233" s="158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customFormat="false" ht="12.8" hidden="false" customHeight="false" outlineLevel="0" collapsed="false">
      <c r="A234" s="154"/>
      <c r="B234" s="155"/>
      <c r="C234" s="58"/>
      <c r="D234" s="156"/>
      <c r="E234" s="57"/>
      <c r="F234" s="157"/>
      <c r="G234" s="158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customFormat="false" ht="12.8" hidden="false" customHeight="false" outlineLevel="0" collapsed="false">
      <c r="A235" s="154"/>
      <c r="B235" s="155"/>
      <c r="C235" s="58"/>
      <c r="D235" s="156"/>
      <c r="E235" s="57"/>
      <c r="F235" s="157"/>
      <c r="G235" s="158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customFormat="false" ht="12.8" hidden="false" customHeight="false" outlineLevel="0" collapsed="false">
      <c r="A236" s="154"/>
      <c r="B236" s="155"/>
      <c r="C236" s="58"/>
      <c r="D236" s="156"/>
      <c r="E236" s="57"/>
      <c r="F236" s="157"/>
      <c r="G236" s="158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customFormat="false" ht="12.8" hidden="false" customHeight="false" outlineLevel="0" collapsed="false">
      <c r="A237" s="154"/>
      <c r="B237" s="155"/>
      <c r="C237" s="58"/>
      <c r="D237" s="156"/>
      <c r="E237" s="57"/>
      <c r="F237" s="157"/>
      <c r="G237" s="158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customFormat="false" ht="12.8" hidden="false" customHeight="false" outlineLevel="0" collapsed="false">
      <c r="A238" s="154"/>
      <c r="B238" s="155"/>
      <c r="C238" s="58"/>
      <c r="D238" s="156"/>
      <c r="E238" s="57"/>
      <c r="F238" s="157"/>
      <c r="G238" s="158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customFormat="false" ht="12.8" hidden="false" customHeight="false" outlineLevel="0" collapsed="false">
      <c r="A239" s="154"/>
      <c r="B239" s="155"/>
      <c r="C239" s="58"/>
      <c r="D239" s="156"/>
      <c r="E239" s="57"/>
      <c r="F239" s="157"/>
      <c r="G239" s="158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customFormat="false" ht="12.8" hidden="false" customHeight="false" outlineLevel="0" collapsed="false">
      <c r="A240" s="154"/>
      <c r="B240" s="155"/>
      <c r="C240" s="58"/>
      <c r="D240" s="156"/>
      <c r="E240" s="57"/>
      <c r="F240" s="157"/>
      <c r="G240" s="158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customFormat="false" ht="12.8" hidden="false" customHeight="false" outlineLevel="0" collapsed="false">
      <c r="A241" s="154"/>
      <c r="B241" s="155"/>
      <c r="C241" s="58"/>
      <c r="D241" s="156"/>
      <c r="E241" s="57"/>
      <c r="F241" s="157"/>
      <c r="G241" s="158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customFormat="false" ht="12.8" hidden="false" customHeight="false" outlineLevel="0" collapsed="false">
      <c r="A242" s="154"/>
      <c r="B242" s="155"/>
      <c r="C242" s="58"/>
      <c r="D242" s="156"/>
      <c r="E242" s="57"/>
      <c r="F242" s="157"/>
      <c r="G242" s="158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customFormat="false" ht="12.8" hidden="false" customHeight="false" outlineLevel="0" collapsed="false">
      <c r="A243" s="154"/>
      <c r="B243" s="155"/>
      <c r="C243" s="58"/>
      <c r="D243" s="156"/>
      <c r="E243" s="57"/>
      <c r="F243" s="157"/>
      <c r="G243" s="158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customFormat="false" ht="12.8" hidden="false" customHeight="false" outlineLevel="0" collapsed="false">
      <c r="A244" s="154"/>
      <c r="B244" s="155"/>
      <c r="C244" s="58"/>
      <c r="D244" s="156"/>
      <c r="E244" s="57"/>
      <c r="F244" s="157"/>
      <c r="G244" s="158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customFormat="false" ht="12.8" hidden="false" customHeight="false" outlineLevel="0" collapsed="false">
      <c r="A245" s="154"/>
      <c r="B245" s="155"/>
      <c r="C245" s="58"/>
      <c r="D245" s="156"/>
      <c r="E245" s="57"/>
      <c r="F245" s="157"/>
      <c r="G245" s="158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customFormat="false" ht="12.8" hidden="false" customHeight="false" outlineLevel="0" collapsed="false">
      <c r="A246" s="154"/>
      <c r="B246" s="155"/>
      <c r="C246" s="58"/>
      <c r="D246" s="156"/>
      <c r="E246" s="57"/>
      <c r="F246" s="157"/>
      <c r="G246" s="158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customFormat="false" ht="12.8" hidden="false" customHeight="false" outlineLevel="0" collapsed="false">
      <c r="A247" s="154"/>
      <c r="B247" s="155"/>
      <c r="C247" s="58"/>
      <c r="D247" s="156"/>
      <c r="E247" s="57"/>
      <c r="F247" s="157"/>
      <c r="G247" s="158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customFormat="false" ht="12.8" hidden="false" customHeight="false" outlineLevel="0" collapsed="false">
      <c r="A248" s="154"/>
      <c r="B248" s="155"/>
      <c r="C248" s="58"/>
      <c r="D248" s="156"/>
      <c r="E248" s="57"/>
      <c r="F248" s="157"/>
      <c r="G248" s="158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customFormat="false" ht="12.8" hidden="false" customHeight="false" outlineLevel="0" collapsed="false">
      <c r="A249" s="154"/>
      <c r="B249" s="155"/>
      <c r="C249" s="58"/>
      <c r="D249" s="156"/>
      <c r="E249" s="57"/>
      <c r="F249" s="157"/>
      <c r="G249" s="158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customFormat="false" ht="12.8" hidden="false" customHeight="false" outlineLevel="0" collapsed="false">
      <c r="A250" s="154"/>
      <c r="B250" s="155"/>
      <c r="C250" s="58"/>
      <c r="D250" s="156"/>
      <c r="E250" s="57"/>
      <c r="F250" s="157"/>
      <c r="G250" s="158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customFormat="false" ht="12.8" hidden="false" customHeight="false" outlineLevel="0" collapsed="false">
      <c r="A251" s="154"/>
      <c r="B251" s="155"/>
      <c r="C251" s="58"/>
      <c r="D251" s="156"/>
      <c r="E251" s="57"/>
      <c r="F251" s="157"/>
      <c r="G251" s="158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customFormat="false" ht="12.8" hidden="false" customHeight="false" outlineLevel="0" collapsed="false">
      <c r="A252" s="154"/>
      <c r="B252" s="155"/>
      <c r="C252" s="58"/>
      <c r="D252" s="156"/>
      <c r="E252" s="57"/>
      <c r="F252" s="157"/>
      <c r="G252" s="158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customFormat="false" ht="12.8" hidden="false" customHeight="false" outlineLevel="0" collapsed="false">
      <c r="A253" s="154"/>
      <c r="B253" s="155"/>
      <c r="C253" s="58"/>
      <c r="D253" s="156"/>
      <c r="E253" s="57"/>
      <c r="F253" s="157"/>
      <c r="G253" s="158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customFormat="false" ht="12.8" hidden="false" customHeight="false" outlineLevel="0" collapsed="false">
      <c r="A254" s="154"/>
      <c r="B254" s="155"/>
      <c r="C254" s="58"/>
      <c r="D254" s="156"/>
      <c r="E254" s="57"/>
      <c r="F254" s="157"/>
      <c r="G254" s="158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customFormat="false" ht="12.8" hidden="false" customHeight="false" outlineLevel="0" collapsed="false">
      <c r="A255" s="154"/>
      <c r="B255" s="155"/>
      <c r="C255" s="58"/>
      <c r="D255" s="156"/>
      <c r="E255" s="57"/>
      <c r="F255" s="157"/>
      <c r="G255" s="158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customFormat="false" ht="12.8" hidden="false" customHeight="false" outlineLevel="0" collapsed="false">
      <c r="A256" s="154"/>
      <c r="B256" s="155"/>
      <c r="C256" s="58"/>
      <c r="D256" s="156"/>
      <c r="E256" s="57"/>
      <c r="F256" s="157"/>
      <c r="G256" s="158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customFormat="false" ht="12.8" hidden="false" customHeight="false" outlineLevel="0" collapsed="false">
      <c r="A257" s="154"/>
      <c r="B257" s="155"/>
      <c r="C257" s="58"/>
      <c r="D257" s="156"/>
      <c r="E257" s="57"/>
      <c r="F257" s="157"/>
      <c r="G257" s="158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customFormat="false" ht="12.8" hidden="false" customHeight="false" outlineLevel="0" collapsed="false">
      <c r="A258" s="154"/>
      <c r="B258" s="155"/>
      <c r="C258" s="58"/>
      <c r="D258" s="156"/>
      <c r="E258" s="57"/>
      <c r="F258" s="157"/>
      <c r="G258" s="158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customFormat="false" ht="12.8" hidden="false" customHeight="false" outlineLevel="0" collapsed="false">
      <c r="A259" s="154"/>
      <c r="B259" s="155"/>
      <c r="C259" s="58"/>
      <c r="D259" s="156"/>
      <c r="E259" s="57"/>
      <c r="F259" s="157"/>
      <c r="G259" s="158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customFormat="false" ht="12.8" hidden="false" customHeight="false" outlineLevel="0" collapsed="false">
      <c r="A260" s="154"/>
      <c r="B260" s="155"/>
      <c r="C260" s="58"/>
      <c r="D260" s="156"/>
      <c r="E260" s="57"/>
      <c r="F260" s="157"/>
      <c r="G260" s="158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customFormat="false" ht="12.8" hidden="false" customHeight="false" outlineLevel="0" collapsed="false">
      <c r="A261" s="154"/>
      <c r="B261" s="155"/>
      <c r="C261" s="58"/>
      <c r="D261" s="156"/>
      <c r="E261" s="57"/>
      <c r="F261" s="157"/>
      <c r="G261" s="158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customFormat="false" ht="12.8" hidden="false" customHeight="false" outlineLevel="0" collapsed="false">
      <c r="A262" s="154"/>
      <c r="B262" s="155"/>
      <c r="C262" s="58"/>
      <c r="D262" s="156"/>
      <c r="E262" s="57"/>
      <c r="F262" s="157"/>
      <c r="G262" s="158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customFormat="false" ht="12.8" hidden="false" customHeight="false" outlineLevel="0" collapsed="false">
      <c r="A263" s="154"/>
      <c r="B263" s="155"/>
      <c r="C263" s="58"/>
      <c r="D263" s="156"/>
      <c r="E263" s="57"/>
      <c r="F263" s="157"/>
      <c r="G263" s="158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customFormat="false" ht="12.8" hidden="false" customHeight="false" outlineLevel="0" collapsed="false">
      <c r="A264" s="154"/>
      <c r="B264" s="155"/>
      <c r="C264" s="58"/>
      <c r="D264" s="156"/>
      <c r="E264" s="57"/>
      <c r="F264" s="157"/>
      <c r="G264" s="158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customFormat="false" ht="12.8" hidden="false" customHeight="false" outlineLevel="0" collapsed="false">
      <c r="A265" s="154"/>
      <c r="B265" s="155"/>
      <c r="C265" s="58"/>
      <c r="D265" s="156"/>
      <c r="E265" s="57"/>
      <c r="F265" s="157"/>
      <c r="G265" s="158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customFormat="false" ht="12.8" hidden="false" customHeight="false" outlineLevel="0" collapsed="false">
      <c r="A266" s="154"/>
      <c r="B266" s="155"/>
      <c r="C266" s="58"/>
      <c r="D266" s="156"/>
      <c r="E266" s="57"/>
      <c r="F266" s="157"/>
      <c r="G266" s="158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customFormat="false" ht="12.8" hidden="false" customHeight="false" outlineLevel="0" collapsed="false">
      <c r="A267" s="154"/>
      <c r="B267" s="155"/>
      <c r="C267" s="58"/>
      <c r="D267" s="156"/>
      <c r="E267" s="57"/>
      <c r="F267" s="157"/>
      <c r="G267" s="158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customFormat="false" ht="12.8" hidden="false" customHeight="false" outlineLevel="0" collapsed="false">
      <c r="A268" s="154"/>
      <c r="B268" s="155"/>
      <c r="C268" s="58"/>
      <c r="D268" s="156"/>
      <c r="E268" s="57"/>
      <c r="F268" s="157"/>
      <c r="G268" s="158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customFormat="false" ht="12.8" hidden="false" customHeight="false" outlineLevel="0" collapsed="false">
      <c r="A269" s="159"/>
      <c r="B269" s="160"/>
      <c r="C269" s="161"/>
      <c r="D269" s="162"/>
      <c r="E269" s="157"/>
      <c r="F269" s="157"/>
      <c r="G269" s="158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customFormat="false" ht="12.8" hidden="false" customHeight="false" outlineLevel="0" collapsed="false">
      <c r="A270" s="159"/>
      <c r="B270" s="160"/>
      <c r="C270" s="161"/>
      <c r="D270" s="162"/>
      <c r="E270" s="157"/>
      <c r="F270" s="157"/>
      <c r="G270" s="158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customFormat="false" ht="12.8" hidden="false" customHeight="false" outlineLevel="0" collapsed="false">
      <c r="A271" s="159"/>
      <c r="B271" s="160"/>
      <c r="C271" s="161"/>
      <c r="D271" s="162"/>
      <c r="E271" s="157"/>
      <c r="F271" s="157"/>
      <c r="G271" s="158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customFormat="false" ht="12.8" hidden="false" customHeight="false" outlineLevel="0" collapsed="false">
      <c r="A272" s="159"/>
      <c r="B272" s="160"/>
      <c r="C272" s="161"/>
      <c r="D272" s="162"/>
      <c r="E272" s="157"/>
      <c r="F272" s="157"/>
      <c r="G272" s="158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customFormat="false" ht="12.8" hidden="false" customHeight="false" outlineLevel="0" collapsed="false">
      <c r="A273" s="159"/>
      <c r="B273" s="160"/>
      <c r="C273" s="161"/>
      <c r="D273" s="162"/>
      <c r="E273" s="157"/>
      <c r="F273" s="157"/>
      <c r="G273" s="158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customFormat="false" ht="12.8" hidden="false" customHeight="false" outlineLevel="0" collapsed="false">
      <c r="A274" s="159"/>
      <c r="B274" s="160"/>
      <c r="C274" s="161"/>
      <c r="D274" s="162"/>
      <c r="E274" s="157"/>
      <c r="F274" s="157"/>
      <c r="G274" s="158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customFormat="false" ht="12.8" hidden="false" customHeight="false" outlineLevel="0" collapsed="false">
      <c r="A275" s="159"/>
      <c r="B275" s="160"/>
      <c r="C275" s="161"/>
      <c r="D275" s="162"/>
      <c r="E275" s="157"/>
      <c r="F275" s="157"/>
      <c r="G275" s="158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customFormat="false" ht="12.8" hidden="false" customHeight="false" outlineLevel="0" collapsed="false">
      <c r="A276" s="159"/>
      <c r="B276" s="160"/>
      <c r="C276" s="161"/>
      <c r="D276" s="162"/>
      <c r="E276" s="157"/>
      <c r="F276" s="157"/>
      <c r="G276" s="158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customFormat="false" ht="12.8" hidden="false" customHeight="false" outlineLevel="0" collapsed="false">
      <c r="A277" s="159"/>
      <c r="B277" s="160"/>
      <c r="C277" s="161"/>
      <c r="D277" s="162"/>
      <c r="E277" s="157"/>
      <c r="F277" s="157"/>
      <c r="G277" s="158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customFormat="false" ht="12.8" hidden="false" customHeight="false" outlineLevel="0" collapsed="false">
      <c r="A278" s="159"/>
      <c r="B278" s="160"/>
      <c r="C278" s="161"/>
      <c r="D278" s="162"/>
      <c r="E278" s="157"/>
      <c r="F278" s="157"/>
      <c r="G278" s="158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customFormat="false" ht="12.8" hidden="false" customHeight="false" outlineLevel="0" collapsed="false">
      <c r="A279" s="159"/>
      <c r="B279" s="160"/>
      <c r="C279" s="161"/>
      <c r="D279" s="162"/>
      <c r="E279" s="157"/>
      <c r="F279" s="157"/>
      <c r="G279" s="158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customFormat="false" ht="12.8" hidden="false" customHeight="false" outlineLevel="0" collapsed="false">
      <c r="A280" s="159"/>
      <c r="B280" s="160"/>
      <c r="C280" s="161"/>
      <c r="D280" s="162"/>
      <c r="E280" s="157"/>
      <c r="F280" s="157"/>
      <c r="G280" s="158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customFormat="false" ht="12.8" hidden="false" customHeight="false" outlineLevel="0" collapsed="false">
      <c r="A281" s="159"/>
      <c r="B281" s="160"/>
      <c r="C281" s="161"/>
      <c r="D281" s="162"/>
      <c r="E281" s="157"/>
      <c r="F281" s="157"/>
      <c r="G281" s="158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customFormat="false" ht="12.8" hidden="false" customHeight="false" outlineLevel="0" collapsed="false">
      <c r="A282" s="159"/>
      <c r="B282" s="160"/>
      <c r="C282" s="161"/>
      <c r="D282" s="162"/>
      <c r="E282" s="157"/>
      <c r="F282" s="157"/>
      <c r="G282" s="158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customFormat="false" ht="12.8" hidden="false" customHeight="false" outlineLevel="0" collapsed="false">
      <c r="A283" s="159"/>
      <c r="B283" s="160"/>
      <c r="C283" s="161"/>
      <c r="D283" s="162"/>
      <c r="E283" s="157"/>
      <c r="F283" s="157"/>
      <c r="G283" s="158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customFormat="false" ht="12.8" hidden="false" customHeight="false" outlineLevel="0" collapsed="false">
      <c r="A284" s="159"/>
      <c r="B284" s="160"/>
      <c r="C284" s="161"/>
      <c r="D284" s="162"/>
      <c r="E284" s="157"/>
      <c r="F284" s="157"/>
      <c r="G284" s="158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customFormat="false" ht="12.8" hidden="false" customHeight="false" outlineLevel="0" collapsed="false">
      <c r="A285" s="159"/>
      <c r="B285" s="160"/>
      <c r="C285" s="161"/>
      <c r="D285" s="162"/>
      <c r="E285" s="157"/>
      <c r="F285" s="157"/>
      <c r="G285" s="158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customFormat="false" ht="12.8" hidden="false" customHeight="false" outlineLevel="0" collapsed="false">
      <c r="A286" s="159"/>
      <c r="B286" s="160"/>
      <c r="C286" s="161"/>
      <c r="D286" s="162"/>
      <c r="E286" s="157"/>
      <c r="F286" s="157"/>
      <c r="G286" s="158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customFormat="false" ht="12.8" hidden="false" customHeight="false" outlineLevel="0" collapsed="false">
      <c r="A287" s="159"/>
      <c r="B287" s="160"/>
      <c r="C287" s="161"/>
      <c r="D287" s="162"/>
      <c r="E287" s="157"/>
      <c r="F287" s="157"/>
      <c r="G287" s="158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customFormat="false" ht="12.8" hidden="false" customHeight="false" outlineLevel="0" collapsed="false">
      <c r="A288" s="159"/>
      <c r="B288" s="160"/>
      <c r="C288" s="161"/>
      <c r="D288" s="162"/>
      <c r="E288" s="157"/>
      <c r="F288" s="157"/>
      <c r="G288" s="158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customFormat="false" ht="12.8" hidden="false" customHeight="false" outlineLevel="0" collapsed="false">
      <c r="A289" s="159"/>
      <c r="B289" s="160"/>
      <c r="C289" s="161"/>
      <c r="D289" s="162"/>
      <c r="E289" s="157"/>
      <c r="F289" s="157"/>
      <c r="G289" s="158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customFormat="false" ht="12.8" hidden="false" customHeight="false" outlineLevel="0" collapsed="false">
      <c r="A290" s="159"/>
      <c r="B290" s="160"/>
      <c r="C290" s="161"/>
      <c r="D290" s="162"/>
      <c r="E290" s="157"/>
      <c r="F290" s="157"/>
      <c r="G290" s="158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customFormat="false" ht="12.8" hidden="false" customHeight="false" outlineLevel="0" collapsed="false">
      <c r="A291" s="159"/>
      <c r="B291" s="160"/>
      <c r="C291" s="161"/>
      <c r="D291" s="162"/>
      <c r="E291" s="157"/>
      <c r="F291" s="157"/>
      <c r="G291" s="158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customFormat="false" ht="12.8" hidden="false" customHeight="false" outlineLevel="0" collapsed="false">
      <c r="A292" s="159"/>
      <c r="B292" s="160"/>
      <c r="C292" s="161"/>
      <c r="D292" s="162"/>
      <c r="E292" s="157"/>
      <c r="F292" s="157"/>
      <c r="G292" s="158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customFormat="false" ht="12.8" hidden="false" customHeight="false" outlineLevel="0" collapsed="false">
      <c r="A293" s="159"/>
      <c r="B293" s="160"/>
      <c r="C293" s="161"/>
      <c r="D293" s="162"/>
      <c r="E293" s="157"/>
      <c r="F293" s="157"/>
      <c r="G293" s="158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customFormat="false" ht="12.8" hidden="false" customHeight="false" outlineLevel="0" collapsed="false">
      <c r="A294" s="159"/>
      <c r="B294" s="160"/>
      <c r="C294" s="161"/>
      <c r="D294" s="162"/>
      <c r="E294" s="157"/>
      <c r="F294" s="157"/>
      <c r="G294" s="158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customFormat="false" ht="12.8" hidden="false" customHeight="false" outlineLevel="0" collapsed="false">
      <c r="A295" s="159"/>
      <c r="B295" s="160"/>
      <c r="C295" s="161"/>
      <c r="D295" s="162"/>
      <c r="E295" s="157"/>
      <c r="F295" s="157"/>
      <c r="G295" s="158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customFormat="false" ht="12.8" hidden="false" customHeight="false" outlineLevel="0" collapsed="false">
      <c r="A296" s="159"/>
      <c r="B296" s="160"/>
      <c r="C296" s="161"/>
      <c r="D296" s="162"/>
      <c r="E296" s="157"/>
      <c r="F296" s="157"/>
      <c r="G296" s="158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customFormat="false" ht="12.8" hidden="false" customHeight="false" outlineLevel="0" collapsed="false">
      <c r="A297" s="159"/>
      <c r="B297" s="160"/>
      <c r="C297" s="161"/>
      <c r="D297" s="162"/>
      <c r="E297" s="157"/>
      <c r="F297" s="157"/>
      <c r="G297" s="158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customFormat="false" ht="12.8" hidden="false" customHeight="false" outlineLevel="0" collapsed="false">
      <c r="A298" s="159"/>
      <c r="B298" s="160"/>
      <c r="C298" s="161"/>
      <c r="D298" s="162"/>
      <c r="E298" s="157"/>
      <c r="F298" s="157"/>
      <c r="G298" s="158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customFormat="false" ht="12.8" hidden="false" customHeight="false" outlineLevel="0" collapsed="false">
      <c r="A299" s="159"/>
      <c r="B299" s="160"/>
      <c r="C299" s="161"/>
      <c r="D299" s="162"/>
      <c r="E299" s="157"/>
      <c r="F299" s="157"/>
      <c r="G299" s="158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customFormat="false" ht="12.8" hidden="false" customHeight="false" outlineLevel="0" collapsed="false">
      <c r="A300" s="159"/>
      <c r="B300" s="160"/>
      <c r="C300" s="161"/>
      <c r="D300" s="162"/>
      <c r="E300" s="157"/>
      <c r="F300" s="157"/>
      <c r="G300" s="158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customFormat="false" ht="12.8" hidden="false" customHeight="false" outlineLevel="0" collapsed="false">
      <c r="A301" s="159"/>
      <c r="B301" s="160"/>
      <c r="C301" s="161"/>
      <c r="D301" s="162"/>
      <c r="E301" s="157"/>
      <c r="F301" s="157"/>
      <c r="G301" s="158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customFormat="false" ht="12.8" hidden="false" customHeight="false" outlineLevel="0" collapsed="false">
      <c r="A302" s="159"/>
      <c r="B302" s="160"/>
      <c r="C302" s="161"/>
      <c r="D302" s="162"/>
      <c r="E302" s="157"/>
      <c r="F302" s="157"/>
      <c r="G302" s="158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customFormat="false" ht="12.8" hidden="false" customHeight="false" outlineLevel="0" collapsed="false">
      <c r="A303" s="159"/>
      <c r="B303" s="160"/>
      <c r="C303" s="161"/>
      <c r="D303" s="162"/>
      <c r="E303" s="157"/>
      <c r="F303" s="157"/>
      <c r="G303" s="158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customFormat="false" ht="12.8" hidden="false" customHeight="false" outlineLevel="0" collapsed="false">
      <c r="A304" s="159"/>
      <c r="B304" s="160"/>
      <c r="C304" s="161"/>
      <c r="D304" s="162"/>
      <c r="E304" s="157"/>
      <c r="F304" s="157"/>
      <c r="G304" s="158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customFormat="false" ht="12.8" hidden="false" customHeight="false" outlineLevel="0" collapsed="false">
      <c r="A305" s="159"/>
      <c r="B305" s="160"/>
      <c r="C305" s="161"/>
      <c r="D305" s="162"/>
      <c r="E305" s="157"/>
      <c r="F305" s="157"/>
      <c r="G305" s="158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customFormat="false" ht="12.8" hidden="false" customHeight="false" outlineLevel="0" collapsed="false">
      <c r="A306" s="159"/>
      <c r="B306" s="160"/>
      <c r="C306" s="161"/>
      <c r="D306" s="162"/>
      <c r="E306" s="157"/>
      <c r="F306" s="157"/>
      <c r="G306" s="158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customFormat="false" ht="12.8" hidden="false" customHeight="false" outlineLevel="0" collapsed="false">
      <c r="A307" s="159"/>
      <c r="B307" s="160"/>
      <c r="C307" s="161"/>
      <c r="D307" s="162"/>
      <c r="E307" s="157"/>
      <c r="F307" s="157"/>
      <c r="G307" s="158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customFormat="false" ht="12.8" hidden="false" customHeight="false" outlineLevel="0" collapsed="false">
      <c r="A308" s="159"/>
      <c r="B308" s="160"/>
      <c r="C308" s="161"/>
      <c r="D308" s="162"/>
      <c r="E308" s="157"/>
      <c r="F308" s="157"/>
      <c r="G308" s="158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customFormat="false" ht="12.8" hidden="false" customHeight="false" outlineLevel="0" collapsed="false">
      <c r="A309" s="159"/>
      <c r="B309" s="160"/>
      <c r="C309" s="161"/>
      <c r="D309" s="162"/>
      <c r="E309" s="157"/>
      <c r="F309" s="157"/>
      <c r="G309" s="158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customFormat="false" ht="12.8" hidden="false" customHeight="false" outlineLevel="0" collapsed="false">
      <c r="A310" s="159"/>
      <c r="B310" s="160"/>
      <c r="C310" s="161"/>
      <c r="D310" s="162"/>
      <c r="E310" s="157"/>
      <c r="F310" s="157"/>
      <c r="G310" s="158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customFormat="false" ht="12.8" hidden="false" customHeight="false" outlineLevel="0" collapsed="false">
      <c r="A311" s="159"/>
      <c r="B311" s="160"/>
      <c r="C311" s="161"/>
      <c r="D311" s="162"/>
      <c r="E311" s="157"/>
      <c r="F311" s="157"/>
      <c r="G311" s="158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customFormat="false" ht="12.8" hidden="false" customHeight="false" outlineLevel="0" collapsed="false">
      <c r="A312" s="159"/>
      <c r="B312" s="160"/>
      <c r="C312" s="161"/>
      <c r="D312" s="162"/>
      <c r="E312" s="157"/>
      <c r="F312" s="157"/>
      <c r="G312" s="158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customFormat="false" ht="12.8" hidden="false" customHeight="false" outlineLevel="0" collapsed="false">
      <c r="A313" s="159"/>
      <c r="B313" s="160"/>
      <c r="C313" s="161"/>
      <c r="D313" s="162"/>
      <c r="E313" s="157"/>
      <c r="F313" s="157"/>
      <c r="G313" s="158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customFormat="false" ht="12.8" hidden="false" customHeight="false" outlineLevel="0" collapsed="false">
      <c r="A314" s="159"/>
      <c r="B314" s="160"/>
      <c r="C314" s="161"/>
      <c r="D314" s="162"/>
      <c r="E314" s="157"/>
      <c r="F314" s="157"/>
      <c r="G314" s="158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customFormat="false" ht="12.8" hidden="false" customHeight="false" outlineLevel="0" collapsed="false">
      <c r="A315" s="159"/>
      <c r="B315" s="160"/>
      <c r="C315" s="161"/>
      <c r="D315" s="162"/>
      <c r="E315" s="157"/>
      <c r="F315" s="157"/>
      <c r="G315" s="158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customFormat="false" ht="12.8" hidden="false" customHeight="false" outlineLevel="0" collapsed="false">
      <c r="A316" s="159"/>
      <c r="B316" s="160"/>
      <c r="C316" s="161"/>
      <c r="D316" s="162"/>
      <c r="E316" s="157"/>
      <c r="F316" s="157"/>
      <c r="G316" s="158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customFormat="false" ht="12.8" hidden="false" customHeight="false" outlineLevel="0" collapsed="false">
      <c r="A317" s="159"/>
      <c r="B317" s="160"/>
      <c r="C317" s="161"/>
      <c r="D317" s="162"/>
      <c r="E317" s="157"/>
      <c r="F317" s="157"/>
      <c r="G317" s="158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customFormat="false" ht="12.8" hidden="false" customHeight="false" outlineLevel="0" collapsed="false">
      <c r="A318" s="159"/>
      <c r="B318" s="160"/>
      <c r="C318" s="161"/>
      <c r="D318" s="162"/>
      <c r="E318" s="157"/>
      <c r="F318" s="157"/>
      <c r="G318" s="158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customFormat="false" ht="12.8" hidden="false" customHeight="false" outlineLevel="0" collapsed="false">
      <c r="A319" s="159"/>
      <c r="B319" s="160"/>
      <c r="C319" s="161"/>
      <c r="D319" s="162"/>
      <c r="E319" s="157"/>
      <c r="F319" s="157"/>
      <c r="G319" s="158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customFormat="false" ht="12.8" hidden="false" customHeight="false" outlineLevel="0" collapsed="false">
      <c r="A320" s="159"/>
      <c r="B320" s="160"/>
      <c r="C320" s="161"/>
      <c r="D320" s="162"/>
      <c r="E320" s="157"/>
      <c r="F320" s="157"/>
      <c r="G320" s="158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customFormat="false" ht="12.8" hidden="false" customHeight="false" outlineLevel="0" collapsed="false">
      <c r="A321" s="159"/>
      <c r="B321" s="160"/>
      <c r="C321" s="161"/>
      <c r="D321" s="162"/>
      <c r="E321" s="157"/>
      <c r="F321" s="157"/>
      <c r="G321" s="158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customFormat="false" ht="12.8" hidden="false" customHeight="false" outlineLevel="0" collapsed="false">
      <c r="A322" s="159"/>
      <c r="B322" s="160"/>
      <c r="C322" s="161"/>
      <c r="D322" s="162"/>
      <c r="E322" s="157"/>
      <c r="F322" s="157"/>
      <c r="G322" s="158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customFormat="false" ht="12.8" hidden="false" customHeight="false" outlineLevel="0" collapsed="false">
      <c r="A323" s="159"/>
      <c r="B323" s="160"/>
      <c r="C323" s="161"/>
      <c r="D323" s="162"/>
      <c r="E323" s="157"/>
      <c r="F323" s="157"/>
      <c r="G323" s="158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customFormat="false" ht="12.8" hidden="false" customHeight="false" outlineLevel="0" collapsed="false">
      <c r="A324" s="159"/>
      <c r="B324" s="160"/>
      <c r="C324" s="161"/>
      <c r="D324" s="162"/>
      <c r="E324" s="157"/>
      <c r="F324" s="157"/>
      <c r="G324" s="158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customFormat="false" ht="12.8" hidden="false" customHeight="false" outlineLevel="0" collapsed="false">
      <c r="A325" s="159"/>
      <c r="B325" s="160"/>
      <c r="C325" s="161"/>
      <c r="D325" s="162"/>
      <c r="E325" s="157"/>
      <c r="F325" s="157"/>
      <c r="G325" s="158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customFormat="false" ht="12.8" hidden="false" customHeight="false" outlineLevel="0" collapsed="false">
      <c r="A326" s="159"/>
      <c r="B326" s="160"/>
      <c r="C326" s="161"/>
      <c r="D326" s="162"/>
      <c r="E326" s="157"/>
      <c r="F326" s="157"/>
      <c r="G326" s="158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customFormat="false" ht="12.8" hidden="false" customHeight="false" outlineLevel="0" collapsed="false">
      <c r="A327" s="159"/>
      <c r="B327" s="160"/>
      <c r="C327" s="161"/>
      <c r="D327" s="162"/>
      <c r="E327" s="157"/>
      <c r="F327" s="157"/>
      <c r="G327" s="158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customFormat="false" ht="12.8" hidden="false" customHeight="false" outlineLevel="0" collapsed="false">
      <c r="A328" s="159"/>
      <c r="B328" s="160"/>
      <c r="C328" s="161"/>
      <c r="D328" s="162"/>
      <c r="E328" s="157"/>
      <c r="F328" s="157"/>
      <c r="G328" s="158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customFormat="false" ht="12.8" hidden="false" customHeight="false" outlineLevel="0" collapsed="false">
      <c r="A329" s="159"/>
      <c r="B329" s="160"/>
      <c r="C329" s="161"/>
      <c r="D329" s="162"/>
      <c r="E329" s="157"/>
      <c r="F329" s="157"/>
      <c r="G329" s="158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customFormat="false" ht="12.8" hidden="false" customHeight="false" outlineLevel="0" collapsed="false">
      <c r="A330" s="159"/>
      <c r="B330" s="160"/>
      <c r="C330" s="161"/>
      <c r="D330" s="162"/>
      <c r="E330" s="157"/>
      <c r="F330" s="157"/>
      <c r="G330" s="158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customFormat="false" ht="12.8" hidden="false" customHeight="false" outlineLevel="0" collapsed="false">
      <c r="A331" s="159"/>
      <c r="B331" s="160"/>
      <c r="C331" s="161"/>
      <c r="D331" s="162"/>
      <c r="E331" s="157"/>
      <c r="F331" s="157"/>
      <c r="G331" s="158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customFormat="false" ht="12.8" hidden="false" customHeight="false" outlineLevel="0" collapsed="false">
      <c r="A332" s="159"/>
      <c r="B332" s="160"/>
      <c r="C332" s="161"/>
      <c r="D332" s="162"/>
      <c r="E332" s="157"/>
      <c r="F332" s="157"/>
      <c r="G332" s="158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customFormat="false" ht="12.8" hidden="false" customHeight="false" outlineLevel="0" collapsed="false">
      <c r="A333" s="159"/>
      <c r="B333" s="160"/>
      <c r="C333" s="161"/>
      <c r="D333" s="162"/>
      <c r="E333" s="157"/>
      <c r="F333" s="157"/>
      <c r="G333" s="158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customFormat="false" ht="12.8" hidden="false" customHeight="false" outlineLevel="0" collapsed="false">
      <c r="A334" s="159"/>
      <c r="B334" s="160"/>
      <c r="C334" s="161"/>
      <c r="D334" s="162"/>
      <c r="E334" s="157"/>
      <c r="F334" s="157"/>
      <c r="G334" s="158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customFormat="false" ht="12.8" hidden="false" customHeight="false" outlineLevel="0" collapsed="false">
      <c r="A335" s="159"/>
      <c r="B335" s="160"/>
      <c r="C335" s="161"/>
      <c r="D335" s="162"/>
      <c r="E335" s="157"/>
      <c r="F335" s="157"/>
      <c r="G335" s="158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customFormat="false" ht="12.8" hidden="false" customHeight="false" outlineLevel="0" collapsed="false">
      <c r="A336" s="159"/>
      <c r="B336" s="160"/>
      <c r="C336" s="161"/>
      <c r="D336" s="162"/>
      <c r="E336" s="157"/>
      <c r="F336" s="157"/>
      <c r="G336" s="158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customFormat="false" ht="12.8" hidden="false" customHeight="false" outlineLevel="0" collapsed="false">
      <c r="A337" s="159"/>
      <c r="B337" s="160"/>
      <c r="C337" s="161"/>
      <c r="D337" s="162"/>
      <c r="E337" s="157"/>
      <c r="F337" s="157"/>
      <c r="G337" s="158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customFormat="false" ht="12.8" hidden="false" customHeight="false" outlineLevel="0" collapsed="false">
      <c r="A338" s="159"/>
      <c r="B338" s="160"/>
      <c r="C338" s="161"/>
      <c r="D338" s="162"/>
      <c r="E338" s="157"/>
      <c r="F338" s="157"/>
      <c r="G338" s="158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customFormat="false" ht="12.8" hidden="false" customHeight="false" outlineLevel="0" collapsed="false">
      <c r="A339" s="159"/>
      <c r="B339" s="160"/>
      <c r="C339" s="161"/>
      <c r="D339" s="162"/>
      <c r="E339" s="157"/>
      <c r="F339" s="157"/>
      <c r="G339" s="158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customFormat="false" ht="12.8" hidden="false" customHeight="false" outlineLevel="0" collapsed="false">
      <c r="A340" s="159"/>
      <c r="B340" s="160"/>
      <c r="C340" s="161"/>
      <c r="D340" s="162"/>
      <c r="E340" s="157"/>
      <c r="F340" s="157"/>
      <c r="G340" s="158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customFormat="false" ht="12.8" hidden="false" customHeight="false" outlineLevel="0" collapsed="false">
      <c r="A341" s="159"/>
      <c r="B341" s="160"/>
      <c r="C341" s="161"/>
      <c r="D341" s="162"/>
      <c r="E341" s="157"/>
      <c r="F341" s="157"/>
      <c r="G341" s="158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customFormat="false" ht="12.8" hidden="false" customHeight="false" outlineLevel="0" collapsed="false">
      <c r="A342" s="159"/>
      <c r="B342" s="160"/>
      <c r="C342" s="161"/>
      <c r="D342" s="162"/>
      <c r="E342" s="157"/>
      <c r="F342" s="157"/>
      <c r="G342" s="158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customFormat="false" ht="12.8" hidden="false" customHeight="false" outlineLevel="0" collapsed="false">
      <c r="A343" s="159"/>
      <c r="B343" s="160"/>
      <c r="C343" s="161"/>
      <c r="D343" s="162"/>
      <c r="E343" s="157"/>
      <c r="F343" s="157"/>
      <c r="G343" s="158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customFormat="false" ht="12.8" hidden="false" customHeight="false" outlineLevel="0" collapsed="false">
      <c r="A344" s="159"/>
      <c r="B344" s="160"/>
      <c r="C344" s="161"/>
      <c r="D344" s="162"/>
      <c r="E344" s="157"/>
      <c r="F344" s="157"/>
      <c r="G344" s="158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customFormat="false" ht="12.8" hidden="false" customHeight="false" outlineLevel="0" collapsed="false">
      <c r="A345" s="159"/>
      <c r="B345" s="160"/>
      <c r="C345" s="161"/>
      <c r="D345" s="162"/>
      <c r="E345" s="157"/>
      <c r="F345" s="157"/>
      <c r="G345" s="158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customFormat="false" ht="12.8" hidden="false" customHeight="false" outlineLevel="0" collapsed="false">
      <c r="A346" s="159"/>
      <c r="B346" s="160"/>
      <c r="C346" s="161"/>
      <c r="D346" s="162"/>
      <c r="E346" s="157"/>
      <c r="F346" s="157"/>
      <c r="G346" s="158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customFormat="false" ht="12.8" hidden="false" customHeight="false" outlineLevel="0" collapsed="false">
      <c r="A347" s="159"/>
      <c r="B347" s="160"/>
      <c r="C347" s="161"/>
      <c r="D347" s="162"/>
      <c r="E347" s="157"/>
      <c r="F347" s="157"/>
      <c r="G347" s="158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customFormat="false" ht="12.8" hidden="false" customHeight="false" outlineLevel="0" collapsed="false">
      <c r="A348" s="159"/>
      <c r="B348" s="160"/>
      <c r="C348" s="161"/>
      <c r="D348" s="162"/>
      <c r="E348" s="157"/>
      <c r="F348" s="157"/>
      <c r="G348" s="158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customFormat="false" ht="12.8" hidden="false" customHeight="false" outlineLevel="0" collapsed="false">
      <c r="A349" s="159"/>
      <c r="B349" s="160"/>
      <c r="C349" s="161"/>
      <c r="D349" s="162"/>
      <c r="E349" s="157"/>
      <c r="F349" s="157"/>
      <c r="G349" s="158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customFormat="false" ht="12.8" hidden="false" customHeight="false" outlineLevel="0" collapsed="false">
      <c r="A350" s="159"/>
      <c r="B350" s="160"/>
      <c r="C350" s="161"/>
      <c r="D350" s="162"/>
      <c r="E350" s="157"/>
      <c r="F350" s="157"/>
      <c r="G350" s="158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customFormat="false" ht="12.8" hidden="false" customHeight="false" outlineLevel="0" collapsed="false">
      <c r="A351" s="159"/>
      <c r="B351" s="160"/>
      <c r="C351" s="161"/>
      <c r="D351" s="162"/>
      <c r="E351" s="157"/>
      <c r="F351" s="157"/>
      <c r="G351" s="158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customFormat="false" ht="12.8" hidden="false" customHeight="false" outlineLevel="0" collapsed="false">
      <c r="A352" s="159"/>
      <c r="B352" s="160"/>
      <c r="C352" s="161"/>
      <c r="D352" s="162"/>
      <c r="E352" s="157"/>
      <c r="F352" s="157"/>
      <c r="G352" s="158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customFormat="false" ht="12.8" hidden="false" customHeight="false" outlineLevel="0" collapsed="false">
      <c r="A353" s="159"/>
      <c r="B353" s="160"/>
      <c r="C353" s="161"/>
      <c r="D353" s="162"/>
      <c r="E353" s="157"/>
      <c r="F353" s="157"/>
      <c r="G353" s="158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customFormat="false" ht="12.8" hidden="false" customHeight="false" outlineLevel="0" collapsed="false">
      <c r="A354" s="159"/>
      <c r="B354" s="160"/>
      <c r="C354" s="161"/>
      <c r="D354" s="162"/>
      <c r="E354" s="157"/>
      <c r="F354" s="157"/>
      <c r="G354" s="158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customFormat="false" ht="12.8" hidden="false" customHeight="false" outlineLevel="0" collapsed="false">
      <c r="A355" s="159"/>
      <c r="B355" s="160"/>
      <c r="C355" s="161"/>
      <c r="D355" s="162"/>
      <c r="E355" s="157"/>
      <c r="F355" s="157"/>
      <c r="G355" s="158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customFormat="false" ht="12.8" hidden="false" customHeight="false" outlineLevel="0" collapsed="false">
      <c r="A356" s="159"/>
      <c r="B356" s="160"/>
      <c r="C356" s="161"/>
      <c r="D356" s="162"/>
      <c r="E356" s="157"/>
      <c r="F356" s="157"/>
      <c r="G356" s="158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customFormat="false" ht="12.8" hidden="false" customHeight="false" outlineLevel="0" collapsed="false">
      <c r="A357" s="159"/>
      <c r="B357" s="160"/>
      <c r="C357" s="161"/>
      <c r="D357" s="162"/>
      <c r="E357" s="157"/>
      <c r="F357" s="157"/>
      <c r="G357" s="158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customFormat="false" ht="12.8" hidden="false" customHeight="false" outlineLevel="0" collapsed="false">
      <c r="A358" s="159"/>
      <c r="B358" s="160"/>
      <c r="C358" s="161"/>
      <c r="D358" s="162"/>
      <c r="E358" s="157"/>
      <c r="F358" s="157"/>
      <c r="G358" s="158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customFormat="false" ht="12.8" hidden="false" customHeight="false" outlineLevel="0" collapsed="false">
      <c r="A359" s="159"/>
      <c r="B359" s="160"/>
      <c r="C359" s="161"/>
      <c r="D359" s="162"/>
      <c r="E359" s="157"/>
      <c r="F359" s="157"/>
      <c r="G359" s="158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customFormat="false" ht="12.8" hidden="false" customHeight="false" outlineLevel="0" collapsed="false">
      <c r="A360" s="159"/>
      <c r="B360" s="160"/>
      <c r="C360" s="161"/>
      <c r="D360" s="162"/>
      <c r="E360" s="157"/>
      <c r="F360" s="157"/>
      <c r="G360" s="158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customFormat="false" ht="12.8" hidden="false" customHeight="false" outlineLevel="0" collapsed="false">
      <c r="A361" s="159"/>
      <c r="B361" s="160"/>
      <c r="C361" s="161"/>
      <c r="D361" s="162"/>
      <c r="E361" s="157"/>
      <c r="F361" s="157"/>
      <c r="G361" s="158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customFormat="false" ht="12.8" hidden="false" customHeight="false" outlineLevel="0" collapsed="false">
      <c r="A362" s="159"/>
      <c r="B362" s="160"/>
      <c r="C362" s="161"/>
      <c r="D362" s="162"/>
      <c r="E362" s="157"/>
      <c r="F362" s="157"/>
      <c r="G362" s="158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customFormat="false" ht="12.8" hidden="false" customHeight="false" outlineLevel="0" collapsed="false">
      <c r="A363" s="159"/>
      <c r="B363" s="160"/>
      <c r="C363" s="161"/>
      <c r="D363" s="162"/>
      <c r="E363" s="157"/>
      <c r="F363" s="157"/>
      <c r="G363" s="158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customFormat="false" ht="12.8" hidden="false" customHeight="false" outlineLevel="0" collapsed="false">
      <c r="A364" s="159"/>
      <c r="B364" s="160"/>
      <c r="C364" s="161"/>
      <c r="D364" s="162"/>
      <c r="E364" s="157"/>
      <c r="F364" s="157"/>
      <c r="G364" s="158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customFormat="false" ht="12.8" hidden="false" customHeight="false" outlineLevel="0" collapsed="false">
      <c r="A365" s="159"/>
      <c r="B365" s="160"/>
      <c r="C365" s="161"/>
      <c r="D365" s="162"/>
      <c r="E365" s="157"/>
      <c r="F365" s="157"/>
      <c r="G365" s="158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customFormat="false" ht="12.8" hidden="false" customHeight="false" outlineLevel="0" collapsed="false">
      <c r="A366" s="159"/>
      <c r="B366" s="160"/>
      <c r="C366" s="161"/>
      <c r="D366" s="162"/>
      <c r="E366" s="157"/>
      <c r="F366" s="157"/>
      <c r="G366" s="158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customFormat="false" ht="12.8" hidden="false" customHeight="false" outlineLevel="0" collapsed="false">
      <c r="A367" s="159"/>
      <c r="B367" s="160"/>
      <c r="C367" s="161"/>
      <c r="D367" s="162"/>
      <c r="E367" s="157"/>
      <c r="F367" s="157"/>
      <c r="G367" s="158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customFormat="false" ht="12.8" hidden="false" customHeight="false" outlineLevel="0" collapsed="false">
      <c r="A368" s="159"/>
      <c r="B368" s="160"/>
      <c r="C368" s="161"/>
      <c r="D368" s="162"/>
      <c r="E368" s="157"/>
      <c r="F368" s="157"/>
      <c r="G368" s="158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customFormat="false" ht="12.8" hidden="false" customHeight="false" outlineLevel="0" collapsed="false">
      <c r="A369" s="159"/>
      <c r="B369" s="160"/>
      <c r="C369" s="161"/>
      <c r="D369" s="162"/>
      <c r="E369" s="157"/>
      <c r="F369" s="157"/>
      <c r="G369" s="158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customFormat="false" ht="12.8" hidden="false" customHeight="false" outlineLevel="0" collapsed="false">
      <c r="A370" s="159"/>
      <c r="B370" s="160"/>
      <c r="C370" s="161"/>
      <c r="D370" s="162"/>
      <c r="E370" s="157"/>
      <c r="F370" s="157"/>
      <c r="G370" s="158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customFormat="false" ht="12.8" hidden="false" customHeight="false" outlineLevel="0" collapsed="false">
      <c r="A371" s="159"/>
      <c r="B371" s="160"/>
      <c r="C371" s="161"/>
      <c r="D371" s="162"/>
      <c r="E371" s="157"/>
      <c r="F371" s="157"/>
      <c r="G371" s="158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customFormat="false" ht="12.8" hidden="false" customHeight="false" outlineLevel="0" collapsed="false">
      <c r="A372" s="159"/>
      <c r="B372" s="160"/>
      <c r="C372" s="161"/>
      <c r="D372" s="162"/>
      <c r="E372" s="157"/>
      <c r="F372" s="157"/>
      <c r="G372" s="158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customFormat="false" ht="12.8" hidden="false" customHeight="false" outlineLevel="0" collapsed="false">
      <c r="A373" s="159"/>
      <c r="B373" s="160"/>
      <c r="C373" s="161"/>
      <c r="D373" s="162"/>
      <c r="E373" s="157"/>
      <c r="F373" s="157"/>
      <c r="G373" s="158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customFormat="false" ht="12.8" hidden="false" customHeight="false" outlineLevel="0" collapsed="false">
      <c r="A374" s="159"/>
      <c r="B374" s="160"/>
      <c r="C374" s="161"/>
      <c r="D374" s="162"/>
      <c r="E374" s="157"/>
      <c r="F374" s="157"/>
      <c r="G374" s="158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customFormat="false" ht="12.8" hidden="false" customHeight="false" outlineLevel="0" collapsed="false">
      <c r="A375" s="159"/>
      <c r="B375" s="160"/>
      <c r="C375" s="161"/>
      <c r="D375" s="162"/>
      <c r="E375" s="157"/>
      <c r="F375" s="157"/>
      <c r="G375" s="158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customFormat="false" ht="12.8" hidden="false" customHeight="false" outlineLevel="0" collapsed="false">
      <c r="A376" s="159"/>
      <c r="B376" s="160"/>
      <c r="C376" s="161"/>
      <c r="D376" s="162"/>
      <c r="E376" s="157"/>
      <c r="F376" s="157"/>
      <c r="G376" s="158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customFormat="false" ht="12.8" hidden="false" customHeight="false" outlineLevel="0" collapsed="false">
      <c r="A377" s="159"/>
      <c r="B377" s="160"/>
      <c r="C377" s="161"/>
      <c r="D377" s="162"/>
      <c r="E377" s="157"/>
      <c r="F377" s="157"/>
      <c r="G377" s="158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customFormat="false" ht="12.8" hidden="false" customHeight="false" outlineLevel="0" collapsed="false">
      <c r="A378" s="159"/>
      <c r="B378" s="160"/>
      <c r="C378" s="161"/>
      <c r="D378" s="162"/>
      <c r="E378" s="157"/>
      <c r="F378" s="157"/>
      <c r="G378" s="158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customFormat="false" ht="12.8" hidden="false" customHeight="false" outlineLevel="0" collapsed="false">
      <c r="A379" s="159"/>
      <c r="B379" s="160"/>
      <c r="C379" s="161"/>
      <c r="D379" s="162"/>
      <c r="E379" s="157"/>
      <c r="F379" s="157"/>
      <c r="G379" s="158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customFormat="false" ht="12.8" hidden="false" customHeight="false" outlineLevel="0" collapsed="false">
      <c r="A380" s="159"/>
      <c r="B380" s="160"/>
      <c r="C380" s="161"/>
      <c r="D380" s="162"/>
      <c r="E380" s="157"/>
      <c r="F380" s="157"/>
      <c r="G380" s="158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customFormat="false" ht="12.8" hidden="false" customHeight="false" outlineLevel="0" collapsed="false">
      <c r="A381" s="159"/>
      <c r="B381" s="160"/>
      <c r="C381" s="161"/>
      <c r="D381" s="162"/>
      <c r="E381" s="157"/>
      <c r="F381" s="157"/>
      <c r="G381" s="158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customFormat="false" ht="12.8" hidden="false" customHeight="false" outlineLevel="0" collapsed="false">
      <c r="A382" s="159"/>
      <c r="B382" s="160"/>
      <c r="C382" s="161"/>
      <c r="D382" s="162"/>
      <c r="E382" s="157"/>
      <c r="F382" s="157"/>
      <c r="G382" s="158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customFormat="false" ht="12.8" hidden="false" customHeight="false" outlineLevel="0" collapsed="false">
      <c r="A383" s="159"/>
      <c r="B383" s="160"/>
      <c r="C383" s="161"/>
      <c r="D383" s="162"/>
      <c r="E383" s="157"/>
      <c r="F383" s="157"/>
      <c r="G383" s="158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customFormat="false" ht="12.8" hidden="false" customHeight="false" outlineLevel="0" collapsed="false">
      <c r="A384" s="159"/>
      <c r="B384" s="160"/>
      <c r="C384" s="161"/>
      <c r="D384" s="162"/>
      <c r="E384" s="157"/>
      <c r="F384" s="157"/>
      <c r="G384" s="158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customFormat="false" ht="12.8" hidden="false" customHeight="false" outlineLevel="0" collapsed="false">
      <c r="A385" s="159"/>
      <c r="B385" s="160"/>
      <c r="C385" s="161"/>
      <c r="D385" s="162"/>
      <c r="E385" s="157"/>
      <c r="F385" s="157"/>
      <c r="G385" s="158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customFormat="false" ht="12.8" hidden="false" customHeight="false" outlineLevel="0" collapsed="false">
      <c r="A386" s="159"/>
      <c r="B386" s="160"/>
      <c r="C386" s="161"/>
      <c r="D386" s="162"/>
      <c r="E386" s="157"/>
      <c r="F386" s="157"/>
      <c r="G386" s="158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customFormat="false" ht="12.8" hidden="false" customHeight="false" outlineLevel="0" collapsed="false">
      <c r="A387" s="159"/>
      <c r="B387" s="160"/>
      <c r="C387" s="161"/>
      <c r="D387" s="162"/>
      <c r="E387" s="157"/>
      <c r="F387" s="157"/>
      <c r="G387" s="158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customFormat="false" ht="12.8" hidden="false" customHeight="false" outlineLevel="0" collapsed="false">
      <c r="A388" s="159"/>
      <c r="B388" s="160"/>
      <c r="C388" s="161"/>
      <c r="D388" s="162"/>
      <c r="E388" s="157"/>
      <c r="F388" s="157"/>
      <c r="G388" s="158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customFormat="false" ht="12.8" hidden="false" customHeight="false" outlineLevel="0" collapsed="false">
      <c r="A389" s="159"/>
      <c r="B389" s="160"/>
      <c r="C389" s="161"/>
      <c r="D389" s="162"/>
      <c r="E389" s="157"/>
      <c r="F389" s="157"/>
      <c r="G389" s="158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customFormat="false" ht="12.8" hidden="false" customHeight="false" outlineLevel="0" collapsed="false">
      <c r="A390" s="159"/>
      <c r="B390" s="160"/>
      <c r="C390" s="161"/>
      <c r="D390" s="162"/>
      <c r="E390" s="157"/>
      <c r="F390" s="157"/>
      <c r="G390" s="158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customFormat="false" ht="12.8" hidden="false" customHeight="false" outlineLevel="0" collapsed="false">
      <c r="A391" s="159"/>
      <c r="B391" s="160"/>
      <c r="C391" s="161"/>
      <c r="D391" s="162"/>
      <c r="E391" s="157"/>
      <c r="F391" s="157"/>
      <c r="G391" s="158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customFormat="false" ht="12.8" hidden="false" customHeight="false" outlineLevel="0" collapsed="false">
      <c r="A392" s="159"/>
      <c r="B392" s="160"/>
      <c r="C392" s="161"/>
      <c r="D392" s="162"/>
      <c r="E392" s="157"/>
      <c r="F392" s="157"/>
      <c r="G392" s="158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customFormat="false" ht="12.8" hidden="false" customHeight="false" outlineLevel="0" collapsed="false">
      <c r="A393" s="159"/>
      <c r="B393" s="160"/>
      <c r="C393" s="161"/>
      <c r="D393" s="162"/>
      <c r="E393" s="157"/>
      <c r="F393" s="157"/>
      <c r="G393" s="158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customFormat="false" ht="12.8" hidden="false" customHeight="false" outlineLevel="0" collapsed="false">
      <c r="A394" s="159"/>
      <c r="B394" s="160"/>
      <c r="C394" s="161"/>
      <c r="D394" s="162"/>
      <c r="E394" s="157"/>
      <c r="F394" s="157"/>
      <c r="G394" s="158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customFormat="false" ht="12.8" hidden="false" customHeight="false" outlineLevel="0" collapsed="false">
      <c r="A395" s="159"/>
      <c r="B395" s="160"/>
      <c r="C395" s="161"/>
      <c r="D395" s="162"/>
      <c r="E395" s="157"/>
      <c r="F395" s="157"/>
      <c r="G395" s="158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customFormat="false" ht="12.8" hidden="false" customHeight="false" outlineLevel="0" collapsed="false">
      <c r="A396" s="159"/>
      <c r="B396" s="160"/>
      <c r="C396" s="161"/>
      <c r="D396" s="162"/>
      <c r="E396" s="157"/>
      <c r="F396" s="157"/>
      <c r="G396" s="158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customFormat="false" ht="12.8" hidden="false" customHeight="false" outlineLevel="0" collapsed="false">
      <c r="A397" s="159"/>
      <c r="B397" s="160"/>
      <c r="C397" s="161"/>
      <c r="D397" s="162"/>
      <c r="E397" s="157"/>
      <c r="F397" s="157"/>
      <c r="G397" s="158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customFormat="false" ht="12.8" hidden="false" customHeight="false" outlineLevel="0" collapsed="false">
      <c r="A398" s="159"/>
      <c r="B398" s="160"/>
      <c r="C398" s="161"/>
      <c r="D398" s="162"/>
      <c r="E398" s="157"/>
      <c r="F398" s="157"/>
      <c r="G398" s="158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customFormat="false" ht="12.8" hidden="false" customHeight="false" outlineLevel="0" collapsed="false">
      <c r="A399" s="159"/>
      <c r="B399" s="160"/>
      <c r="C399" s="161"/>
      <c r="D399" s="162"/>
      <c r="E399" s="157"/>
      <c r="F399" s="157"/>
      <c r="G399" s="158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customFormat="false" ht="12.8" hidden="false" customHeight="false" outlineLevel="0" collapsed="false">
      <c r="A400" s="159"/>
      <c r="B400" s="160"/>
      <c r="C400" s="161"/>
      <c r="D400" s="162"/>
      <c r="E400" s="157"/>
      <c r="F400" s="157"/>
      <c r="G400" s="158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customFormat="false" ht="12.8" hidden="false" customHeight="false" outlineLevel="0" collapsed="false">
      <c r="A401" s="159"/>
      <c r="B401" s="160"/>
      <c r="C401" s="161"/>
      <c r="D401" s="162"/>
      <c r="E401" s="157"/>
      <c r="F401" s="157"/>
      <c r="G401" s="158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customFormat="false" ht="12.8" hidden="false" customHeight="false" outlineLevel="0" collapsed="false">
      <c r="A402" s="159"/>
      <c r="B402" s="160"/>
      <c r="C402" s="161"/>
      <c r="D402" s="162"/>
      <c r="E402" s="157"/>
      <c r="F402" s="157"/>
      <c r="G402" s="158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customFormat="false" ht="12.8" hidden="false" customHeight="false" outlineLevel="0" collapsed="false">
      <c r="A403" s="159"/>
      <c r="B403" s="160"/>
      <c r="C403" s="161"/>
      <c r="D403" s="162"/>
      <c r="E403" s="157"/>
      <c r="F403" s="157"/>
      <c r="G403" s="158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customFormat="false" ht="12.8" hidden="false" customHeight="false" outlineLevel="0" collapsed="false">
      <c r="A404" s="159"/>
      <c r="B404" s="160"/>
      <c r="C404" s="161"/>
      <c r="D404" s="162"/>
      <c r="E404" s="157"/>
      <c r="F404" s="157"/>
      <c r="G404" s="158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customFormat="false" ht="12.8" hidden="false" customHeight="false" outlineLevel="0" collapsed="false">
      <c r="A405" s="159"/>
      <c r="B405" s="160"/>
      <c r="C405" s="161"/>
      <c r="D405" s="162"/>
      <c r="E405" s="157"/>
      <c r="F405" s="157"/>
      <c r="G405" s="158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customFormat="false" ht="12.8" hidden="false" customHeight="false" outlineLevel="0" collapsed="false">
      <c r="A406" s="159"/>
      <c r="B406" s="160"/>
      <c r="C406" s="161"/>
      <c r="D406" s="162"/>
      <c r="E406" s="157"/>
      <c r="F406" s="157"/>
      <c r="G406" s="158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customFormat="false" ht="12.8" hidden="false" customHeight="false" outlineLevel="0" collapsed="false">
      <c r="A407" s="159"/>
      <c r="B407" s="160"/>
      <c r="C407" s="161"/>
      <c r="D407" s="162"/>
      <c r="E407" s="157"/>
      <c r="F407" s="157"/>
      <c r="G407" s="158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customFormat="false" ht="12.8" hidden="false" customHeight="false" outlineLevel="0" collapsed="false">
      <c r="A408" s="159"/>
      <c r="B408" s="160"/>
      <c r="C408" s="161"/>
      <c r="D408" s="162"/>
      <c r="E408" s="157"/>
      <c r="F408" s="157"/>
      <c r="G408" s="158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customFormat="false" ht="12.8" hidden="false" customHeight="false" outlineLevel="0" collapsed="false">
      <c r="A409" s="159"/>
      <c r="B409" s="160"/>
      <c r="C409" s="161"/>
      <c r="D409" s="162"/>
      <c r="E409" s="157"/>
      <c r="F409" s="157"/>
      <c r="G409" s="158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customFormat="false" ht="12.8" hidden="false" customHeight="false" outlineLevel="0" collapsed="false">
      <c r="A410" s="159"/>
      <c r="B410" s="160"/>
      <c r="C410" s="161"/>
      <c r="D410" s="162"/>
      <c r="E410" s="157"/>
      <c r="F410" s="157"/>
      <c r="G410" s="158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customFormat="false" ht="12.8" hidden="false" customHeight="false" outlineLevel="0" collapsed="false">
      <c r="A411" s="159"/>
      <c r="B411" s="160"/>
      <c r="C411" s="161"/>
      <c r="D411" s="162"/>
      <c r="E411" s="157"/>
      <c r="F411" s="157"/>
      <c r="G411" s="158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customFormat="false" ht="12.8" hidden="false" customHeight="false" outlineLevel="0" collapsed="false">
      <c r="A412" s="159"/>
      <c r="B412" s="160"/>
      <c r="C412" s="161"/>
      <c r="D412" s="162"/>
      <c r="E412" s="157"/>
      <c r="F412" s="157"/>
      <c r="G412" s="158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customFormat="false" ht="12.8" hidden="false" customHeight="false" outlineLevel="0" collapsed="false">
      <c r="A413" s="159"/>
      <c r="B413" s="160"/>
      <c r="C413" s="161"/>
      <c r="D413" s="162"/>
      <c r="E413" s="157"/>
      <c r="F413" s="157"/>
      <c r="G413" s="158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customFormat="false" ht="12.8" hidden="false" customHeight="false" outlineLevel="0" collapsed="false">
      <c r="A414" s="159"/>
      <c r="B414" s="160"/>
      <c r="C414" s="161"/>
      <c r="D414" s="162"/>
      <c r="E414" s="157"/>
      <c r="F414" s="157"/>
      <c r="G414" s="158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customFormat="false" ht="12.8" hidden="false" customHeight="false" outlineLevel="0" collapsed="false">
      <c r="A415" s="159"/>
      <c r="B415" s="160"/>
      <c r="C415" s="161"/>
      <c r="D415" s="162"/>
      <c r="E415" s="157"/>
      <c r="F415" s="157"/>
      <c r="G415" s="158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customFormat="false" ht="12.8" hidden="false" customHeight="false" outlineLevel="0" collapsed="false">
      <c r="A416" s="159"/>
      <c r="B416" s="160"/>
      <c r="C416" s="161"/>
      <c r="D416" s="162"/>
      <c r="E416" s="157"/>
      <c r="F416" s="157"/>
      <c r="G416" s="158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customFormat="false" ht="12.8" hidden="false" customHeight="false" outlineLevel="0" collapsed="false">
      <c r="A417" s="159"/>
      <c r="B417" s="160"/>
      <c r="C417" s="161"/>
      <c r="D417" s="162"/>
      <c r="E417" s="157"/>
      <c r="F417" s="157"/>
      <c r="G417" s="158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customFormat="false" ht="12.8" hidden="false" customHeight="false" outlineLevel="0" collapsed="false">
      <c r="A418" s="159"/>
      <c r="B418" s="160"/>
      <c r="C418" s="161"/>
      <c r="D418" s="162"/>
      <c r="E418" s="157"/>
      <c r="F418" s="157"/>
      <c r="G418" s="158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customFormat="false" ht="12.8" hidden="false" customHeight="false" outlineLevel="0" collapsed="false">
      <c r="A419" s="159"/>
      <c r="B419" s="160"/>
      <c r="C419" s="161"/>
      <c r="D419" s="162"/>
      <c r="E419" s="157"/>
      <c r="F419" s="157"/>
      <c r="G419" s="158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customFormat="false" ht="12.8" hidden="false" customHeight="false" outlineLevel="0" collapsed="false">
      <c r="A420" s="159"/>
      <c r="B420" s="160"/>
      <c r="C420" s="161"/>
      <c r="D420" s="162"/>
      <c r="E420" s="157"/>
      <c r="F420" s="157"/>
      <c r="G420" s="158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customFormat="false" ht="12.8" hidden="false" customHeight="false" outlineLevel="0" collapsed="false">
      <c r="A421" s="159"/>
      <c r="B421" s="160"/>
      <c r="C421" s="161"/>
      <c r="D421" s="162"/>
      <c r="E421" s="157"/>
      <c r="F421" s="157"/>
      <c r="G421" s="158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customFormat="false" ht="12.8" hidden="false" customHeight="false" outlineLevel="0" collapsed="false">
      <c r="A422" s="159"/>
      <c r="B422" s="160"/>
      <c r="C422" s="161"/>
      <c r="D422" s="162"/>
      <c r="E422" s="157"/>
      <c r="F422" s="157"/>
      <c r="G422" s="158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customFormat="false" ht="12.8" hidden="false" customHeight="false" outlineLevel="0" collapsed="false">
      <c r="A423" s="159"/>
      <c r="B423" s="160"/>
      <c r="C423" s="161"/>
      <c r="D423" s="162"/>
      <c r="E423" s="157"/>
      <c r="F423" s="157"/>
      <c r="G423" s="158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customFormat="false" ht="12.8" hidden="false" customHeight="false" outlineLevel="0" collapsed="false">
      <c r="A424" s="159"/>
      <c r="B424" s="160"/>
      <c r="C424" s="161"/>
      <c r="D424" s="162"/>
      <c r="E424" s="157"/>
      <c r="F424" s="157"/>
      <c r="G424" s="158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customFormat="false" ht="12.8" hidden="false" customHeight="false" outlineLevel="0" collapsed="false">
      <c r="A425" s="159"/>
      <c r="B425" s="160"/>
      <c r="C425" s="161"/>
      <c r="D425" s="162"/>
      <c r="E425" s="157"/>
      <c r="F425" s="157"/>
      <c r="G425" s="158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customFormat="false" ht="12.8" hidden="false" customHeight="false" outlineLevel="0" collapsed="false">
      <c r="A426" s="159"/>
      <c r="B426" s="160"/>
      <c r="C426" s="161"/>
      <c r="D426" s="162"/>
      <c r="E426" s="157"/>
      <c r="F426" s="157"/>
      <c r="G426" s="158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customFormat="false" ht="12.8" hidden="false" customHeight="false" outlineLevel="0" collapsed="false">
      <c r="A427" s="159"/>
      <c r="B427" s="160"/>
      <c r="C427" s="161"/>
      <c r="D427" s="162"/>
      <c r="E427" s="157"/>
      <c r="F427" s="157"/>
      <c r="G427" s="158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customFormat="false" ht="12.8" hidden="false" customHeight="false" outlineLevel="0" collapsed="false">
      <c r="A428" s="159"/>
      <c r="B428" s="160"/>
      <c r="C428" s="161"/>
      <c r="D428" s="162"/>
      <c r="E428" s="157"/>
      <c r="F428" s="157"/>
      <c r="G428" s="158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customFormat="false" ht="12.8" hidden="false" customHeight="false" outlineLevel="0" collapsed="false">
      <c r="A429" s="159"/>
      <c r="B429" s="160"/>
      <c r="C429" s="161"/>
      <c r="D429" s="162"/>
      <c r="E429" s="157"/>
      <c r="F429" s="157"/>
      <c r="G429" s="158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customFormat="false" ht="12.8" hidden="false" customHeight="false" outlineLevel="0" collapsed="false">
      <c r="A430" s="159"/>
      <c r="B430" s="160"/>
      <c r="C430" s="161"/>
      <c r="D430" s="162"/>
      <c r="E430" s="157"/>
      <c r="F430" s="157"/>
      <c r="G430" s="158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customFormat="false" ht="12.8" hidden="false" customHeight="false" outlineLevel="0" collapsed="false">
      <c r="A431" s="159"/>
      <c r="B431" s="160"/>
      <c r="C431" s="161"/>
      <c r="D431" s="162"/>
      <c r="E431" s="157"/>
      <c r="F431" s="157"/>
      <c r="G431" s="158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customFormat="false" ht="12.8" hidden="false" customHeight="false" outlineLevel="0" collapsed="false">
      <c r="A432" s="159"/>
      <c r="B432" s="160"/>
      <c r="C432" s="161"/>
      <c r="D432" s="162"/>
      <c r="E432" s="157"/>
      <c r="F432" s="157"/>
      <c r="G432" s="158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customFormat="false" ht="12.8" hidden="false" customHeight="false" outlineLevel="0" collapsed="false">
      <c r="A433" s="159"/>
      <c r="B433" s="160"/>
      <c r="C433" s="161"/>
      <c r="D433" s="162"/>
      <c r="E433" s="157"/>
      <c r="F433" s="157"/>
      <c r="G433" s="158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customFormat="false" ht="12.8" hidden="false" customHeight="false" outlineLevel="0" collapsed="false">
      <c r="A434" s="159"/>
      <c r="B434" s="160"/>
      <c r="C434" s="161"/>
      <c r="D434" s="162"/>
      <c r="E434" s="157"/>
      <c r="F434" s="157"/>
      <c r="G434" s="158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customFormat="false" ht="12.8" hidden="false" customHeight="false" outlineLevel="0" collapsed="false">
      <c r="A435" s="159"/>
      <c r="B435" s="160"/>
      <c r="C435" s="161"/>
      <c r="D435" s="162"/>
      <c r="E435" s="157"/>
      <c r="F435" s="157"/>
      <c r="G435" s="158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customFormat="false" ht="12.8" hidden="false" customHeight="false" outlineLevel="0" collapsed="false">
      <c r="A436" s="159"/>
      <c r="B436" s="160"/>
      <c r="C436" s="161"/>
      <c r="D436" s="162"/>
      <c r="E436" s="157"/>
      <c r="F436" s="157"/>
      <c r="G436" s="158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customFormat="false" ht="12.8" hidden="false" customHeight="false" outlineLevel="0" collapsed="false">
      <c r="A437" s="159"/>
      <c r="B437" s="160"/>
      <c r="C437" s="161"/>
      <c r="D437" s="162"/>
      <c r="E437" s="157"/>
      <c r="F437" s="157"/>
      <c r="G437" s="158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customFormat="false" ht="12.8" hidden="false" customHeight="false" outlineLevel="0" collapsed="false">
      <c r="A438" s="159"/>
      <c r="B438" s="160"/>
      <c r="C438" s="161"/>
      <c r="D438" s="162"/>
      <c r="E438" s="157"/>
      <c r="F438" s="157"/>
      <c r="G438" s="158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customFormat="false" ht="12.8" hidden="false" customHeight="false" outlineLevel="0" collapsed="false">
      <c r="A439" s="159"/>
      <c r="B439" s="160"/>
      <c r="C439" s="161"/>
      <c r="D439" s="162"/>
      <c r="E439" s="157"/>
      <c r="F439" s="157"/>
      <c r="G439" s="158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customFormat="false" ht="12.8" hidden="false" customHeight="false" outlineLevel="0" collapsed="false">
      <c r="A440" s="159"/>
      <c r="B440" s="160"/>
      <c r="C440" s="161"/>
      <c r="D440" s="162"/>
      <c r="E440" s="157"/>
      <c r="F440" s="157"/>
      <c r="G440" s="158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customFormat="false" ht="12.8" hidden="false" customHeight="false" outlineLevel="0" collapsed="false">
      <c r="A441" s="159"/>
      <c r="B441" s="160"/>
      <c r="C441" s="161"/>
      <c r="D441" s="162"/>
      <c r="E441" s="157"/>
      <c r="F441" s="157"/>
      <c r="G441" s="158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customFormat="false" ht="12.8" hidden="false" customHeight="false" outlineLevel="0" collapsed="false">
      <c r="A442" s="159"/>
      <c r="B442" s="160"/>
      <c r="C442" s="161"/>
      <c r="D442" s="162"/>
      <c r="E442" s="157"/>
      <c r="F442" s="157"/>
      <c r="G442" s="158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customFormat="false" ht="12.8" hidden="false" customHeight="false" outlineLevel="0" collapsed="false">
      <c r="A443" s="159"/>
      <c r="B443" s="160"/>
      <c r="C443" s="161"/>
      <c r="D443" s="162"/>
      <c r="E443" s="157"/>
      <c r="F443" s="157"/>
      <c r="G443" s="158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customFormat="false" ht="12.8" hidden="false" customHeight="false" outlineLevel="0" collapsed="false">
      <c r="A444" s="159"/>
      <c r="B444" s="160"/>
      <c r="C444" s="161"/>
      <c r="D444" s="162"/>
      <c r="E444" s="157"/>
      <c r="F444" s="157"/>
      <c r="G444" s="158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customFormat="false" ht="12.8" hidden="false" customHeight="false" outlineLevel="0" collapsed="false">
      <c r="A445" s="159"/>
      <c r="B445" s="160"/>
      <c r="C445" s="161"/>
      <c r="D445" s="162"/>
      <c r="E445" s="157"/>
      <c r="F445" s="157"/>
      <c r="G445" s="158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customFormat="false" ht="12.8" hidden="false" customHeight="false" outlineLevel="0" collapsed="false">
      <c r="A446" s="159"/>
      <c r="B446" s="160"/>
      <c r="C446" s="161"/>
      <c r="D446" s="162"/>
      <c r="E446" s="157"/>
      <c r="F446" s="157"/>
      <c r="G446" s="158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customFormat="false" ht="12.8" hidden="false" customHeight="false" outlineLevel="0" collapsed="false">
      <c r="A447" s="159"/>
      <c r="B447" s="160"/>
      <c r="C447" s="161"/>
      <c r="D447" s="162"/>
      <c r="E447" s="157"/>
      <c r="F447" s="157"/>
      <c r="G447" s="158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customFormat="false" ht="12.8" hidden="false" customHeight="false" outlineLevel="0" collapsed="false">
      <c r="A448" s="159"/>
      <c r="B448" s="160"/>
      <c r="C448" s="161"/>
      <c r="D448" s="162"/>
      <c r="E448" s="157"/>
      <c r="F448" s="157"/>
      <c r="G448" s="158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customFormat="false" ht="12.8" hidden="false" customHeight="false" outlineLevel="0" collapsed="false">
      <c r="A449" s="159"/>
      <c r="B449" s="160"/>
      <c r="C449" s="161"/>
      <c r="D449" s="162"/>
      <c r="E449" s="157"/>
      <c r="F449" s="157"/>
      <c r="G449" s="158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customFormat="false" ht="12.8" hidden="false" customHeight="false" outlineLevel="0" collapsed="false">
      <c r="A450" s="159"/>
      <c r="B450" s="160"/>
      <c r="C450" s="161"/>
      <c r="D450" s="162"/>
      <c r="E450" s="157"/>
      <c r="F450" s="157"/>
      <c r="G450" s="158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customFormat="false" ht="12.8" hidden="false" customHeight="false" outlineLevel="0" collapsed="false">
      <c r="A451" s="159"/>
      <c r="B451" s="160"/>
      <c r="C451" s="161"/>
      <c r="D451" s="162"/>
      <c r="E451" s="157"/>
      <c r="F451" s="157"/>
      <c r="G451" s="158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customFormat="false" ht="12.8" hidden="false" customHeight="false" outlineLevel="0" collapsed="false">
      <c r="A452" s="159"/>
      <c r="B452" s="160"/>
      <c r="C452" s="161"/>
      <c r="D452" s="162"/>
      <c r="E452" s="157"/>
      <c r="F452" s="157"/>
      <c r="G452" s="158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customFormat="false" ht="12.8" hidden="false" customHeight="false" outlineLevel="0" collapsed="false">
      <c r="A453" s="159"/>
      <c r="B453" s="160"/>
      <c r="C453" s="161"/>
      <c r="D453" s="162"/>
      <c r="E453" s="157"/>
      <c r="F453" s="157"/>
      <c r="G453" s="158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customFormat="false" ht="12.8" hidden="false" customHeight="false" outlineLevel="0" collapsed="false">
      <c r="A454" s="159"/>
      <c r="B454" s="160"/>
      <c r="C454" s="161"/>
      <c r="D454" s="162"/>
      <c r="E454" s="157"/>
      <c r="F454" s="157"/>
      <c r="G454" s="158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customFormat="false" ht="12.8" hidden="false" customHeight="false" outlineLevel="0" collapsed="false">
      <c r="A455" s="159"/>
      <c r="B455" s="160"/>
      <c r="C455" s="161"/>
      <c r="D455" s="162"/>
      <c r="E455" s="157"/>
      <c r="F455" s="157"/>
      <c r="G455" s="158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customFormat="false" ht="12.8" hidden="false" customHeight="false" outlineLevel="0" collapsed="false">
      <c r="A456" s="159"/>
      <c r="B456" s="160"/>
      <c r="C456" s="161"/>
      <c r="D456" s="162"/>
      <c r="E456" s="157"/>
      <c r="F456" s="157"/>
      <c r="G456" s="158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customFormat="false" ht="12.8" hidden="false" customHeight="false" outlineLevel="0" collapsed="false">
      <c r="A457" s="159"/>
      <c r="B457" s="160"/>
      <c r="C457" s="161"/>
      <c r="D457" s="162"/>
      <c r="E457" s="157"/>
      <c r="F457" s="157"/>
      <c r="G457" s="158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customFormat="false" ht="12.8" hidden="false" customHeight="false" outlineLevel="0" collapsed="false">
      <c r="A458" s="159"/>
      <c r="B458" s="160"/>
      <c r="C458" s="161"/>
      <c r="D458" s="162"/>
      <c r="E458" s="157"/>
      <c r="F458" s="157"/>
      <c r="G458" s="158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customFormat="false" ht="12.8" hidden="false" customHeight="false" outlineLevel="0" collapsed="false">
      <c r="A459" s="159"/>
      <c r="B459" s="160"/>
      <c r="C459" s="161"/>
      <c r="D459" s="162"/>
      <c r="E459" s="157"/>
      <c r="F459" s="157"/>
      <c r="G459" s="158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customFormat="false" ht="12.8" hidden="false" customHeight="false" outlineLevel="0" collapsed="false">
      <c r="A460" s="159"/>
      <c r="B460" s="160"/>
      <c r="C460" s="161"/>
      <c r="D460" s="162"/>
      <c r="E460" s="157"/>
      <c r="F460" s="157"/>
      <c r="G460" s="158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customFormat="false" ht="12.8" hidden="false" customHeight="false" outlineLevel="0" collapsed="false">
      <c r="A461" s="159"/>
      <c r="B461" s="160"/>
      <c r="C461" s="161"/>
      <c r="D461" s="162"/>
      <c r="E461" s="157"/>
      <c r="F461" s="157"/>
      <c r="G461" s="158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customFormat="false" ht="12.8" hidden="false" customHeight="false" outlineLevel="0" collapsed="false">
      <c r="A462" s="159"/>
      <c r="B462" s="160"/>
      <c r="C462" s="161"/>
      <c r="D462" s="162"/>
      <c r="E462" s="157"/>
      <c r="F462" s="157"/>
      <c r="G462" s="158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customFormat="false" ht="12.8" hidden="false" customHeight="false" outlineLevel="0" collapsed="false">
      <c r="A463" s="159"/>
      <c r="B463" s="160"/>
      <c r="C463" s="161"/>
      <c r="D463" s="162"/>
      <c r="E463" s="157"/>
      <c r="F463" s="157"/>
      <c r="G463" s="158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customFormat="false" ht="12.8" hidden="false" customHeight="false" outlineLevel="0" collapsed="false">
      <c r="A464" s="159"/>
      <c r="B464" s="160"/>
      <c r="C464" s="161"/>
      <c r="D464" s="162"/>
      <c r="E464" s="157"/>
      <c r="F464" s="157"/>
      <c r="G464" s="158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customFormat="false" ht="12.8" hidden="false" customHeight="false" outlineLevel="0" collapsed="false">
      <c r="A465" s="159"/>
      <c r="B465" s="160"/>
      <c r="C465" s="161"/>
      <c r="D465" s="162"/>
      <c r="E465" s="157"/>
      <c r="F465" s="157"/>
      <c r="G465" s="158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customFormat="false" ht="12.8" hidden="false" customHeight="false" outlineLevel="0" collapsed="false">
      <c r="A466" s="159"/>
      <c r="B466" s="160"/>
      <c r="C466" s="161"/>
      <c r="D466" s="162"/>
      <c r="E466" s="157"/>
      <c r="F466" s="157"/>
      <c r="G466" s="158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customFormat="false" ht="12.8" hidden="false" customHeight="false" outlineLevel="0" collapsed="false">
      <c r="A467" s="159"/>
      <c r="B467" s="160"/>
      <c r="C467" s="161"/>
      <c r="D467" s="162"/>
      <c r="E467" s="157"/>
      <c r="F467" s="157"/>
      <c r="G467" s="158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customFormat="false" ht="12.8" hidden="false" customHeight="false" outlineLevel="0" collapsed="false">
      <c r="A468" s="159"/>
      <c r="B468" s="160"/>
      <c r="C468" s="161"/>
      <c r="D468" s="162"/>
      <c r="E468" s="157"/>
      <c r="F468" s="157"/>
      <c r="G468" s="158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customFormat="false" ht="12.8" hidden="false" customHeight="false" outlineLevel="0" collapsed="false">
      <c r="A469" s="159"/>
      <c r="B469" s="160"/>
      <c r="C469" s="161"/>
      <c r="D469" s="162"/>
      <c r="E469" s="157"/>
      <c r="F469" s="157"/>
      <c r="G469" s="158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customFormat="false" ht="12.8" hidden="false" customHeight="false" outlineLevel="0" collapsed="false">
      <c r="A470" s="159"/>
      <c r="B470" s="160"/>
      <c r="C470" s="161"/>
      <c r="D470" s="162"/>
      <c r="E470" s="157"/>
      <c r="F470" s="157"/>
      <c r="G470" s="158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customFormat="false" ht="12.8" hidden="false" customHeight="false" outlineLevel="0" collapsed="false">
      <c r="A471" s="159"/>
      <c r="B471" s="160"/>
      <c r="C471" s="161"/>
      <c r="D471" s="162"/>
      <c r="E471" s="157"/>
      <c r="F471" s="157"/>
      <c r="G471" s="158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customFormat="false" ht="12.8" hidden="false" customHeight="false" outlineLevel="0" collapsed="false">
      <c r="A472" s="159"/>
      <c r="B472" s="160"/>
      <c r="C472" s="161"/>
      <c r="D472" s="162"/>
      <c r="E472" s="157"/>
      <c r="F472" s="157"/>
      <c r="G472" s="158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customFormat="false" ht="12.8" hidden="false" customHeight="false" outlineLevel="0" collapsed="false">
      <c r="A473" s="159"/>
      <c r="B473" s="160"/>
      <c r="C473" s="161"/>
      <c r="D473" s="162"/>
      <c r="E473" s="157"/>
      <c r="F473" s="157"/>
      <c r="G473" s="158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customFormat="false" ht="12.8" hidden="false" customHeight="false" outlineLevel="0" collapsed="false">
      <c r="A474" s="159"/>
      <c r="B474" s="160"/>
      <c r="C474" s="161"/>
      <c r="D474" s="162"/>
      <c r="E474" s="157"/>
      <c r="F474" s="157"/>
      <c r="G474" s="158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customFormat="false" ht="12.8" hidden="false" customHeight="false" outlineLevel="0" collapsed="false">
      <c r="A475" s="159"/>
      <c r="B475" s="160"/>
      <c r="C475" s="161"/>
      <c r="D475" s="162"/>
      <c r="E475" s="157"/>
      <c r="F475" s="157"/>
      <c r="G475" s="158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customFormat="false" ht="12.8" hidden="false" customHeight="false" outlineLevel="0" collapsed="false">
      <c r="A476" s="159"/>
      <c r="B476" s="160"/>
      <c r="C476" s="161"/>
      <c r="D476" s="162"/>
      <c r="E476" s="157"/>
      <c r="F476" s="157"/>
      <c r="G476" s="158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customFormat="false" ht="12.8" hidden="false" customHeight="false" outlineLevel="0" collapsed="false">
      <c r="A477" s="159"/>
      <c r="B477" s="160"/>
      <c r="C477" s="161"/>
      <c r="D477" s="162"/>
      <c r="E477" s="157"/>
      <c r="F477" s="157"/>
      <c r="G477" s="158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customFormat="false" ht="12.8" hidden="false" customHeight="false" outlineLevel="0" collapsed="false">
      <c r="A478" s="159"/>
      <c r="B478" s="160"/>
      <c r="C478" s="161"/>
      <c r="D478" s="162"/>
      <c r="E478" s="157"/>
      <c r="F478" s="157"/>
      <c r="G478" s="158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customFormat="false" ht="12.8" hidden="false" customHeight="false" outlineLevel="0" collapsed="false">
      <c r="A479" s="159"/>
      <c r="B479" s="160"/>
      <c r="C479" s="161"/>
      <c r="D479" s="162"/>
      <c r="E479" s="157"/>
      <c r="F479" s="157"/>
      <c r="G479" s="158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customFormat="false" ht="12.8" hidden="false" customHeight="false" outlineLevel="0" collapsed="false">
      <c r="A480" s="159"/>
      <c r="B480" s="160"/>
      <c r="C480" s="161"/>
      <c r="D480" s="162"/>
      <c r="E480" s="157"/>
      <c r="F480" s="157"/>
      <c r="G480" s="158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customFormat="false" ht="12.8" hidden="false" customHeight="false" outlineLevel="0" collapsed="false">
      <c r="A481" s="159"/>
      <c r="B481" s="160"/>
      <c r="C481" s="161"/>
      <c r="D481" s="162"/>
      <c r="E481" s="157"/>
      <c r="F481" s="157"/>
      <c r="G481" s="158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customFormat="false" ht="12.8" hidden="false" customHeight="false" outlineLevel="0" collapsed="false">
      <c r="A482" s="159"/>
      <c r="B482" s="160"/>
      <c r="C482" s="161"/>
      <c r="D482" s="162"/>
      <c r="E482" s="157"/>
      <c r="F482" s="157"/>
      <c r="G482" s="158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customFormat="false" ht="12.8" hidden="false" customHeight="false" outlineLevel="0" collapsed="false">
      <c r="A483" s="159"/>
      <c r="B483" s="160"/>
      <c r="C483" s="161"/>
      <c r="D483" s="162"/>
      <c r="E483" s="157"/>
      <c r="F483" s="157"/>
      <c r="G483" s="158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customFormat="false" ht="12.8" hidden="false" customHeight="false" outlineLevel="0" collapsed="false">
      <c r="A484" s="159"/>
      <c r="B484" s="160"/>
      <c r="C484" s="161"/>
      <c r="D484" s="162"/>
      <c r="E484" s="157"/>
      <c r="F484" s="157"/>
      <c r="G484" s="158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customFormat="false" ht="12.8" hidden="false" customHeight="false" outlineLevel="0" collapsed="false">
      <c r="A485" s="159"/>
      <c r="B485" s="160"/>
      <c r="C485" s="161"/>
      <c r="D485" s="162"/>
      <c r="E485" s="157"/>
      <c r="F485" s="157"/>
      <c r="G485" s="158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customFormat="false" ht="12.8" hidden="false" customHeight="false" outlineLevel="0" collapsed="false">
      <c r="A486" s="159"/>
      <c r="B486" s="160"/>
      <c r="C486" s="161"/>
      <c r="D486" s="162"/>
      <c r="E486" s="157"/>
      <c r="F486" s="157"/>
      <c r="G486" s="158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customFormat="false" ht="12.8" hidden="false" customHeight="false" outlineLevel="0" collapsed="false">
      <c r="A487" s="159"/>
      <c r="B487" s="160"/>
      <c r="C487" s="161"/>
      <c r="D487" s="162"/>
      <c r="E487" s="157"/>
      <c r="F487" s="157"/>
      <c r="G487" s="158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customFormat="false" ht="12.8" hidden="false" customHeight="false" outlineLevel="0" collapsed="false">
      <c r="A488" s="159"/>
      <c r="B488" s="160"/>
      <c r="C488" s="161"/>
      <c r="D488" s="162"/>
      <c r="E488" s="157"/>
      <c r="F488" s="157"/>
      <c r="G488" s="158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customFormat="false" ht="12.8" hidden="false" customHeight="false" outlineLevel="0" collapsed="false">
      <c r="A489" s="159"/>
      <c r="B489" s="160"/>
      <c r="C489" s="161"/>
      <c r="D489" s="162"/>
      <c r="E489" s="157"/>
      <c r="F489" s="157"/>
      <c r="G489" s="158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customFormat="false" ht="12.8" hidden="false" customHeight="false" outlineLevel="0" collapsed="false">
      <c r="A490" s="159"/>
      <c r="B490" s="160"/>
      <c r="C490" s="161"/>
      <c r="D490" s="162"/>
      <c r="E490" s="157"/>
      <c r="F490" s="157"/>
      <c r="G490" s="158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customFormat="false" ht="12.8" hidden="false" customHeight="false" outlineLevel="0" collapsed="false">
      <c r="A491" s="159"/>
      <c r="B491" s="160"/>
      <c r="C491" s="161"/>
      <c r="D491" s="162"/>
      <c r="E491" s="157"/>
      <c r="F491" s="157"/>
      <c r="G491" s="158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customFormat="false" ht="12.8" hidden="false" customHeight="false" outlineLevel="0" collapsed="false">
      <c r="A492" s="159"/>
      <c r="B492" s="160"/>
      <c r="C492" s="161"/>
      <c r="D492" s="162"/>
      <c r="E492" s="157"/>
      <c r="F492" s="157"/>
      <c r="G492" s="158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customFormat="false" ht="12.8" hidden="false" customHeight="false" outlineLevel="0" collapsed="false">
      <c r="A493" s="159"/>
      <c r="B493" s="160"/>
      <c r="C493" s="161"/>
      <c r="D493" s="162"/>
      <c r="E493" s="157"/>
      <c r="F493" s="157"/>
      <c r="G493" s="158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customFormat="false" ht="12.8" hidden="false" customHeight="false" outlineLevel="0" collapsed="false">
      <c r="A494" s="159"/>
      <c r="B494" s="160"/>
      <c r="C494" s="161"/>
      <c r="D494" s="162"/>
      <c r="E494" s="157"/>
      <c r="F494" s="157"/>
      <c r="G494" s="158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customFormat="false" ht="12.8" hidden="false" customHeight="false" outlineLevel="0" collapsed="false">
      <c r="A495" s="159"/>
      <c r="B495" s="160"/>
      <c r="C495" s="161"/>
      <c r="D495" s="162"/>
      <c r="E495" s="157"/>
      <c r="F495" s="157"/>
      <c r="G495" s="158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customFormat="false" ht="12.8" hidden="false" customHeight="false" outlineLevel="0" collapsed="false">
      <c r="A496" s="159"/>
      <c r="B496" s="160"/>
      <c r="C496" s="161"/>
      <c r="D496" s="162"/>
      <c r="E496" s="157"/>
      <c r="F496" s="157"/>
      <c r="G496" s="158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customFormat="false" ht="12.8" hidden="false" customHeight="false" outlineLevel="0" collapsed="false">
      <c r="A497" s="159"/>
      <c r="B497" s="160"/>
      <c r="C497" s="161"/>
      <c r="D497" s="162"/>
      <c r="E497" s="157"/>
      <c r="F497" s="157"/>
      <c r="G497" s="158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customFormat="false" ht="12.8" hidden="false" customHeight="false" outlineLevel="0" collapsed="false">
      <c r="A498" s="159"/>
      <c r="B498" s="160"/>
      <c r="C498" s="161"/>
      <c r="D498" s="162"/>
      <c r="E498" s="157"/>
      <c r="F498" s="157"/>
      <c r="G498" s="158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customFormat="false" ht="12.8" hidden="false" customHeight="false" outlineLevel="0" collapsed="false">
      <c r="A499" s="159"/>
      <c r="B499" s="160"/>
      <c r="C499" s="161"/>
      <c r="D499" s="162"/>
      <c r="E499" s="157"/>
      <c r="F499" s="157"/>
      <c r="G499" s="158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customFormat="false" ht="12.8" hidden="false" customHeight="false" outlineLevel="0" collapsed="false">
      <c r="A500" s="159"/>
      <c r="B500" s="160"/>
      <c r="C500" s="161"/>
      <c r="D500" s="162"/>
      <c r="E500" s="157"/>
      <c r="F500" s="157"/>
      <c r="G500" s="158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customFormat="false" ht="12.8" hidden="false" customHeight="false" outlineLevel="0" collapsed="false">
      <c r="A501" s="159"/>
      <c r="B501" s="160"/>
      <c r="C501" s="161"/>
      <c r="D501" s="162"/>
      <c r="E501" s="157"/>
      <c r="F501" s="157"/>
      <c r="G501" s="158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customFormat="false" ht="12.8" hidden="false" customHeight="false" outlineLevel="0" collapsed="false">
      <c r="A502" s="159"/>
      <c r="B502" s="160"/>
      <c r="C502" s="161"/>
      <c r="D502" s="162"/>
      <c r="E502" s="157"/>
      <c r="F502" s="157"/>
      <c r="G502" s="158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customFormat="false" ht="12.8" hidden="false" customHeight="false" outlineLevel="0" collapsed="false">
      <c r="A503" s="159"/>
      <c r="B503" s="160"/>
      <c r="C503" s="161"/>
      <c r="D503" s="162"/>
      <c r="E503" s="157"/>
      <c r="F503" s="157"/>
      <c r="G503" s="158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customFormat="false" ht="12.8" hidden="false" customHeight="false" outlineLevel="0" collapsed="false">
      <c r="A504" s="159"/>
      <c r="B504" s="160"/>
      <c r="C504" s="161"/>
      <c r="D504" s="162"/>
      <c r="E504" s="157"/>
      <c r="F504" s="157"/>
      <c r="G504" s="158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customFormat="false" ht="12.8" hidden="false" customHeight="false" outlineLevel="0" collapsed="false">
      <c r="A505" s="159"/>
      <c r="B505" s="160"/>
      <c r="C505" s="161"/>
      <c r="D505" s="162"/>
      <c r="E505" s="157"/>
      <c r="F505" s="157"/>
      <c r="G505" s="158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customFormat="false" ht="12.8" hidden="false" customHeight="false" outlineLevel="0" collapsed="false">
      <c r="A506" s="159"/>
      <c r="B506" s="160"/>
      <c r="C506" s="161"/>
      <c r="D506" s="162"/>
      <c r="E506" s="157"/>
      <c r="F506" s="157"/>
      <c r="G506" s="158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customFormat="false" ht="12.8" hidden="false" customHeight="false" outlineLevel="0" collapsed="false">
      <c r="A507" s="159"/>
      <c r="B507" s="160"/>
      <c r="C507" s="161"/>
      <c r="D507" s="162"/>
      <c r="E507" s="157"/>
      <c r="F507" s="157"/>
      <c r="G507" s="158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customFormat="false" ht="12.8" hidden="false" customHeight="false" outlineLevel="0" collapsed="false">
      <c r="A508" s="159"/>
      <c r="B508" s="160"/>
      <c r="C508" s="161"/>
      <c r="D508" s="162"/>
      <c r="E508" s="157"/>
      <c r="F508" s="157"/>
      <c r="G508" s="158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customFormat="false" ht="12.8" hidden="false" customHeight="false" outlineLevel="0" collapsed="false">
      <c r="A509" s="159"/>
      <c r="B509" s="160"/>
      <c r="C509" s="161"/>
      <c r="D509" s="162"/>
      <c r="E509" s="157"/>
      <c r="F509" s="157"/>
      <c r="G509" s="158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customFormat="false" ht="12.8" hidden="false" customHeight="false" outlineLevel="0" collapsed="false">
      <c r="A510" s="159"/>
      <c r="B510" s="160"/>
      <c r="C510" s="161"/>
      <c r="D510" s="162"/>
      <c r="E510" s="157"/>
      <c r="F510" s="157"/>
      <c r="G510" s="158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customFormat="false" ht="12.8" hidden="false" customHeight="false" outlineLevel="0" collapsed="false">
      <c r="A511" s="159"/>
      <c r="B511" s="160"/>
      <c r="C511" s="161"/>
      <c r="D511" s="162"/>
      <c r="E511" s="157"/>
      <c r="F511" s="157"/>
      <c r="G511" s="158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customFormat="false" ht="12.8" hidden="false" customHeight="false" outlineLevel="0" collapsed="false">
      <c r="A512" s="159"/>
      <c r="B512" s="160"/>
      <c r="C512" s="161"/>
      <c r="D512" s="162"/>
      <c r="E512" s="157"/>
      <c r="F512" s="157"/>
      <c r="G512" s="158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customFormat="false" ht="12.8" hidden="false" customHeight="false" outlineLevel="0" collapsed="false">
      <c r="A513" s="159"/>
      <c r="B513" s="160"/>
      <c r="C513" s="161"/>
      <c r="D513" s="162"/>
      <c r="E513" s="157"/>
      <c r="F513" s="157"/>
      <c r="G513" s="158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customFormat="false" ht="12.8" hidden="false" customHeight="false" outlineLevel="0" collapsed="false">
      <c r="A514" s="159"/>
      <c r="B514" s="160"/>
      <c r="C514" s="161"/>
      <c r="D514" s="162"/>
      <c r="E514" s="157"/>
      <c r="F514" s="157"/>
      <c r="G514" s="158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customFormat="false" ht="12.8" hidden="false" customHeight="false" outlineLevel="0" collapsed="false">
      <c r="A515" s="159"/>
      <c r="B515" s="160"/>
      <c r="C515" s="161"/>
      <c r="D515" s="162"/>
      <c r="E515" s="157"/>
      <c r="F515" s="157"/>
      <c r="G515" s="158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customFormat="false" ht="12.8" hidden="false" customHeight="false" outlineLevel="0" collapsed="false">
      <c r="A516" s="159"/>
      <c r="B516" s="160"/>
      <c r="C516" s="161"/>
      <c r="D516" s="162"/>
      <c r="E516" s="157"/>
      <c r="F516" s="157"/>
      <c r="G516" s="158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customFormat="false" ht="12.8" hidden="false" customHeight="false" outlineLevel="0" collapsed="false">
      <c r="A517" s="159"/>
      <c r="B517" s="160"/>
      <c r="C517" s="161"/>
      <c r="D517" s="162"/>
      <c r="E517" s="157"/>
      <c r="F517" s="157"/>
      <c r="G517" s="158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customFormat="false" ht="12.8" hidden="false" customHeight="false" outlineLevel="0" collapsed="false">
      <c r="A518" s="159"/>
      <c r="B518" s="160"/>
      <c r="C518" s="161"/>
      <c r="D518" s="162"/>
      <c r="E518" s="157"/>
      <c r="F518" s="157"/>
      <c r="G518" s="158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customFormat="false" ht="12.8" hidden="false" customHeight="false" outlineLevel="0" collapsed="false">
      <c r="A519" s="159"/>
      <c r="B519" s="160"/>
      <c r="C519" s="161"/>
      <c r="D519" s="162"/>
      <c r="E519" s="157"/>
      <c r="F519" s="157"/>
      <c r="G519" s="158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customFormat="false" ht="12.8" hidden="false" customHeight="false" outlineLevel="0" collapsed="false">
      <c r="A520" s="159"/>
      <c r="B520" s="160"/>
      <c r="C520" s="161"/>
      <c r="D520" s="162"/>
      <c r="E520" s="157"/>
      <c r="F520" s="157"/>
      <c r="G520" s="158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customFormat="false" ht="12.8" hidden="false" customHeight="false" outlineLevel="0" collapsed="false">
      <c r="A521" s="159"/>
      <c r="B521" s="160"/>
      <c r="C521" s="161"/>
      <c r="D521" s="162"/>
      <c r="E521" s="157"/>
      <c r="F521" s="157"/>
      <c r="G521" s="158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customFormat="false" ht="12.8" hidden="false" customHeight="false" outlineLevel="0" collapsed="false">
      <c r="A522" s="159"/>
      <c r="B522" s="160"/>
      <c r="C522" s="161"/>
      <c r="D522" s="162"/>
      <c r="E522" s="157"/>
      <c r="F522" s="157"/>
      <c r="G522" s="158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customFormat="false" ht="12.8" hidden="false" customHeight="false" outlineLevel="0" collapsed="false">
      <c r="A523" s="159"/>
      <c r="B523" s="160"/>
      <c r="C523" s="161"/>
      <c r="D523" s="162"/>
      <c r="E523" s="157"/>
      <c r="F523" s="157"/>
      <c r="G523" s="158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customFormat="false" ht="12.8" hidden="false" customHeight="false" outlineLevel="0" collapsed="false">
      <c r="A524" s="159"/>
      <c r="B524" s="160"/>
      <c r="C524" s="161"/>
      <c r="D524" s="162"/>
      <c r="E524" s="157"/>
      <c r="F524" s="157"/>
      <c r="G524" s="158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customFormat="false" ht="12.8" hidden="false" customHeight="false" outlineLevel="0" collapsed="false">
      <c r="A525" s="159"/>
      <c r="B525" s="160"/>
      <c r="C525" s="161"/>
      <c r="D525" s="162"/>
      <c r="E525" s="157"/>
      <c r="F525" s="157"/>
      <c r="G525" s="158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customFormat="false" ht="12.8" hidden="false" customHeight="false" outlineLevel="0" collapsed="false">
      <c r="A526" s="159"/>
      <c r="B526" s="160"/>
      <c r="C526" s="161"/>
      <c r="D526" s="162"/>
      <c r="E526" s="157"/>
      <c r="F526" s="157"/>
      <c r="G526" s="158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customFormat="false" ht="12.8" hidden="false" customHeight="false" outlineLevel="0" collapsed="false">
      <c r="A527" s="159"/>
      <c r="B527" s="160"/>
      <c r="C527" s="161"/>
      <c r="D527" s="162"/>
      <c r="E527" s="157"/>
      <c r="F527" s="157"/>
      <c r="G527" s="158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customFormat="false" ht="12.8" hidden="false" customHeight="false" outlineLevel="0" collapsed="false">
      <c r="A528" s="159"/>
      <c r="B528" s="160"/>
      <c r="C528" s="161"/>
      <c r="D528" s="162"/>
      <c r="E528" s="157"/>
      <c r="F528" s="157"/>
      <c r="G528" s="158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customFormat="false" ht="12.8" hidden="false" customHeight="false" outlineLevel="0" collapsed="false">
      <c r="A529" s="159"/>
      <c r="B529" s="160"/>
      <c r="C529" s="161"/>
      <c r="D529" s="162"/>
      <c r="E529" s="157"/>
      <c r="F529" s="157"/>
      <c r="G529" s="158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customFormat="false" ht="12.8" hidden="false" customHeight="false" outlineLevel="0" collapsed="false">
      <c r="A530" s="159"/>
      <c r="B530" s="160"/>
      <c r="C530" s="161"/>
      <c r="D530" s="162"/>
      <c r="E530" s="157"/>
      <c r="F530" s="157"/>
      <c r="G530" s="158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customFormat="false" ht="12.8" hidden="false" customHeight="false" outlineLevel="0" collapsed="false">
      <c r="A531" s="159"/>
      <c r="B531" s="160"/>
      <c r="C531" s="161"/>
      <c r="D531" s="162"/>
      <c r="E531" s="157"/>
      <c r="F531" s="157"/>
      <c r="G531" s="158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customFormat="false" ht="12.8" hidden="false" customHeight="false" outlineLevel="0" collapsed="false">
      <c r="A532" s="159"/>
      <c r="B532" s="160"/>
      <c r="C532" s="161"/>
      <c r="D532" s="162"/>
      <c r="E532" s="157"/>
      <c r="F532" s="157"/>
      <c r="G532" s="158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customFormat="false" ht="12.8" hidden="false" customHeight="false" outlineLevel="0" collapsed="false">
      <c r="A533" s="159"/>
      <c r="B533" s="160"/>
      <c r="C533" s="161"/>
      <c r="D533" s="162"/>
      <c r="E533" s="157"/>
      <c r="F533" s="157"/>
      <c r="G533" s="158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customFormat="false" ht="12.8" hidden="false" customHeight="false" outlineLevel="0" collapsed="false">
      <c r="A534" s="159"/>
      <c r="B534" s="160"/>
      <c r="C534" s="161"/>
      <c r="D534" s="162"/>
      <c r="E534" s="157"/>
      <c r="F534" s="157"/>
      <c r="G534" s="158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customFormat="false" ht="12.8" hidden="false" customHeight="false" outlineLevel="0" collapsed="false">
      <c r="A535" s="159"/>
      <c r="B535" s="160"/>
      <c r="C535" s="161"/>
      <c r="D535" s="162"/>
      <c r="E535" s="157"/>
      <c r="F535" s="157"/>
      <c r="G535" s="158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customFormat="false" ht="12.8" hidden="false" customHeight="false" outlineLevel="0" collapsed="false">
      <c r="A536" s="159"/>
      <c r="B536" s="160"/>
      <c r="C536" s="161"/>
      <c r="D536" s="162"/>
      <c r="E536" s="157"/>
      <c r="F536" s="157"/>
      <c r="G536" s="158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customFormat="false" ht="12.8" hidden="false" customHeight="false" outlineLevel="0" collapsed="false">
      <c r="A537" s="159"/>
      <c r="B537" s="160"/>
      <c r="C537" s="161"/>
      <c r="D537" s="162"/>
      <c r="E537" s="157"/>
      <c r="F537" s="157"/>
      <c r="G537" s="158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customFormat="false" ht="12.8" hidden="false" customHeight="false" outlineLevel="0" collapsed="false">
      <c r="A538" s="159"/>
      <c r="B538" s="160"/>
      <c r="C538" s="161"/>
      <c r="D538" s="162"/>
      <c r="E538" s="157"/>
      <c r="F538" s="157"/>
      <c r="G538" s="158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customFormat="false" ht="12.8" hidden="false" customHeight="false" outlineLevel="0" collapsed="false">
      <c r="A539" s="159"/>
      <c r="B539" s="160"/>
      <c r="C539" s="161"/>
      <c r="D539" s="162"/>
      <c r="E539" s="157"/>
      <c r="F539" s="157"/>
      <c r="G539" s="158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customFormat="false" ht="12.8" hidden="false" customHeight="false" outlineLevel="0" collapsed="false">
      <c r="A540" s="159"/>
      <c r="B540" s="160"/>
      <c r="C540" s="161"/>
      <c r="D540" s="162"/>
      <c r="E540" s="157"/>
      <c r="F540" s="157"/>
      <c r="G540" s="158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customFormat="false" ht="12.8" hidden="false" customHeight="false" outlineLevel="0" collapsed="false">
      <c r="A541" s="159"/>
      <c r="B541" s="160"/>
      <c r="C541" s="161"/>
      <c r="D541" s="162"/>
      <c r="E541" s="157"/>
      <c r="F541" s="157"/>
      <c r="G541" s="158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customFormat="false" ht="12.8" hidden="false" customHeight="false" outlineLevel="0" collapsed="false">
      <c r="A542" s="159"/>
      <c r="B542" s="160"/>
      <c r="C542" s="161"/>
      <c r="D542" s="162"/>
      <c r="E542" s="157"/>
      <c r="F542" s="157"/>
      <c r="G542" s="158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customFormat="false" ht="12.8" hidden="false" customHeight="false" outlineLevel="0" collapsed="false">
      <c r="A543" s="159"/>
      <c r="B543" s="160"/>
      <c r="C543" s="161"/>
      <c r="D543" s="162"/>
      <c r="E543" s="157"/>
      <c r="F543" s="157"/>
      <c r="G543" s="158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customFormat="false" ht="12.8" hidden="false" customHeight="false" outlineLevel="0" collapsed="false">
      <c r="A544" s="159"/>
      <c r="B544" s="160"/>
      <c r="C544" s="161"/>
      <c r="D544" s="162"/>
      <c r="E544" s="157"/>
      <c r="F544" s="157"/>
      <c r="G544" s="158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customFormat="false" ht="12.8" hidden="false" customHeight="false" outlineLevel="0" collapsed="false">
      <c r="A545" s="159"/>
      <c r="B545" s="160"/>
      <c r="C545" s="161"/>
      <c r="D545" s="162"/>
      <c r="E545" s="157"/>
      <c r="F545" s="157"/>
      <c r="G545" s="158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customFormat="false" ht="12.8" hidden="false" customHeight="false" outlineLevel="0" collapsed="false">
      <c r="A546" s="159"/>
      <c r="B546" s="160"/>
      <c r="C546" s="161"/>
      <c r="D546" s="162"/>
      <c r="E546" s="157"/>
      <c r="F546" s="157"/>
      <c r="G546" s="158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customFormat="false" ht="12.8" hidden="false" customHeight="false" outlineLevel="0" collapsed="false">
      <c r="A547" s="159"/>
      <c r="B547" s="160"/>
      <c r="C547" s="161"/>
      <c r="D547" s="162"/>
      <c r="E547" s="157"/>
      <c r="F547" s="157"/>
      <c r="G547" s="158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customFormat="false" ht="12.8" hidden="false" customHeight="false" outlineLevel="0" collapsed="false">
      <c r="A548" s="159"/>
      <c r="B548" s="160"/>
      <c r="C548" s="161"/>
      <c r="D548" s="162"/>
      <c r="E548" s="157"/>
      <c r="F548" s="157"/>
      <c r="G548" s="158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customFormat="false" ht="12.8" hidden="false" customHeight="false" outlineLevel="0" collapsed="false">
      <c r="A549" s="159"/>
      <c r="B549" s="160"/>
      <c r="C549" s="161"/>
      <c r="D549" s="162"/>
      <c r="E549" s="157"/>
      <c r="F549" s="157"/>
      <c r="G549" s="158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customFormat="false" ht="12.8" hidden="false" customHeight="false" outlineLevel="0" collapsed="false">
      <c r="A550" s="159"/>
      <c r="B550" s="160"/>
      <c r="C550" s="161"/>
      <c r="D550" s="162"/>
      <c r="E550" s="157"/>
      <c r="F550" s="157"/>
      <c r="G550" s="158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customFormat="false" ht="12.8" hidden="false" customHeight="false" outlineLevel="0" collapsed="false">
      <c r="A551" s="159"/>
      <c r="B551" s="160"/>
      <c r="C551" s="161"/>
      <c r="D551" s="162"/>
      <c r="E551" s="157"/>
      <c r="F551" s="157"/>
      <c r="G551" s="158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customFormat="false" ht="12.8" hidden="false" customHeight="false" outlineLevel="0" collapsed="false">
      <c r="A552" s="159"/>
      <c r="B552" s="160"/>
      <c r="C552" s="161"/>
      <c r="D552" s="162"/>
      <c r="E552" s="157"/>
      <c r="F552" s="157"/>
      <c r="G552" s="158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customFormat="false" ht="12.8" hidden="false" customHeight="false" outlineLevel="0" collapsed="false">
      <c r="A553" s="159"/>
      <c r="B553" s="160"/>
      <c r="C553" s="161"/>
      <c r="D553" s="162"/>
      <c r="E553" s="157"/>
      <c r="F553" s="157"/>
      <c r="G553" s="158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customFormat="false" ht="12.8" hidden="false" customHeight="false" outlineLevel="0" collapsed="false">
      <c r="A554" s="159"/>
      <c r="B554" s="160"/>
      <c r="C554" s="161"/>
      <c r="D554" s="162"/>
      <c r="E554" s="157"/>
      <c r="F554" s="157"/>
      <c r="G554" s="158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customFormat="false" ht="12.8" hidden="false" customHeight="false" outlineLevel="0" collapsed="false">
      <c r="A555" s="159"/>
      <c r="B555" s="160"/>
      <c r="C555" s="161"/>
      <c r="D555" s="162"/>
      <c r="E555" s="157"/>
      <c r="F555" s="157"/>
      <c r="G555" s="158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customFormat="false" ht="12.8" hidden="false" customHeight="false" outlineLevel="0" collapsed="false">
      <c r="A556" s="159"/>
      <c r="B556" s="160"/>
      <c r="C556" s="161"/>
      <c r="D556" s="162"/>
      <c r="E556" s="157"/>
      <c r="F556" s="157"/>
      <c r="G556" s="158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customFormat="false" ht="12.8" hidden="false" customHeight="false" outlineLevel="0" collapsed="false">
      <c r="A557" s="159"/>
      <c r="B557" s="160"/>
      <c r="C557" s="161"/>
      <c r="D557" s="162"/>
      <c r="E557" s="157"/>
      <c r="F557" s="157"/>
      <c r="G557" s="158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customFormat="false" ht="12.8" hidden="false" customHeight="false" outlineLevel="0" collapsed="false">
      <c r="A558" s="159"/>
      <c r="B558" s="160"/>
      <c r="C558" s="161"/>
      <c r="D558" s="162"/>
      <c r="E558" s="157"/>
      <c r="F558" s="157"/>
      <c r="G558" s="158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customFormat="false" ht="12.8" hidden="false" customHeight="false" outlineLevel="0" collapsed="false">
      <c r="A559" s="159"/>
      <c r="B559" s="160"/>
      <c r="C559" s="161"/>
      <c r="D559" s="162"/>
      <c r="E559" s="157"/>
      <c r="F559" s="157"/>
      <c r="G559" s="158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customFormat="false" ht="12.8" hidden="false" customHeight="false" outlineLevel="0" collapsed="false">
      <c r="A560" s="159"/>
      <c r="B560" s="160"/>
      <c r="C560" s="161"/>
      <c r="D560" s="162"/>
      <c r="E560" s="157"/>
      <c r="F560" s="157"/>
      <c r="G560" s="158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customFormat="false" ht="12.8" hidden="false" customHeight="false" outlineLevel="0" collapsed="false">
      <c r="A561" s="159"/>
      <c r="B561" s="160"/>
      <c r="C561" s="161"/>
      <c r="D561" s="162"/>
      <c r="E561" s="157"/>
      <c r="F561" s="157"/>
      <c r="G561" s="158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customFormat="false" ht="12.8" hidden="false" customHeight="false" outlineLevel="0" collapsed="false">
      <c r="A562" s="159"/>
      <c r="B562" s="160"/>
      <c r="C562" s="161"/>
      <c r="D562" s="162"/>
      <c r="E562" s="157"/>
      <c r="F562" s="157"/>
      <c r="G562" s="158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customFormat="false" ht="12.8" hidden="false" customHeight="false" outlineLevel="0" collapsed="false">
      <c r="A563" s="159"/>
      <c r="B563" s="160"/>
      <c r="C563" s="161"/>
      <c r="D563" s="162"/>
      <c r="E563" s="157"/>
      <c r="F563" s="157"/>
      <c r="G563" s="158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customFormat="false" ht="12.8" hidden="false" customHeight="false" outlineLevel="0" collapsed="false">
      <c r="A564" s="159"/>
      <c r="B564" s="160"/>
      <c r="C564" s="161"/>
      <c r="D564" s="162"/>
      <c r="E564" s="157"/>
      <c r="F564" s="157"/>
      <c r="G564" s="158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customFormat="false" ht="12.8" hidden="false" customHeight="false" outlineLevel="0" collapsed="false">
      <c r="A565" s="159"/>
      <c r="B565" s="160"/>
      <c r="C565" s="161"/>
      <c r="D565" s="162"/>
      <c r="E565" s="157"/>
      <c r="F565" s="157"/>
      <c r="G565" s="158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customFormat="false" ht="12.8" hidden="false" customHeight="false" outlineLevel="0" collapsed="false">
      <c r="A566" s="159"/>
      <c r="B566" s="160"/>
      <c r="C566" s="161"/>
      <c r="D566" s="162"/>
      <c r="E566" s="157"/>
      <c r="F566" s="157"/>
      <c r="G566" s="158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customFormat="false" ht="12.8" hidden="false" customHeight="false" outlineLevel="0" collapsed="false">
      <c r="A567" s="159"/>
      <c r="B567" s="160"/>
      <c r="C567" s="161"/>
      <c r="D567" s="162"/>
      <c r="E567" s="157"/>
      <c r="F567" s="157"/>
      <c r="G567" s="158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customFormat="false" ht="12.8" hidden="false" customHeight="false" outlineLevel="0" collapsed="false">
      <c r="A568" s="159"/>
      <c r="B568" s="160"/>
      <c r="C568" s="161"/>
      <c r="D568" s="162"/>
      <c r="E568" s="157"/>
      <c r="F568" s="157"/>
      <c r="G568" s="158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customFormat="false" ht="12.8" hidden="false" customHeight="false" outlineLevel="0" collapsed="false">
      <c r="A569" s="159"/>
      <c r="B569" s="160"/>
      <c r="C569" s="161"/>
      <c r="D569" s="162"/>
      <c r="E569" s="157"/>
      <c r="F569" s="157"/>
      <c r="G569" s="158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customFormat="false" ht="12.8" hidden="false" customHeight="false" outlineLevel="0" collapsed="false">
      <c r="A570" s="159"/>
      <c r="B570" s="160"/>
      <c r="C570" s="161"/>
      <c r="D570" s="162"/>
      <c r="E570" s="157"/>
      <c r="F570" s="157"/>
      <c r="G570" s="158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customFormat="false" ht="12.8" hidden="false" customHeight="false" outlineLevel="0" collapsed="false">
      <c r="A571" s="159"/>
      <c r="B571" s="160"/>
      <c r="C571" s="161"/>
      <c r="D571" s="162"/>
      <c r="E571" s="157"/>
      <c r="F571" s="157"/>
      <c r="G571" s="158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customFormat="false" ht="12.8" hidden="false" customHeight="false" outlineLevel="0" collapsed="false">
      <c r="A572" s="159"/>
      <c r="B572" s="160"/>
      <c r="C572" s="161"/>
      <c r="D572" s="162"/>
      <c r="E572" s="157"/>
      <c r="F572" s="157"/>
      <c r="G572" s="158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customFormat="false" ht="12.8" hidden="false" customHeight="false" outlineLevel="0" collapsed="false">
      <c r="A573" s="159"/>
      <c r="B573" s="160"/>
      <c r="C573" s="161"/>
      <c r="D573" s="162"/>
      <c r="E573" s="157"/>
      <c r="F573" s="157"/>
      <c r="G573" s="158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customFormat="false" ht="12.8" hidden="false" customHeight="false" outlineLevel="0" collapsed="false">
      <c r="A574" s="159"/>
      <c r="B574" s="160"/>
      <c r="C574" s="161"/>
      <c r="D574" s="162"/>
      <c r="E574" s="157"/>
      <c r="F574" s="157"/>
      <c r="G574" s="158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customFormat="false" ht="12.8" hidden="false" customHeight="false" outlineLevel="0" collapsed="false">
      <c r="A575" s="159"/>
      <c r="B575" s="160"/>
      <c r="C575" s="161"/>
      <c r="D575" s="162"/>
      <c r="E575" s="157"/>
      <c r="F575" s="157"/>
      <c r="G575" s="158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customFormat="false" ht="12.8" hidden="false" customHeight="false" outlineLevel="0" collapsed="false">
      <c r="A576" s="159"/>
      <c r="B576" s="160"/>
      <c r="C576" s="161"/>
      <c r="D576" s="162"/>
      <c r="E576" s="157"/>
      <c r="F576" s="157"/>
      <c r="G576" s="158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customFormat="false" ht="12.8" hidden="false" customHeight="false" outlineLevel="0" collapsed="false">
      <c r="A577" s="159"/>
      <c r="B577" s="160"/>
      <c r="C577" s="161"/>
      <c r="D577" s="162"/>
      <c r="E577" s="157"/>
      <c r="F577" s="157"/>
      <c r="G577" s="158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customFormat="false" ht="12.8" hidden="false" customHeight="false" outlineLevel="0" collapsed="false">
      <c r="A578" s="159"/>
      <c r="B578" s="160"/>
      <c r="C578" s="161"/>
      <c r="D578" s="162"/>
      <c r="E578" s="157"/>
      <c r="F578" s="157"/>
      <c r="G578" s="158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customFormat="false" ht="12.8" hidden="false" customHeight="false" outlineLevel="0" collapsed="false">
      <c r="A579" s="159"/>
      <c r="B579" s="160"/>
      <c r="C579" s="161"/>
      <c r="D579" s="162"/>
      <c r="E579" s="157"/>
      <c r="F579" s="157"/>
      <c r="G579" s="158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customFormat="false" ht="12.8" hidden="false" customHeight="false" outlineLevel="0" collapsed="false">
      <c r="A580" s="159"/>
      <c r="B580" s="160"/>
      <c r="C580" s="161"/>
      <c r="D580" s="162"/>
      <c r="E580" s="157"/>
      <c r="F580" s="157"/>
      <c r="G580" s="158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customFormat="false" ht="12.8" hidden="false" customHeight="false" outlineLevel="0" collapsed="false">
      <c r="A581" s="159"/>
      <c r="B581" s="160"/>
      <c r="C581" s="161"/>
      <c r="D581" s="162"/>
      <c r="E581" s="157"/>
      <c r="F581" s="157"/>
      <c r="G581" s="158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customFormat="false" ht="12.8" hidden="false" customHeight="false" outlineLevel="0" collapsed="false">
      <c r="A582" s="159"/>
      <c r="B582" s="160"/>
      <c r="C582" s="161"/>
      <c r="D582" s="162"/>
      <c r="E582" s="157"/>
      <c r="F582" s="157"/>
      <c r="G582" s="158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customFormat="false" ht="12.8" hidden="false" customHeight="false" outlineLevel="0" collapsed="false">
      <c r="A583" s="159"/>
      <c r="B583" s="160"/>
      <c r="C583" s="161"/>
      <c r="D583" s="162"/>
      <c r="E583" s="157"/>
      <c r="F583" s="157"/>
      <c r="G583" s="158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customFormat="false" ht="12.8" hidden="false" customHeight="false" outlineLevel="0" collapsed="false">
      <c r="A584" s="159"/>
      <c r="B584" s="160"/>
      <c r="C584" s="161"/>
      <c r="D584" s="162"/>
      <c r="E584" s="157"/>
      <c r="F584" s="157"/>
      <c r="G584" s="158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customFormat="false" ht="12.8" hidden="false" customHeight="false" outlineLevel="0" collapsed="false">
      <c r="A585" s="159"/>
      <c r="B585" s="160"/>
      <c r="C585" s="161"/>
      <c r="D585" s="162"/>
      <c r="E585" s="157"/>
      <c r="F585" s="157"/>
      <c r="G585" s="158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customFormat="false" ht="12.8" hidden="false" customHeight="false" outlineLevel="0" collapsed="false">
      <c r="A586" s="159"/>
      <c r="B586" s="160"/>
      <c r="C586" s="161"/>
      <c r="D586" s="162"/>
      <c r="E586" s="157"/>
      <c r="F586" s="157"/>
      <c r="G586" s="158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customFormat="false" ht="12.8" hidden="false" customHeight="false" outlineLevel="0" collapsed="false">
      <c r="A587" s="159"/>
      <c r="B587" s="160"/>
      <c r="C587" s="161"/>
      <c r="D587" s="162"/>
      <c r="E587" s="157"/>
      <c r="F587" s="157"/>
      <c r="G587" s="158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customFormat="false" ht="12.8" hidden="false" customHeight="false" outlineLevel="0" collapsed="false">
      <c r="A588" s="159"/>
      <c r="B588" s="160"/>
      <c r="C588" s="161"/>
      <c r="D588" s="162"/>
      <c r="E588" s="157"/>
      <c r="F588" s="157"/>
      <c r="G588" s="158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customFormat="false" ht="12.8" hidden="false" customHeight="false" outlineLevel="0" collapsed="false">
      <c r="A589" s="159"/>
      <c r="B589" s="160"/>
      <c r="C589" s="161"/>
      <c r="D589" s="162"/>
      <c r="E589" s="157"/>
      <c r="F589" s="157"/>
      <c r="G589" s="158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customFormat="false" ht="12.8" hidden="false" customHeight="false" outlineLevel="0" collapsed="false">
      <c r="A590" s="159"/>
      <c r="B590" s="160"/>
      <c r="C590" s="161"/>
      <c r="D590" s="162"/>
      <c r="E590" s="157"/>
      <c r="F590" s="157"/>
      <c r="G590" s="158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customFormat="false" ht="12.8" hidden="false" customHeight="false" outlineLevel="0" collapsed="false">
      <c r="A591" s="159"/>
      <c r="B591" s="160"/>
      <c r="C591" s="161"/>
      <c r="D591" s="162"/>
      <c r="E591" s="157"/>
      <c r="F591" s="157"/>
      <c r="G591" s="158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customFormat="false" ht="12.8" hidden="false" customHeight="false" outlineLevel="0" collapsed="false">
      <c r="A592" s="159"/>
      <c r="B592" s="160"/>
      <c r="C592" s="161"/>
      <c r="D592" s="162"/>
      <c r="E592" s="157"/>
      <c r="F592" s="157"/>
      <c r="G592" s="158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customFormat="false" ht="12.8" hidden="false" customHeight="false" outlineLevel="0" collapsed="false">
      <c r="A593" s="159"/>
      <c r="B593" s="160"/>
      <c r="C593" s="161"/>
      <c r="D593" s="162"/>
      <c r="E593" s="157"/>
      <c r="F593" s="157"/>
      <c r="G593" s="158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customFormat="false" ht="12.8" hidden="false" customHeight="false" outlineLevel="0" collapsed="false">
      <c r="A594" s="159"/>
      <c r="B594" s="160"/>
      <c r="C594" s="161"/>
      <c r="D594" s="162"/>
      <c r="E594" s="157"/>
      <c r="F594" s="157"/>
      <c r="G594" s="158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customFormat="false" ht="12.8" hidden="false" customHeight="false" outlineLevel="0" collapsed="false">
      <c r="A595" s="159"/>
      <c r="B595" s="160"/>
      <c r="C595" s="161"/>
      <c r="D595" s="162"/>
      <c r="E595" s="157"/>
      <c r="F595" s="157"/>
      <c r="G595" s="158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customFormat="false" ht="12.8" hidden="false" customHeight="false" outlineLevel="0" collapsed="false">
      <c r="A596" s="159"/>
      <c r="B596" s="160"/>
      <c r="C596" s="161"/>
      <c r="D596" s="162"/>
      <c r="E596" s="157"/>
      <c r="F596" s="157"/>
      <c r="G596" s="158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customFormat="false" ht="12.8" hidden="false" customHeight="false" outlineLevel="0" collapsed="false">
      <c r="A597" s="159"/>
      <c r="B597" s="160"/>
      <c r="C597" s="161"/>
      <c r="D597" s="162"/>
      <c r="E597" s="157"/>
      <c r="F597" s="157"/>
      <c r="G597" s="158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customFormat="false" ht="12.8" hidden="false" customHeight="false" outlineLevel="0" collapsed="false">
      <c r="A598" s="159"/>
      <c r="B598" s="160"/>
      <c r="C598" s="161"/>
      <c r="D598" s="162"/>
      <c r="E598" s="157"/>
      <c r="F598" s="157"/>
      <c r="G598" s="158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customFormat="false" ht="12.8" hidden="false" customHeight="false" outlineLevel="0" collapsed="false">
      <c r="A599" s="159"/>
      <c r="B599" s="160"/>
      <c r="C599" s="161"/>
      <c r="D599" s="162"/>
      <c r="E599" s="157"/>
      <c r="F599" s="157"/>
      <c r="G599" s="158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customFormat="false" ht="12.8" hidden="false" customHeight="false" outlineLevel="0" collapsed="false">
      <c r="A600" s="159"/>
      <c r="B600" s="160"/>
      <c r="C600" s="161"/>
      <c r="D600" s="162"/>
      <c r="E600" s="157"/>
      <c r="F600" s="157"/>
      <c r="G600" s="158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customFormat="false" ht="12.8" hidden="false" customHeight="false" outlineLevel="0" collapsed="false">
      <c r="A601" s="159"/>
      <c r="B601" s="160"/>
      <c r="C601" s="161"/>
      <c r="D601" s="162"/>
      <c r="E601" s="157"/>
      <c r="F601" s="157"/>
      <c r="G601" s="158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customFormat="false" ht="12.8" hidden="false" customHeight="false" outlineLevel="0" collapsed="false">
      <c r="A602" s="159"/>
      <c r="B602" s="160"/>
      <c r="C602" s="161"/>
      <c r="D602" s="162"/>
      <c r="E602" s="157"/>
      <c r="F602" s="157"/>
      <c r="G602" s="158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customFormat="false" ht="12.8" hidden="false" customHeight="false" outlineLevel="0" collapsed="false">
      <c r="A603" s="159"/>
      <c r="B603" s="160"/>
      <c r="C603" s="161"/>
      <c r="D603" s="162"/>
      <c r="E603" s="157"/>
      <c r="F603" s="157"/>
      <c r="G603" s="158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customFormat="false" ht="12.8" hidden="false" customHeight="false" outlineLevel="0" collapsed="false">
      <c r="A604" s="159"/>
      <c r="B604" s="160"/>
      <c r="C604" s="161"/>
      <c r="D604" s="162"/>
      <c r="E604" s="157"/>
      <c r="F604" s="157"/>
      <c r="G604" s="158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customFormat="false" ht="12.8" hidden="false" customHeight="false" outlineLevel="0" collapsed="false">
      <c r="A605" s="159"/>
      <c r="B605" s="160"/>
      <c r="C605" s="161"/>
      <c r="D605" s="162"/>
      <c r="E605" s="157"/>
      <c r="F605" s="157"/>
      <c r="G605" s="158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customFormat="false" ht="12.8" hidden="false" customHeight="false" outlineLevel="0" collapsed="false">
      <c r="A606" s="159"/>
      <c r="B606" s="160"/>
      <c r="C606" s="161"/>
      <c r="D606" s="162"/>
      <c r="E606" s="157"/>
      <c r="F606" s="157"/>
      <c r="G606" s="158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customFormat="false" ht="12.8" hidden="false" customHeight="false" outlineLevel="0" collapsed="false">
      <c r="A607" s="159"/>
      <c r="B607" s="160"/>
      <c r="C607" s="161"/>
      <c r="D607" s="162"/>
      <c r="E607" s="157"/>
      <c r="F607" s="157"/>
      <c r="G607" s="158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customFormat="false" ht="12.8" hidden="false" customHeight="false" outlineLevel="0" collapsed="false">
      <c r="A608" s="159"/>
      <c r="B608" s="160"/>
      <c r="C608" s="161"/>
      <c r="D608" s="162"/>
      <c r="E608" s="157"/>
      <c r="F608" s="157"/>
      <c r="G608" s="158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customFormat="false" ht="12.8" hidden="false" customHeight="false" outlineLevel="0" collapsed="false">
      <c r="A609" s="159"/>
      <c r="B609" s="160"/>
      <c r="C609" s="161"/>
      <c r="D609" s="162"/>
      <c r="E609" s="157"/>
      <c r="F609" s="157"/>
      <c r="G609" s="158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customFormat="false" ht="12.8" hidden="false" customHeight="false" outlineLevel="0" collapsed="false">
      <c r="A610" s="159"/>
      <c r="B610" s="160"/>
      <c r="C610" s="161"/>
      <c r="D610" s="162"/>
      <c r="E610" s="157"/>
      <c r="F610" s="157"/>
      <c r="G610" s="158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customFormat="false" ht="12.8" hidden="false" customHeight="false" outlineLevel="0" collapsed="false">
      <c r="A611" s="159"/>
      <c r="B611" s="160"/>
      <c r="C611" s="161"/>
      <c r="D611" s="162"/>
      <c r="E611" s="157"/>
      <c r="F611" s="157"/>
      <c r="G611" s="158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customFormat="false" ht="12.8" hidden="false" customHeight="false" outlineLevel="0" collapsed="false">
      <c r="A612" s="159"/>
      <c r="B612" s="160"/>
      <c r="C612" s="161"/>
      <c r="D612" s="162"/>
      <c r="E612" s="157"/>
      <c r="F612" s="157"/>
      <c r="G612" s="158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customFormat="false" ht="12.8" hidden="false" customHeight="false" outlineLevel="0" collapsed="false">
      <c r="A613" s="159"/>
      <c r="B613" s="160"/>
      <c r="C613" s="161"/>
      <c r="D613" s="162"/>
      <c r="E613" s="157"/>
      <c r="F613" s="157"/>
      <c r="G613" s="158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customFormat="false" ht="12.8" hidden="false" customHeight="false" outlineLevel="0" collapsed="false">
      <c r="A614" s="159"/>
      <c r="B614" s="160"/>
      <c r="C614" s="161"/>
      <c r="D614" s="162"/>
      <c r="E614" s="157"/>
      <c r="F614" s="157"/>
      <c r="G614" s="158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customFormat="false" ht="12.8" hidden="false" customHeight="false" outlineLevel="0" collapsed="false">
      <c r="A615" s="159"/>
      <c r="B615" s="160"/>
      <c r="C615" s="161"/>
      <c r="D615" s="162"/>
      <c r="E615" s="157"/>
      <c r="F615" s="157"/>
      <c r="G615" s="158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customFormat="false" ht="12.8" hidden="false" customHeight="false" outlineLevel="0" collapsed="false">
      <c r="A616" s="159"/>
      <c r="B616" s="160"/>
      <c r="C616" s="161"/>
      <c r="D616" s="162"/>
      <c r="E616" s="157"/>
      <c r="F616" s="157"/>
      <c r="G616" s="158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customFormat="false" ht="12.8" hidden="false" customHeight="false" outlineLevel="0" collapsed="false">
      <c r="A617" s="159"/>
      <c r="B617" s="160"/>
      <c r="C617" s="161"/>
      <c r="D617" s="162"/>
      <c r="E617" s="157"/>
      <c r="F617" s="157"/>
      <c r="G617" s="158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customFormat="false" ht="12.8" hidden="false" customHeight="false" outlineLevel="0" collapsed="false">
      <c r="A618" s="159"/>
      <c r="B618" s="160"/>
      <c r="C618" s="161"/>
      <c r="D618" s="162"/>
      <c r="E618" s="157"/>
      <c r="F618" s="157"/>
      <c r="G618" s="158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customFormat="false" ht="12.8" hidden="false" customHeight="false" outlineLevel="0" collapsed="false">
      <c r="A619" s="159"/>
      <c r="B619" s="160"/>
      <c r="C619" s="161"/>
      <c r="D619" s="162"/>
      <c r="E619" s="157"/>
      <c r="F619" s="157"/>
      <c r="G619" s="158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customFormat="false" ht="12.8" hidden="false" customHeight="false" outlineLevel="0" collapsed="false">
      <c r="A620" s="159"/>
      <c r="B620" s="160"/>
      <c r="C620" s="161"/>
      <c r="D620" s="162"/>
      <c r="E620" s="157"/>
      <c r="F620" s="157"/>
      <c r="G620" s="158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customFormat="false" ht="12.8" hidden="false" customHeight="false" outlineLevel="0" collapsed="false">
      <c r="A621" s="159"/>
      <c r="B621" s="160"/>
      <c r="C621" s="161"/>
      <c r="D621" s="162"/>
      <c r="E621" s="157"/>
      <c r="F621" s="157"/>
      <c r="G621" s="158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customFormat="false" ht="12.8" hidden="false" customHeight="false" outlineLevel="0" collapsed="false">
      <c r="A622" s="159"/>
      <c r="B622" s="160"/>
      <c r="C622" s="161"/>
      <c r="D622" s="162"/>
      <c r="E622" s="157"/>
      <c r="F622" s="157"/>
      <c r="G622" s="158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customFormat="false" ht="12.8" hidden="false" customHeight="false" outlineLevel="0" collapsed="false">
      <c r="A623" s="159"/>
      <c r="B623" s="160"/>
      <c r="C623" s="161"/>
      <c r="D623" s="162"/>
      <c r="E623" s="157"/>
      <c r="F623" s="157"/>
      <c r="G623" s="158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customFormat="false" ht="12.8" hidden="false" customHeight="false" outlineLevel="0" collapsed="false">
      <c r="A624" s="159"/>
      <c r="B624" s="160"/>
      <c r="C624" s="161"/>
      <c r="D624" s="162"/>
      <c r="E624" s="157"/>
      <c r="F624" s="157"/>
      <c r="G624" s="158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customFormat="false" ht="12.8" hidden="false" customHeight="false" outlineLevel="0" collapsed="false">
      <c r="A625" s="159"/>
      <c r="B625" s="160"/>
      <c r="C625" s="161"/>
      <c r="D625" s="162"/>
      <c r="E625" s="157"/>
      <c r="F625" s="157"/>
      <c r="G625" s="158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customFormat="false" ht="12.8" hidden="false" customHeight="false" outlineLevel="0" collapsed="false">
      <c r="A626" s="159"/>
      <c r="B626" s="160"/>
      <c r="C626" s="161"/>
      <c r="D626" s="162"/>
      <c r="E626" s="157"/>
      <c r="F626" s="157"/>
      <c r="G626" s="158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customFormat="false" ht="12.8" hidden="false" customHeight="false" outlineLevel="0" collapsed="false">
      <c r="A627" s="159"/>
      <c r="B627" s="160"/>
      <c r="C627" s="161"/>
      <c r="D627" s="162"/>
      <c r="E627" s="157"/>
      <c r="F627" s="157"/>
      <c r="G627" s="158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customFormat="false" ht="12.8" hidden="false" customHeight="false" outlineLevel="0" collapsed="false">
      <c r="A628" s="159"/>
      <c r="B628" s="160"/>
      <c r="C628" s="161"/>
      <c r="D628" s="162"/>
      <c r="E628" s="157"/>
      <c r="F628" s="157"/>
      <c r="G628" s="158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customFormat="false" ht="12.8" hidden="false" customHeight="false" outlineLevel="0" collapsed="false">
      <c r="A629" s="159"/>
      <c r="B629" s="160"/>
      <c r="C629" s="161"/>
      <c r="D629" s="162"/>
      <c r="E629" s="157"/>
      <c r="F629" s="157"/>
      <c r="G629" s="158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customFormat="false" ht="12.8" hidden="false" customHeight="false" outlineLevel="0" collapsed="false">
      <c r="A630" s="159"/>
      <c r="B630" s="160"/>
      <c r="C630" s="161"/>
      <c r="D630" s="162"/>
      <c r="E630" s="157"/>
      <c r="F630" s="157"/>
      <c r="G630" s="158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customFormat="false" ht="12.8" hidden="false" customHeight="false" outlineLevel="0" collapsed="false">
      <c r="A631" s="159"/>
      <c r="B631" s="160"/>
      <c r="C631" s="161"/>
      <c r="D631" s="162"/>
      <c r="E631" s="157"/>
      <c r="F631" s="157"/>
      <c r="G631" s="158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customFormat="false" ht="12.8" hidden="false" customHeight="false" outlineLevel="0" collapsed="false">
      <c r="A632" s="159"/>
      <c r="B632" s="160"/>
      <c r="C632" s="161"/>
      <c r="D632" s="162"/>
      <c r="E632" s="157"/>
      <c r="F632" s="157"/>
      <c r="G632" s="158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customFormat="false" ht="12.8" hidden="false" customHeight="false" outlineLevel="0" collapsed="false">
      <c r="A633" s="159"/>
      <c r="B633" s="160"/>
      <c r="C633" s="161"/>
      <c r="D633" s="162"/>
      <c r="E633" s="157"/>
      <c r="F633" s="157"/>
      <c r="G633" s="158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customFormat="false" ht="12.8" hidden="false" customHeight="false" outlineLevel="0" collapsed="false">
      <c r="A634" s="159"/>
      <c r="B634" s="160"/>
      <c r="C634" s="161"/>
      <c r="D634" s="162"/>
      <c r="E634" s="157"/>
      <c r="F634" s="157"/>
      <c r="G634" s="158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customFormat="false" ht="12.8" hidden="false" customHeight="false" outlineLevel="0" collapsed="false">
      <c r="A635" s="159"/>
      <c r="B635" s="160"/>
      <c r="C635" s="161"/>
      <c r="D635" s="162"/>
      <c r="E635" s="157"/>
      <c r="F635" s="157"/>
      <c r="G635" s="158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customFormat="false" ht="12.8" hidden="false" customHeight="false" outlineLevel="0" collapsed="false">
      <c r="A636" s="159"/>
      <c r="B636" s="160"/>
      <c r="C636" s="161"/>
      <c r="D636" s="162"/>
      <c r="E636" s="157"/>
      <c r="F636" s="157"/>
      <c r="G636" s="158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customFormat="false" ht="12.8" hidden="false" customHeight="false" outlineLevel="0" collapsed="false">
      <c r="A637" s="159"/>
      <c r="B637" s="160"/>
      <c r="C637" s="161"/>
      <c r="D637" s="162"/>
      <c r="E637" s="157"/>
      <c r="F637" s="157"/>
      <c r="G637" s="158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customFormat="false" ht="12.8" hidden="false" customHeight="false" outlineLevel="0" collapsed="false">
      <c r="A638" s="159"/>
      <c r="B638" s="160"/>
      <c r="C638" s="161"/>
      <c r="D638" s="162"/>
      <c r="E638" s="157"/>
      <c r="F638" s="157"/>
      <c r="G638" s="158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customFormat="false" ht="12.8" hidden="false" customHeight="false" outlineLevel="0" collapsed="false">
      <c r="A639" s="159"/>
      <c r="B639" s="160"/>
      <c r="C639" s="161"/>
      <c r="D639" s="162"/>
      <c r="E639" s="157"/>
      <c r="F639" s="157"/>
      <c r="G639" s="158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customFormat="false" ht="12.8" hidden="false" customHeight="false" outlineLevel="0" collapsed="false">
      <c r="A640" s="159"/>
      <c r="B640" s="160"/>
      <c r="C640" s="161"/>
      <c r="D640" s="162"/>
      <c r="E640" s="157"/>
      <c r="F640" s="157"/>
      <c r="G640" s="158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customFormat="false" ht="12.8" hidden="false" customHeight="false" outlineLevel="0" collapsed="false">
      <c r="A641" s="159"/>
      <c r="B641" s="160"/>
      <c r="C641" s="161"/>
      <c r="D641" s="162"/>
      <c r="E641" s="157"/>
      <c r="F641" s="157"/>
      <c r="G641" s="158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customFormat="false" ht="12.8" hidden="false" customHeight="false" outlineLevel="0" collapsed="false">
      <c r="A642" s="159"/>
      <c r="B642" s="160"/>
      <c r="C642" s="161"/>
      <c r="D642" s="162"/>
      <c r="E642" s="157"/>
      <c r="F642" s="157"/>
      <c r="G642" s="158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customFormat="false" ht="12.8" hidden="false" customHeight="false" outlineLevel="0" collapsed="false">
      <c r="A643" s="159"/>
      <c r="B643" s="160"/>
      <c r="C643" s="161"/>
      <c r="D643" s="162"/>
      <c r="E643" s="157"/>
      <c r="F643" s="157"/>
      <c r="G643" s="158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customFormat="false" ht="12.8" hidden="false" customHeight="false" outlineLevel="0" collapsed="false">
      <c r="A644" s="159"/>
      <c r="B644" s="160"/>
      <c r="C644" s="161"/>
      <c r="D644" s="162"/>
      <c r="E644" s="157"/>
      <c r="F644" s="157"/>
      <c r="G644" s="158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customFormat="false" ht="12.8" hidden="false" customHeight="false" outlineLevel="0" collapsed="false">
      <c r="A645" s="159"/>
      <c r="B645" s="160"/>
      <c r="C645" s="161"/>
      <c r="D645" s="162"/>
      <c r="E645" s="157"/>
      <c r="F645" s="157"/>
      <c r="G645" s="158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customFormat="false" ht="12.8" hidden="false" customHeight="false" outlineLevel="0" collapsed="false">
      <c r="A646" s="159"/>
      <c r="B646" s="160"/>
      <c r="C646" s="161"/>
      <c r="D646" s="162"/>
      <c r="E646" s="157"/>
      <c r="F646" s="157"/>
      <c r="G646" s="158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customFormat="false" ht="12.8" hidden="false" customHeight="false" outlineLevel="0" collapsed="false">
      <c r="A647" s="159"/>
      <c r="B647" s="160"/>
      <c r="C647" s="161"/>
      <c r="D647" s="162"/>
      <c r="E647" s="157"/>
      <c r="F647" s="157"/>
      <c r="G647" s="158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customFormat="false" ht="12.8" hidden="false" customHeight="false" outlineLevel="0" collapsed="false">
      <c r="A648" s="159"/>
      <c r="B648" s="160"/>
      <c r="C648" s="161"/>
      <c r="D648" s="162"/>
      <c r="E648" s="157"/>
      <c r="F648" s="157"/>
      <c r="G648" s="158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customFormat="false" ht="12.8" hidden="false" customHeight="false" outlineLevel="0" collapsed="false">
      <c r="A649" s="159"/>
      <c r="B649" s="160"/>
      <c r="C649" s="161"/>
      <c r="D649" s="162"/>
      <c r="E649" s="157"/>
      <c r="F649" s="157"/>
      <c r="G649" s="158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customFormat="false" ht="12.8" hidden="false" customHeight="false" outlineLevel="0" collapsed="false">
      <c r="A650" s="159"/>
      <c r="B650" s="160"/>
      <c r="C650" s="161"/>
      <c r="D650" s="162"/>
      <c r="E650" s="157"/>
      <c r="F650" s="157"/>
      <c r="G650" s="158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customFormat="false" ht="12.8" hidden="false" customHeight="false" outlineLevel="0" collapsed="false">
      <c r="A651" s="159"/>
      <c r="B651" s="160"/>
      <c r="C651" s="161"/>
      <c r="D651" s="162"/>
      <c r="E651" s="157"/>
      <c r="F651" s="157"/>
      <c r="G651" s="158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customFormat="false" ht="12.8" hidden="false" customHeight="false" outlineLevel="0" collapsed="false">
      <c r="A652" s="159"/>
      <c r="B652" s="160"/>
      <c r="C652" s="161"/>
      <c r="D652" s="162"/>
      <c r="E652" s="157"/>
      <c r="F652" s="157"/>
      <c r="G652" s="158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customFormat="false" ht="12.8" hidden="false" customHeight="false" outlineLevel="0" collapsed="false">
      <c r="A653" s="159"/>
      <c r="B653" s="160"/>
      <c r="C653" s="161"/>
      <c r="D653" s="162"/>
      <c r="E653" s="157"/>
      <c r="F653" s="157"/>
      <c r="G653" s="158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customFormat="false" ht="12.8" hidden="false" customHeight="false" outlineLevel="0" collapsed="false">
      <c r="A654" s="159"/>
      <c r="B654" s="160"/>
      <c r="C654" s="161"/>
      <c r="D654" s="162"/>
      <c r="E654" s="157"/>
      <c r="F654" s="157"/>
      <c r="G654" s="158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customFormat="false" ht="12.8" hidden="false" customHeight="false" outlineLevel="0" collapsed="false">
      <c r="A655" s="159"/>
      <c r="B655" s="160"/>
      <c r="C655" s="161"/>
      <c r="D655" s="162"/>
      <c r="E655" s="157"/>
      <c r="F655" s="157"/>
      <c r="G655" s="158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customFormat="false" ht="12.8" hidden="false" customHeight="false" outlineLevel="0" collapsed="false">
      <c r="A656" s="159"/>
      <c r="B656" s="160"/>
      <c r="C656" s="161"/>
      <c r="D656" s="162"/>
      <c r="E656" s="157"/>
      <c r="F656" s="157"/>
      <c r="G656" s="158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customFormat="false" ht="12.8" hidden="false" customHeight="false" outlineLevel="0" collapsed="false">
      <c r="A657" s="159"/>
      <c r="B657" s="160"/>
      <c r="C657" s="161"/>
      <c r="D657" s="162"/>
      <c r="E657" s="157"/>
      <c r="F657" s="157"/>
      <c r="G657" s="158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customFormat="false" ht="12.8" hidden="false" customHeight="false" outlineLevel="0" collapsed="false">
      <c r="A658" s="159"/>
      <c r="B658" s="160"/>
      <c r="C658" s="161"/>
      <c r="D658" s="162"/>
      <c r="E658" s="157"/>
      <c r="F658" s="157"/>
      <c r="G658" s="158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customFormat="false" ht="12.8" hidden="false" customHeight="false" outlineLevel="0" collapsed="false">
      <c r="A659" s="159"/>
      <c r="B659" s="160"/>
      <c r="C659" s="161"/>
      <c r="D659" s="162"/>
      <c r="E659" s="157"/>
      <c r="F659" s="157"/>
      <c r="G659" s="158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customFormat="false" ht="12.8" hidden="false" customHeight="false" outlineLevel="0" collapsed="false">
      <c r="A660" s="159"/>
      <c r="B660" s="160"/>
      <c r="C660" s="161"/>
      <c r="D660" s="162"/>
      <c r="E660" s="157"/>
      <c r="F660" s="157"/>
      <c r="G660" s="158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customFormat="false" ht="12.8" hidden="false" customHeight="false" outlineLevel="0" collapsed="false">
      <c r="A661" s="159"/>
      <c r="B661" s="160"/>
      <c r="C661" s="161"/>
      <c r="D661" s="162"/>
      <c r="E661" s="157"/>
      <c r="F661" s="157"/>
      <c r="G661" s="158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customFormat="false" ht="12.8" hidden="false" customHeight="false" outlineLevel="0" collapsed="false">
      <c r="A662" s="159"/>
      <c r="B662" s="160"/>
      <c r="C662" s="161"/>
      <c r="D662" s="162"/>
      <c r="E662" s="157"/>
      <c r="F662" s="157"/>
      <c r="G662" s="158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customFormat="false" ht="12.8" hidden="false" customHeight="false" outlineLevel="0" collapsed="false">
      <c r="A663" s="159"/>
      <c r="B663" s="160"/>
      <c r="C663" s="161"/>
      <c r="D663" s="162"/>
      <c r="E663" s="157"/>
      <c r="F663" s="157"/>
      <c r="G663" s="158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customFormat="false" ht="12.8" hidden="false" customHeight="false" outlineLevel="0" collapsed="false">
      <c r="A664" s="159"/>
      <c r="B664" s="160"/>
      <c r="C664" s="161"/>
      <c r="D664" s="162"/>
      <c r="E664" s="157"/>
      <c r="F664" s="157"/>
      <c r="G664" s="158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customFormat="false" ht="12.8" hidden="false" customHeight="false" outlineLevel="0" collapsed="false">
      <c r="A665" s="159"/>
      <c r="B665" s="160"/>
      <c r="C665" s="161"/>
      <c r="D665" s="162"/>
      <c r="E665" s="157"/>
      <c r="F665" s="157"/>
      <c r="G665" s="158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customFormat="false" ht="12.8" hidden="false" customHeight="false" outlineLevel="0" collapsed="false">
      <c r="A666" s="159"/>
      <c r="B666" s="160"/>
      <c r="C666" s="161"/>
      <c r="D666" s="162"/>
      <c r="E666" s="157"/>
      <c r="F666" s="157"/>
      <c r="G666" s="158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customFormat="false" ht="12.8" hidden="false" customHeight="false" outlineLevel="0" collapsed="false">
      <c r="A667" s="159"/>
      <c r="B667" s="160"/>
      <c r="C667" s="161"/>
      <c r="D667" s="162"/>
      <c r="E667" s="157"/>
      <c r="F667" s="157"/>
      <c r="G667" s="158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customFormat="false" ht="12.8" hidden="false" customHeight="false" outlineLevel="0" collapsed="false">
      <c r="A668" s="159"/>
      <c r="B668" s="160"/>
      <c r="C668" s="161"/>
      <c r="D668" s="162"/>
      <c r="E668" s="157"/>
      <c r="F668" s="157"/>
      <c r="G668" s="158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customFormat="false" ht="12.8" hidden="false" customHeight="false" outlineLevel="0" collapsed="false">
      <c r="A669" s="159"/>
      <c r="B669" s="160"/>
      <c r="C669" s="161"/>
      <c r="D669" s="162"/>
      <c r="E669" s="157"/>
      <c r="F669" s="157"/>
      <c r="G669" s="158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customFormat="false" ht="12.8" hidden="false" customHeight="false" outlineLevel="0" collapsed="false">
      <c r="A670" s="159"/>
      <c r="B670" s="160"/>
      <c r="C670" s="161"/>
      <c r="D670" s="162"/>
      <c r="E670" s="157"/>
      <c r="F670" s="157"/>
      <c r="G670" s="158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customFormat="false" ht="12.8" hidden="false" customHeight="false" outlineLevel="0" collapsed="false">
      <c r="A671" s="159"/>
      <c r="B671" s="160"/>
      <c r="C671" s="161"/>
      <c r="D671" s="162"/>
      <c r="E671" s="157"/>
      <c r="F671" s="157"/>
      <c r="G671" s="158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customFormat="false" ht="12.8" hidden="false" customHeight="false" outlineLevel="0" collapsed="false">
      <c r="A672" s="159"/>
      <c r="B672" s="160"/>
      <c r="C672" s="161"/>
      <c r="D672" s="162"/>
      <c r="E672" s="157"/>
      <c r="F672" s="157"/>
      <c r="G672" s="158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customFormat="false" ht="12.8" hidden="false" customHeight="false" outlineLevel="0" collapsed="false">
      <c r="A673" s="159"/>
      <c r="B673" s="160"/>
      <c r="C673" s="161"/>
      <c r="D673" s="162"/>
      <c r="E673" s="157"/>
      <c r="F673" s="157"/>
      <c r="G673" s="158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customFormat="false" ht="12.8" hidden="false" customHeight="false" outlineLevel="0" collapsed="false">
      <c r="A674" s="159"/>
      <c r="B674" s="160"/>
      <c r="C674" s="161"/>
      <c r="D674" s="162"/>
      <c r="E674" s="157"/>
      <c r="F674" s="157"/>
      <c r="G674" s="158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customFormat="false" ht="12.8" hidden="false" customHeight="false" outlineLevel="0" collapsed="false">
      <c r="A675" s="159"/>
      <c r="B675" s="160"/>
      <c r="C675" s="161"/>
      <c r="D675" s="162"/>
      <c r="E675" s="157"/>
      <c r="F675" s="157"/>
      <c r="G675" s="158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customFormat="false" ht="12.8" hidden="false" customHeight="false" outlineLevel="0" collapsed="false">
      <c r="A676" s="159"/>
      <c r="B676" s="160"/>
      <c r="C676" s="161"/>
      <c r="D676" s="162"/>
      <c r="E676" s="157"/>
      <c r="F676" s="157"/>
      <c r="G676" s="158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customFormat="false" ht="12.8" hidden="false" customHeight="false" outlineLevel="0" collapsed="false">
      <c r="A677" s="159"/>
      <c r="B677" s="160"/>
      <c r="C677" s="161"/>
      <c r="D677" s="162"/>
      <c r="E677" s="157"/>
      <c r="F677" s="157"/>
      <c r="G677" s="158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customFormat="false" ht="12.8" hidden="false" customHeight="false" outlineLevel="0" collapsed="false">
      <c r="A678" s="159"/>
      <c r="B678" s="160"/>
      <c r="C678" s="161"/>
      <c r="D678" s="162"/>
      <c r="E678" s="157"/>
      <c r="F678" s="157"/>
      <c r="G678" s="158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customFormat="false" ht="12.8" hidden="false" customHeight="false" outlineLevel="0" collapsed="false">
      <c r="A679" s="159"/>
      <c r="B679" s="160"/>
      <c r="C679" s="161"/>
      <c r="D679" s="162"/>
      <c r="E679" s="157"/>
      <c r="F679" s="157"/>
      <c r="G679" s="158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customFormat="false" ht="12.8" hidden="false" customHeight="false" outlineLevel="0" collapsed="false">
      <c r="A680" s="159"/>
      <c r="B680" s="160"/>
      <c r="C680" s="161"/>
      <c r="D680" s="162"/>
      <c r="E680" s="157"/>
      <c r="F680" s="157"/>
      <c r="G680" s="158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customFormat="false" ht="12.8" hidden="false" customHeight="false" outlineLevel="0" collapsed="false">
      <c r="A681" s="159"/>
      <c r="B681" s="160"/>
      <c r="C681" s="161"/>
      <c r="D681" s="162"/>
      <c r="E681" s="157"/>
      <c r="F681" s="157"/>
      <c r="G681" s="158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customFormat="false" ht="12.8" hidden="false" customHeight="false" outlineLevel="0" collapsed="false">
      <c r="A682" s="159"/>
      <c r="B682" s="160"/>
      <c r="C682" s="161"/>
      <c r="D682" s="162"/>
      <c r="E682" s="157"/>
      <c r="F682" s="157"/>
      <c r="G682" s="158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customFormat="false" ht="12.8" hidden="false" customHeight="false" outlineLevel="0" collapsed="false">
      <c r="A683" s="159"/>
      <c r="B683" s="160"/>
      <c r="C683" s="161"/>
      <c r="D683" s="162"/>
      <c r="E683" s="157"/>
      <c r="F683" s="157"/>
      <c r="G683" s="158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customFormat="false" ht="12.8" hidden="false" customHeight="false" outlineLevel="0" collapsed="false">
      <c r="A684" s="159"/>
      <c r="B684" s="160"/>
      <c r="C684" s="161"/>
      <c r="D684" s="162"/>
      <c r="E684" s="157"/>
      <c r="F684" s="157"/>
      <c r="G684" s="158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customFormat="false" ht="12.8" hidden="false" customHeight="false" outlineLevel="0" collapsed="false">
      <c r="A685" s="159"/>
      <c r="B685" s="160"/>
      <c r="C685" s="161"/>
      <c r="D685" s="162"/>
      <c r="E685" s="157"/>
      <c r="F685" s="157"/>
      <c r="G685" s="158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customFormat="false" ht="12.8" hidden="false" customHeight="false" outlineLevel="0" collapsed="false">
      <c r="A686" s="159"/>
      <c r="B686" s="160"/>
      <c r="C686" s="161"/>
      <c r="D686" s="162"/>
      <c r="E686" s="157"/>
      <c r="F686" s="157"/>
      <c r="G686" s="158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customFormat="false" ht="12.8" hidden="false" customHeight="false" outlineLevel="0" collapsed="false">
      <c r="A687" s="159"/>
      <c r="B687" s="160"/>
      <c r="C687" s="161"/>
      <c r="D687" s="162"/>
      <c r="E687" s="157"/>
      <c r="F687" s="157"/>
      <c r="G687" s="158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customFormat="false" ht="12.8" hidden="false" customHeight="false" outlineLevel="0" collapsed="false">
      <c r="A688" s="159"/>
      <c r="B688" s="160"/>
      <c r="C688" s="161"/>
      <c r="D688" s="162"/>
      <c r="E688" s="157"/>
      <c r="F688" s="157"/>
      <c r="G688" s="158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customFormat="false" ht="12.8" hidden="false" customHeight="false" outlineLevel="0" collapsed="false">
      <c r="A689" s="159"/>
      <c r="B689" s="160"/>
      <c r="C689" s="161"/>
      <c r="D689" s="162"/>
      <c r="E689" s="157"/>
      <c r="F689" s="157"/>
      <c r="G689" s="158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customFormat="false" ht="12.8" hidden="false" customHeight="false" outlineLevel="0" collapsed="false">
      <c r="A690" s="159"/>
      <c r="B690" s="160"/>
      <c r="C690" s="161"/>
      <c r="D690" s="162"/>
      <c r="E690" s="157"/>
      <c r="F690" s="157"/>
      <c r="G690" s="158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customFormat="false" ht="12.8" hidden="false" customHeight="false" outlineLevel="0" collapsed="false">
      <c r="A691" s="159"/>
      <c r="B691" s="160"/>
      <c r="C691" s="161"/>
      <c r="D691" s="162"/>
      <c r="E691" s="157"/>
      <c r="F691" s="157"/>
      <c r="G691" s="158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customFormat="false" ht="12.8" hidden="false" customHeight="false" outlineLevel="0" collapsed="false">
      <c r="A692" s="159"/>
      <c r="B692" s="160"/>
      <c r="C692" s="161"/>
      <c r="D692" s="162"/>
      <c r="E692" s="157"/>
      <c r="F692" s="157"/>
      <c r="G692" s="158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customFormat="false" ht="12.8" hidden="false" customHeight="false" outlineLevel="0" collapsed="false">
      <c r="A693" s="159"/>
      <c r="B693" s="160"/>
      <c r="C693" s="161"/>
      <c r="D693" s="162"/>
      <c r="E693" s="157"/>
      <c r="F693" s="157"/>
      <c r="G693" s="158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customFormat="false" ht="12.8" hidden="false" customHeight="false" outlineLevel="0" collapsed="false">
      <c r="A694" s="159"/>
      <c r="B694" s="160"/>
      <c r="C694" s="161"/>
      <c r="D694" s="162"/>
      <c r="E694" s="157"/>
      <c r="F694" s="157"/>
      <c r="G694" s="158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customFormat="false" ht="12.8" hidden="false" customHeight="false" outlineLevel="0" collapsed="false">
      <c r="A695" s="159"/>
      <c r="B695" s="160"/>
      <c r="C695" s="161"/>
      <c r="D695" s="162"/>
      <c r="E695" s="157"/>
      <c r="F695" s="157"/>
      <c r="G695" s="158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customFormat="false" ht="12.8" hidden="false" customHeight="false" outlineLevel="0" collapsed="false">
      <c r="A696" s="159"/>
      <c r="B696" s="160"/>
      <c r="C696" s="161"/>
      <c r="D696" s="162"/>
      <c r="E696" s="157"/>
      <c r="F696" s="157"/>
      <c r="G696" s="158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customFormat="false" ht="12.8" hidden="false" customHeight="false" outlineLevel="0" collapsed="false">
      <c r="A697" s="159"/>
      <c r="B697" s="160"/>
      <c r="C697" s="161"/>
      <c r="D697" s="162"/>
      <c r="E697" s="157"/>
      <c r="F697" s="157"/>
      <c r="G697" s="158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customFormat="false" ht="12.8" hidden="false" customHeight="false" outlineLevel="0" collapsed="false">
      <c r="A698" s="159"/>
      <c r="B698" s="160"/>
      <c r="C698" s="161"/>
      <c r="D698" s="162"/>
      <c r="E698" s="157"/>
      <c r="F698" s="157"/>
      <c r="G698" s="158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customFormat="false" ht="12.8" hidden="false" customHeight="false" outlineLevel="0" collapsed="false">
      <c r="A699" s="159"/>
      <c r="B699" s="160"/>
      <c r="C699" s="161"/>
      <c r="D699" s="162"/>
      <c r="E699" s="157"/>
      <c r="F699" s="157"/>
      <c r="G699" s="158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customFormat="false" ht="12.8" hidden="false" customHeight="false" outlineLevel="0" collapsed="false">
      <c r="A700" s="159"/>
      <c r="B700" s="160"/>
      <c r="C700" s="161"/>
      <c r="D700" s="162"/>
      <c r="E700" s="157"/>
      <c r="F700" s="157"/>
      <c r="G700" s="158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customFormat="false" ht="12.8" hidden="false" customHeight="false" outlineLevel="0" collapsed="false">
      <c r="A701" s="159"/>
      <c r="B701" s="160"/>
      <c r="C701" s="161"/>
      <c r="D701" s="162"/>
      <c r="E701" s="157"/>
      <c r="F701" s="157"/>
      <c r="G701" s="158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customFormat="false" ht="12.8" hidden="false" customHeight="false" outlineLevel="0" collapsed="false">
      <c r="A702" s="159"/>
      <c r="B702" s="160"/>
      <c r="C702" s="161"/>
      <c r="D702" s="162"/>
      <c r="E702" s="157"/>
      <c r="F702" s="157"/>
      <c r="G702" s="158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customFormat="false" ht="12.8" hidden="false" customHeight="false" outlineLevel="0" collapsed="false">
      <c r="A703" s="159"/>
      <c r="B703" s="160"/>
      <c r="C703" s="161"/>
      <c r="D703" s="162"/>
      <c r="E703" s="157"/>
      <c r="F703" s="157"/>
      <c r="G703" s="158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customFormat="false" ht="12.8" hidden="false" customHeight="false" outlineLevel="0" collapsed="false">
      <c r="A704" s="159"/>
      <c r="B704" s="160"/>
      <c r="C704" s="161"/>
      <c r="D704" s="162"/>
      <c r="E704" s="157"/>
      <c r="F704" s="157"/>
      <c r="G704" s="158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customFormat="false" ht="12.8" hidden="false" customHeight="false" outlineLevel="0" collapsed="false">
      <c r="A705" s="159"/>
      <c r="B705" s="160"/>
      <c r="C705" s="161"/>
      <c r="D705" s="162"/>
      <c r="E705" s="157"/>
      <c r="F705" s="157"/>
      <c r="G705" s="158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customFormat="false" ht="12.8" hidden="false" customHeight="false" outlineLevel="0" collapsed="false">
      <c r="A706" s="159"/>
      <c r="B706" s="160"/>
      <c r="C706" s="161"/>
      <c r="D706" s="162"/>
      <c r="E706" s="157"/>
      <c r="F706" s="157"/>
      <c r="G706" s="158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customFormat="false" ht="12.8" hidden="false" customHeight="false" outlineLevel="0" collapsed="false">
      <c r="A707" s="159"/>
      <c r="B707" s="160"/>
      <c r="C707" s="161"/>
      <c r="D707" s="162"/>
      <c r="E707" s="157"/>
      <c r="F707" s="157"/>
      <c r="G707" s="158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customFormat="false" ht="12.8" hidden="false" customHeight="false" outlineLevel="0" collapsed="false">
      <c r="A708" s="159"/>
      <c r="B708" s="160"/>
      <c r="C708" s="161"/>
      <c r="D708" s="162"/>
      <c r="E708" s="157"/>
      <c r="F708" s="157"/>
      <c r="G708" s="158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customFormat="false" ht="12.8" hidden="false" customHeight="false" outlineLevel="0" collapsed="false">
      <c r="A709" s="159"/>
      <c r="B709" s="160"/>
      <c r="C709" s="161"/>
      <c r="D709" s="162"/>
      <c r="E709" s="157"/>
      <c r="F709" s="157"/>
      <c r="G709" s="158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customFormat="false" ht="12.8" hidden="false" customHeight="false" outlineLevel="0" collapsed="false">
      <c r="A710" s="159"/>
      <c r="B710" s="160"/>
      <c r="C710" s="161"/>
      <c r="D710" s="162"/>
      <c r="E710" s="157"/>
      <c r="F710" s="157"/>
      <c r="G710" s="158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customFormat="false" ht="12.8" hidden="false" customHeight="false" outlineLevel="0" collapsed="false">
      <c r="A711" s="159"/>
      <c r="B711" s="160"/>
      <c r="C711" s="161"/>
      <c r="D711" s="162"/>
      <c r="E711" s="157"/>
      <c r="F711" s="157"/>
      <c r="G711" s="158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customFormat="false" ht="12.8" hidden="false" customHeight="false" outlineLevel="0" collapsed="false">
      <c r="A712" s="159"/>
      <c r="B712" s="160"/>
      <c r="C712" s="161"/>
      <c r="D712" s="162"/>
      <c r="E712" s="157"/>
      <c r="F712" s="157"/>
      <c r="G712" s="158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customFormat="false" ht="12.8" hidden="false" customHeight="false" outlineLevel="0" collapsed="false">
      <c r="A713" s="159"/>
      <c r="B713" s="160"/>
      <c r="C713" s="161"/>
      <c r="D713" s="162"/>
      <c r="E713" s="157"/>
      <c r="F713" s="157"/>
      <c r="G713" s="158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customFormat="false" ht="12.8" hidden="false" customHeight="false" outlineLevel="0" collapsed="false">
      <c r="A714" s="159"/>
      <c r="B714" s="160"/>
      <c r="C714" s="161"/>
      <c r="D714" s="162"/>
      <c r="E714" s="157"/>
      <c r="F714" s="157"/>
      <c r="G714" s="158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customFormat="false" ht="12.8" hidden="false" customHeight="false" outlineLevel="0" collapsed="false">
      <c r="A715" s="159"/>
      <c r="B715" s="160"/>
      <c r="C715" s="161"/>
      <c r="D715" s="162"/>
      <c r="E715" s="157"/>
      <c r="F715" s="157"/>
      <c r="G715" s="158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customFormat="false" ht="12.8" hidden="false" customHeight="false" outlineLevel="0" collapsed="false">
      <c r="A716" s="159"/>
      <c r="B716" s="160"/>
      <c r="C716" s="161"/>
      <c r="D716" s="162"/>
      <c r="E716" s="157"/>
      <c r="F716" s="157"/>
      <c r="G716" s="158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customFormat="false" ht="12.8" hidden="false" customHeight="false" outlineLevel="0" collapsed="false">
      <c r="A717" s="159"/>
      <c r="B717" s="160"/>
      <c r="C717" s="161"/>
      <c r="D717" s="162"/>
      <c r="E717" s="157"/>
      <c r="F717" s="157"/>
      <c r="G717" s="158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customFormat="false" ht="12.8" hidden="false" customHeight="false" outlineLevel="0" collapsed="false">
      <c r="A718" s="159"/>
      <c r="B718" s="160"/>
      <c r="C718" s="161"/>
      <c r="D718" s="162"/>
      <c r="E718" s="157"/>
      <c r="F718" s="157"/>
      <c r="G718" s="158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customFormat="false" ht="12.8" hidden="false" customHeight="false" outlineLevel="0" collapsed="false">
      <c r="A719" s="159"/>
      <c r="B719" s="160"/>
      <c r="C719" s="161"/>
      <c r="D719" s="162"/>
      <c r="E719" s="157"/>
      <c r="F719" s="157"/>
      <c r="G719" s="158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customFormat="false" ht="12.8" hidden="false" customHeight="false" outlineLevel="0" collapsed="false">
      <c r="A720" s="159"/>
      <c r="B720" s="160"/>
      <c r="C720" s="161"/>
      <c r="D720" s="162"/>
      <c r="E720" s="157"/>
      <c r="F720" s="157"/>
      <c r="G720" s="158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customFormat="false" ht="12.8" hidden="false" customHeight="false" outlineLevel="0" collapsed="false">
      <c r="A721" s="159"/>
      <c r="B721" s="160"/>
      <c r="C721" s="161"/>
      <c r="D721" s="162"/>
      <c r="E721" s="157"/>
      <c r="F721" s="157"/>
      <c r="G721" s="158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customFormat="false" ht="12.8" hidden="false" customHeight="false" outlineLevel="0" collapsed="false">
      <c r="A722" s="159"/>
      <c r="B722" s="160"/>
      <c r="C722" s="161"/>
      <c r="D722" s="162"/>
      <c r="E722" s="157"/>
      <c r="F722" s="157"/>
      <c r="G722" s="158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customFormat="false" ht="12.8" hidden="false" customHeight="false" outlineLevel="0" collapsed="false">
      <c r="A723" s="159"/>
      <c r="B723" s="160"/>
      <c r="C723" s="161"/>
      <c r="D723" s="162"/>
      <c r="E723" s="157"/>
      <c r="F723" s="157"/>
      <c r="G723" s="158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customFormat="false" ht="12.8" hidden="false" customHeight="false" outlineLevel="0" collapsed="false">
      <c r="A724" s="159"/>
      <c r="B724" s="160"/>
      <c r="C724" s="161"/>
      <c r="D724" s="162"/>
      <c r="E724" s="157"/>
      <c r="F724" s="157"/>
      <c r="G724" s="158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customFormat="false" ht="12.8" hidden="false" customHeight="false" outlineLevel="0" collapsed="false">
      <c r="A725" s="159"/>
      <c r="B725" s="160"/>
      <c r="C725" s="161"/>
      <c r="D725" s="162"/>
      <c r="E725" s="157"/>
      <c r="F725" s="157"/>
      <c r="G725" s="158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customFormat="false" ht="12.8" hidden="false" customHeight="false" outlineLevel="0" collapsed="false">
      <c r="A726" s="159"/>
      <c r="B726" s="160"/>
      <c r="C726" s="161"/>
      <c r="D726" s="162"/>
      <c r="E726" s="157"/>
      <c r="F726" s="157"/>
      <c r="G726" s="158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customFormat="false" ht="12.8" hidden="false" customHeight="false" outlineLevel="0" collapsed="false">
      <c r="A727" s="159"/>
      <c r="B727" s="160"/>
      <c r="C727" s="161"/>
      <c r="D727" s="162"/>
      <c r="E727" s="157"/>
      <c r="F727" s="157"/>
      <c r="G727" s="158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customFormat="false" ht="12.8" hidden="false" customHeight="false" outlineLevel="0" collapsed="false">
      <c r="A728" s="159"/>
      <c r="B728" s="160"/>
      <c r="C728" s="161"/>
      <c r="D728" s="162"/>
      <c r="E728" s="157"/>
      <c r="F728" s="157"/>
      <c r="G728" s="158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customFormat="false" ht="12.8" hidden="false" customHeight="false" outlineLevel="0" collapsed="false">
      <c r="A729" s="159"/>
      <c r="B729" s="160"/>
      <c r="C729" s="161"/>
      <c r="D729" s="162"/>
      <c r="E729" s="157"/>
      <c r="F729" s="157"/>
      <c r="G729" s="158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customFormat="false" ht="12.8" hidden="false" customHeight="false" outlineLevel="0" collapsed="false">
      <c r="A730" s="159"/>
      <c r="B730" s="160"/>
      <c r="C730" s="161"/>
      <c r="D730" s="162"/>
      <c r="E730" s="157"/>
      <c r="F730" s="157"/>
      <c r="G730" s="158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customFormat="false" ht="12.8" hidden="false" customHeight="false" outlineLevel="0" collapsed="false">
      <c r="A731" s="159"/>
      <c r="B731" s="160"/>
      <c r="C731" s="161"/>
      <c r="D731" s="162"/>
      <c r="E731" s="157"/>
      <c r="F731" s="157"/>
      <c r="G731" s="158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customFormat="false" ht="12.8" hidden="false" customHeight="false" outlineLevel="0" collapsed="false">
      <c r="A732" s="159"/>
      <c r="B732" s="160"/>
      <c r="C732" s="161"/>
      <c r="D732" s="162"/>
      <c r="E732" s="157"/>
      <c r="F732" s="157"/>
      <c r="G732" s="158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customFormat="false" ht="12.8" hidden="false" customHeight="false" outlineLevel="0" collapsed="false">
      <c r="A733" s="159"/>
      <c r="B733" s="160"/>
      <c r="C733" s="161"/>
      <c r="D733" s="162"/>
      <c r="E733" s="157"/>
      <c r="F733" s="157"/>
      <c r="G733" s="158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customFormat="false" ht="12.8" hidden="false" customHeight="false" outlineLevel="0" collapsed="false">
      <c r="A734" s="159"/>
      <c r="B734" s="160"/>
      <c r="C734" s="161"/>
      <c r="D734" s="162"/>
      <c r="E734" s="157"/>
      <c r="F734" s="157"/>
      <c r="G734" s="158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customFormat="false" ht="12.8" hidden="false" customHeight="false" outlineLevel="0" collapsed="false">
      <c r="A735" s="159"/>
      <c r="B735" s="160"/>
      <c r="C735" s="161"/>
      <c r="D735" s="162"/>
      <c r="E735" s="157"/>
      <c r="F735" s="157"/>
      <c r="G735" s="158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customFormat="false" ht="12.8" hidden="false" customHeight="false" outlineLevel="0" collapsed="false">
      <c r="A736" s="159"/>
      <c r="B736" s="160"/>
      <c r="C736" s="161"/>
      <c r="D736" s="162"/>
      <c r="E736" s="157"/>
      <c r="F736" s="157"/>
      <c r="G736" s="158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customFormat="false" ht="12.8" hidden="false" customHeight="false" outlineLevel="0" collapsed="false">
      <c r="A737" s="159"/>
      <c r="B737" s="160"/>
      <c r="C737" s="161"/>
      <c r="D737" s="162"/>
      <c r="E737" s="157"/>
      <c r="F737" s="157"/>
      <c r="G737" s="158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customFormat="false" ht="12.8" hidden="false" customHeight="false" outlineLevel="0" collapsed="false">
      <c r="A738" s="159"/>
      <c r="B738" s="160"/>
      <c r="C738" s="161"/>
      <c r="D738" s="162"/>
      <c r="E738" s="157"/>
      <c r="F738" s="157"/>
      <c r="G738" s="158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customFormat="false" ht="12.8" hidden="false" customHeight="false" outlineLevel="0" collapsed="false">
      <c r="A739" s="159"/>
      <c r="B739" s="160"/>
      <c r="C739" s="161"/>
      <c r="D739" s="162"/>
      <c r="E739" s="157"/>
      <c r="F739" s="157"/>
      <c r="G739" s="158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customFormat="false" ht="12.8" hidden="false" customHeight="false" outlineLevel="0" collapsed="false">
      <c r="A740" s="159"/>
      <c r="B740" s="160"/>
      <c r="C740" s="161"/>
      <c r="D740" s="162"/>
      <c r="E740" s="157"/>
      <c r="F740" s="157"/>
      <c r="G740" s="158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customFormat="false" ht="12.8" hidden="false" customHeight="false" outlineLevel="0" collapsed="false">
      <c r="A741" s="159"/>
      <c r="B741" s="160"/>
      <c r="C741" s="161"/>
      <c r="D741" s="162"/>
      <c r="E741" s="157"/>
      <c r="F741" s="157"/>
      <c r="G741" s="158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customFormat="false" ht="12.8" hidden="false" customHeight="false" outlineLevel="0" collapsed="false">
      <c r="A742" s="159"/>
      <c r="B742" s="160"/>
      <c r="C742" s="161"/>
      <c r="D742" s="162"/>
      <c r="E742" s="157"/>
      <c r="F742" s="157"/>
      <c r="G742" s="158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customFormat="false" ht="12.8" hidden="false" customHeight="false" outlineLevel="0" collapsed="false">
      <c r="A743" s="159"/>
      <c r="B743" s="160"/>
      <c r="C743" s="161"/>
      <c r="D743" s="162"/>
      <c r="E743" s="157"/>
      <c r="F743" s="157"/>
      <c r="G743" s="158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customFormat="false" ht="12.8" hidden="false" customHeight="false" outlineLevel="0" collapsed="false">
      <c r="A744" s="159"/>
      <c r="B744" s="160"/>
      <c r="C744" s="161"/>
      <c r="D744" s="162"/>
      <c r="E744" s="157"/>
      <c r="F744" s="157"/>
      <c r="G744" s="158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customFormat="false" ht="12.8" hidden="false" customHeight="false" outlineLevel="0" collapsed="false">
      <c r="A745" s="159"/>
      <c r="B745" s="160"/>
      <c r="C745" s="161"/>
      <c r="D745" s="162"/>
      <c r="E745" s="157"/>
      <c r="F745" s="157"/>
      <c r="G745" s="158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customFormat="false" ht="12.8" hidden="false" customHeight="false" outlineLevel="0" collapsed="false">
      <c r="A746" s="159"/>
      <c r="B746" s="160"/>
      <c r="C746" s="161"/>
      <c r="D746" s="162"/>
      <c r="E746" s="157"/>
      <c r="F746" s="157"/>
      <c r="G746" s="158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customFormat="false" ht="12.8" hidden="false" customHeight="false" outlineLevel="0" collapsed="false">
      <c r="A747" s="159"/>
      <c r="B747" s="160"/>
      <c r="C747" s="161"/>
      <c r="D747" s="162"/>
      <c r="E747" s="157"/>
      <c r="F747" s="157"/>
      <c r="G747" s="158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customFormat="false" ht="12.8" hidden="false" customHeight="false" outlineLevel="0" collapsed="false">
      <c r="A748" s="159"/>
      <c r="B748" s="160"/>
      <c r="C748" s="161"/>
      <c r="D748" s="162"/>
      <c r="E748" s="157"/>
      <c r="F748" s="157"/>
      <c r="G748" s="158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customFormat="false" ht="12.8" hidden="false" customHeight="false" outlineLevel="0" collapsed="false">
      <c r="A749" s="159"/>
      <c r="B749" s="160"/>
      <c r="C749" s="161"/>
      <c r="D749" s="162"/>
      <c r="E749" s="157"/>
      <c r="F749" s="157"/>
      <c r="G749" s="158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customFormat="false" ht="12.8" hidden="false" customHeight="false" outlineLevel="0" collapsed="false">
      <c r="A750" s="159"/>
      <c r="B750" s="160"/>
      <c r="C750" s="161"/>
      <c r="D750" s="162"/>
      <c r="E750" s="157"/>
      <c r="F750" s="157"/>
      <c r="G750" s="158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customFormat="false" ht="12.8" hidden="false" customHeight="false" outlineLevel="0" collapsed="false">
      <c r="A751" s="159"/>
      <c r="B751" s="160"/>
      <c r="C751" s="161"/>
      <c r="D751" s="162"/>
      <c r="E751" s="157"/>
      <c r="F751" s="157"/>
      <c r="G751" s="158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customFormat="false" ht="12.8" hidden="false" customHeight="false" outlineLevel="0" collapsed="false">
      <c r="A752" s="159"/>
      <c r="B752" s="160"/>
      <c r="C752" s="161"/>
      <c r="D752" s="162"/>
      <c r="E752" s="157"/>
      <c r="F752" s="157"/>
      <c r="G752" s="158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customFormat="false" ht="12.8" hidden="false" customHeight="false" outlineLevel="0" collapsed="false">
      <c r="A753" s="159"/>
      <c r="B753" s="160"/>
      <c r="C753" s="161"/>
      <c r="D753" s="162"/>
      <c r="E753" s="157"/>
      <c r="F753" s="157"/>
      <c r="G753" s="158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customFormat="false" ht="12.8" hidden="false" customHeight="false" outlineLevel="0" collapsed="false">
      <c r="A754" s="159"/>
      <c r="B754" s="160"/>
      <c r="C754" s="161"/>
      <c r="D754" s="162"/>
      <c r="E754" s="157"/>
      <c r="F754" s="157"/>
      <c r="G754" s="158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customFormat="false" ht="12.8" hidden="false" customHeight="false" outlineLevel="0" collapsed="false">
      <c r="A755" s="159"/>
      <c r="B755" s="160"/>
      <c r="C755" s="161"/>
      <c r="D755" s="162"/>
      <c r="E755" s="157"/>
      <c r="F755" s="157"/>
      <c r="G755" s="158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customFormat="false" ht="12.8" hidden="false" customHeight="false" outlineLevel="0" collapsed="false">
      <c r="A756" s="159"/>
      <c r="B756" s="160"/>
      <c r="C756" s="161"/>
      <c r="D756" s="162"/>
      <c r="E756" s="157"/>
      <c r="F756" s="157"/>
      <c r="G756" s="158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customFormat="false" ht="12.8" hidden="false" customHeight="false" outlineLevel="0" collapsed="false">
      <c r="A757" s="159"/>
      <c r="B757" s="160"/>
      <c r="C757" s="161"/>
      <c r="D757" s="162"/>
      <c r="E757" s="157"/>
      <c r="F757" s="157"/>
      <c r="G757" s="158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customFormat="false" ht="12.8" hidden="false" customHeight="false" outlineLevel="0" collapsed="false">
      <c r="A758" s="159"/>
      <c r="B758" s="160"/>
      <c r="C758" s="161"/>
      <c r="D758" s="162"/>
      <c r="E758" s="157"/>
      <c r="F758" s="157"/>
      <c r="G758" s="158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customFormat="false" ht="12.8" hidden="false" customHeight="false" outlineLevel="0" collapsed="false">
      <c r="A759" s="159"/>
      <c r="B759" s="160"/>
      <c r="C759" s="161"/>
      <c r="D759" s="162"/>
      <c r="E759" s="157"/>
      <c r="F759" s="157"/>
      <c r="G759" s="158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customFormat="false" ht="12.8" hidden="false" customHeight="false" outlineLevel="0" collapsed="false">
      <c r="A760" s="159"/>
      <c r="B760" s="160"/>
      <c r="C760" s="161"/>
      <c r="D760" s="162"/>
      <c r="E760" s="157"/>
      <c r="F760" s="157"/>
      <c r="G760" s="158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customFormat="false" ht="12.8" hidden="false" customHeight="false" outlineLevel="0" collapsed="false">
      <c r="A761" s="159"/>
      <c r="B761" s="160"/>
      <c r="C761" s="161"/>
      <c r="D761" s="162"/>
      <c r="E761" s="157"/>
      <c r="F761" s="157"/>
      <c r="G761" s="158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customFormat="false" ht="12.8" hidden="false" customHeight="false" outlineLevel="0" collapsed="false">
      <c r="A762" s="159"/>
      <c r="B762" s="160"/>
      <c r="C762" s="161"/>
      <c r="D762" s="162"/>
      <c r="E762" s="157"/>
      <c r="F762" s="157"/>
      <c r="G762" s="158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customFormat="false" ht="12.8" hidden="false" customHeight="false" outlineLevel="0" collapsed="false">
      <c r="A763" s="159"/>
      <c r="B763" s="160"/>
      <c r="C763" s="161"/>
      <c r="D763" s="162"/>
      <c r="E763" s="157"/>
      <c r="F763" s="157"/>
      <c r="G763" s="158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customFormat="false" ht="12.8" hidden="false" customHeight="false" outlineLevel="0" collapsed="false">
      <c r="A764" s="159"/>
      <c r="B764" s="160"/>
      <c r="C764" s="161"/>
      <c r="D764" s="162"/>
      <c r="E764" s="157"/>
      <c r="F764" s="157"/>
      <c r="G764" s="158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customFormat="false" ht="12.8" hidden="false" customHeight="false" outlineLevel="0" collapsed="false">
      <c r="A765" s="159"/>
      <c r="B765" s="160"/>
      <c r="C765" s="161"/>
      <c r="D765" s="162"/>
      <c r="E765" s="157"/>
      <c r="F765" s="157"/>
      <c r="G765" s="158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customFormat="false" ht="12.8" hidden="false" customHeight="false" outlineLevel="0" collapsed="false">
      <c r="A766" s="159"/>
      <c r="B766" s="160"/>
      <c r="C766" s="161"/>
      <c r="D766" s="162"/>
      <c r="E766" s="157"/>
      <c r="F766" s="157"/>
      <c r="G766" s="158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customFormat="false" ht="12.8" hidden="false" customHeight="false" outlineLevel="0" collapsed="false">
      <c r="A767" s="159"/>
      <c r="B767" s="160"/>
      <c r="C767" s="161"/>
      <c r="D767" s="162"/>
      <c r="E767" s="157"/>
      <c r="F767" s="157"/>
      <c r="G767" s="158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customFormat="false" ht="12.8" hidden="false" customHeight="false" outlineLevel="0" collapsed="false">
      <c r="A768" s="159"/>
      <c r="B768" s="160"/>
      <c r="C768" s="161"/>
      <c r="D768" s="162"/>
      <c r="E768" s="157"/>
      <c r="F768" s="157"/>
      <c r="G768" s="158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customFormat="false" ht="12.8" hidden="false" customHeight="false" outlineLevel="0" collapsed="false">
      <c r="A769" s="159"/>
      <c r="B769" s="160"/>
      <c r="C769" s="161"/>
      <c r="D769" s="162"/>
      <c r="E769" s="157"/>
      <c r="F769" s="157"/>
      <c r="G769" s="158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customFormat="false" ht="12.8" hidden="false" customHeight="false" outlineLevel="0" collapsed="false">
      <c r="A770" s="159"/>
      <c r="B770" s="160"/>
      <c r="C770" s="161"/>
      <c r="D770" s="162"/>
      <c r="E770" s="157"/>
      <c r="F770" s="157"/>
      <c r="G770" s="158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customFormat="false" ht="12.8" hidden="false" customHeight="false" outlineLevel="0" collapsed="false">
      <c r="A771" s="159"/>
      <c r="B771" s="160"/>
      <c r="C771" s="161"/>
      <c r="D771" s="162"/>
      <c r="E771" s="157"/>
      <c r="F771" s="157"/>
      <c r="G771" s="158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customFormat="false" ht="12.8" hidden="false" customHeight="false" outlineLevel="0" collapsed="false">
      <c r="A772" s="159"/>
      <c r="B772" s="160"/>
      <c r="C772" s="161"/>
      <c r="D772" s="162"/>
      <c r="E772" s="157"/>
      <c r="F772" s="157"/>
      <c r="G772" s="158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customFormat="false" ht="12.8" hidden="false" customHeight="false" outlineLevel="0" collapsed="false">
      <c r="A773" s="159"/>
      <c r="B773" s="160"/>
      <c r="C773" s="161"/>
      <c r="D773" s="162"/>
      <c r="E773" s="157"/>
      <c r="F773" s="157"/>
      <c r="G773" s="158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customFormat="false" ht="12.8" hidden="false" customHeight="false" outlineLevel="0" collapsed="false">
      <c r="A774" s="159"/>
      <c r="B774" s="160"/>
      <c r="C774" s="161"/>
      <c r="D774" s="162"/>
      <c r="E774" s="157"/>
      <c r="F774" s="157"/>
      <c r="G774" s="158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customFormat="false" ht="12.8" hidden="false" customHeight="false" outlineLevel="0" collapsed="false">
      <c r="A775" s="159"/>
      <c r="B775" s="160"/>
      <c r="C775" s="161"/>
      <c r="D775" s="162"/>
      <c r="E775" s="157"/>
      <c r="F775" s="157"/>
      <c r="G775" s="158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customFormat="false" ht="12.8" hidden="false" customHeight="false" outlineLevel="0" collapsed="false">
      <c r="A776" s="159"/>
      <c r="B776" s="160"/>
      <c r="C776" s="161"/>
      <c r="D776" s="162"/>
      <c r="E776" s="157"/>
      <c r="F776" s="157"/>
      <c r="G776" s="158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customFormat="false" ht="12.8" hidden="false" customHeight="false" outlineLevel="0" collapsed="false">
      <c r="A777" s="159"/>
      <c r="B777" s="160"/>
      <c r="C777" s="161"/>
      <c r="D777" s="162"/>
      <c r="E777" s="157"/>
      <c r="F777" s="157"/>
      <c r="G777" s="158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customFormat="false" ht="12.8" hidden="false" customHeight="false" outlineLevel="0" collapsed="false">
      <c r="A778" s="159"/>
      <c r="B778" s="160"/>
      <c r="C778" s="161"/>
      <c r="D778" s="162"/>
      <c r="E778" s="157"/>
      <c r="F778" s="157"/>
      <c r="G778" s="158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customFormat="false" ht="12.8" hidden="false" customHeight="false" outlineLevel="0" collapsed="false">
      <c r="A779" s="159"/>
      <c r="B779" s="160"/>
      <c r="C779" s="161"/>
      <c r="D779" s="162"/>
      <c r="E779" s="157"/>
      <c r="F779" s="157"/>
      <c r="G779" s="158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customFormat="false" ht="12.8" hidden="false" customHeight="false" outlineLevel="0" collapsed="false">
      <c r="A780" s="159"/>
      <c r="B780" s="160"/>
      <c r="C780" s="161"/>
      <c r="D780" s="162"/>
      <c r="E780" s="157"/>
      <c r="F780" s="157"/>
      <c r="G780" s="158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customFormat="false" ht="12.8" hidden="false" customHeight="false" outlineLevel="0" collapsed="false">
      <c r="A781" s="159"/>
      <c r="B781" s="160"/>
      <c r="C781" s="161"/>
      <c r="D781" s="162"/>
      <c r="E781" s="157"/>
      <c r="F781" s="157"/>
      <c r="G781" s="158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customFormat="false" ht="12.8" hidden="false" customHeight="false" outlineLevel="0" collapsed="false">
      <c r="A782" s="159"/>
      <c r="B782" s="160"/>
      <c r="C782" s="161"/>
      <c r="D782" s="162"/>
      <c r="E782" s="157"/>
      <c r="F782" s="157"/>
      <c r="G782" s="158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customFormat="false" ht="12.8" hidden="false" customHeight="false" outlineLevel="0" collapsed="false">
      <c r="A783" s="159"/>
      <c r="B783" s="160"/>
      <c r="C783" s="161"/>
      <c r="D783" s="162"/>
      <c r="E783" s="157"/>
      <c r="F783" s="157"/>
      <c r="G783" s="158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customFormat="false" ht="12.8" hidden="false" customHeight="false" outlineLevel="0" collapsed="false">
      <c r="A784" s="159"/>
      <c r="B784" s="160"/>
      <c r="C784" s="161"/>
      <c r="D784" s="162"/>
      <c r="E784" s="157"/>
      <c r="F784" s="157"/>
      <c r="G784" s="158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customFormat="false" ht="12.8" hidden="false" customHeight="false" outlineLevel="0" collapsed="false">
      <c r="A785" s="159"/>
      <c r="B785" s="160"/>
      <c r="C785" s="161"/>
      <c r="D785" s="162"/>
      <c r="E785" s="157"/>
      <c r="F785" s="157"/>
      <c r="G785" s="158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customFormat="false" ht="12.8" hidden="false" customHeight="false" outlineLevel="0" collapsed="false">
      <c r="A786" s="159"/>
      <c r="B786" s="160"/>
      <c r="C786" s="161"/>
      <c r="D786" s="162"/>
      <c r="E786" s="157"/>
      <c r="F786" s="157"/>
      <c r="G786" s="158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customFormat="false" ht="12.8" hidden="false" customHeight="false" outlineLevel="0" collapsed="false">
      <c r="A787" s="159"/>
      <c r="B787" s="160"/>
      <c r="C787" s="161"/>
      <c r="D787" s="162"/>
      <c r="E787" s="157"/>
      <c r="F787" s="157"/>
      <c r="G787" s="158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customFormat="false" ht="12.8" hidden="false" customHeight="false" outlineLevel="0" collapsed="false">
      <c r="A788" s="159"/>
      <c r="B788" s="160"/>
      <c r="C788" s="161"/>
      <c r="D788" s="162"/>
      <c r="E788" s="157"/>
      <c r="F788" s="157"/>
      <c r="G788" s="158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customFormat="false" ht="12.8" hidden="false" customHeight="false" outlineLevel="0" collapsed="false">
      <c r="A789" s="159"/>
      <c r="B789" s="160"/>
      <c r="C789" s="161"/>
      <c r="D789" s="162"/>
      <c r="E789" s="157"/>
      <c r="F789" s="157"/>
      <c r="G789" s="158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customFormat="false" ht="12.8" hidden="false" customHeight="false" outlineLevel="0" collapsed="false">
      <c r="A790" s="159"/>
      <c r="B790" s="160"/>
      <c r="C790" s="161"/>
      <c r="D790" s="162"/>
      <c r="E790" s="157"/>
      <c r="F790" s="157"/>
      <c r="G790" s="158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customFormat="false" ht="12.8" hidden="false" customHeight="false" outlineLevel="0" collapsed="false">
      <c r="A791" s="159"/>
      <c r="B791" s="160"/>
      <c r="C791" s="161"/>
      <c r="D791" s="162"/>
      <c r="E791" s="157"/>
      <c r="F791" s="157"/>
      <c r="G791" s="158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customFormat="false" ht="12.8" hidden="false" customHeight="false" outlineLevel="0" collapsed="false">
      <c r="A792" s="159"/>
      <c r="B792" s="160"/>
      <c r="C792" s="161"/>
      <c r="D792" s="162"/>
      <c r="E792" s="157"/>
      <c r="F792" s="157"/>
      <c r="G792" s="158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customFormat="false" ht="12.8" hidden="false" customHeight="false" outlineLevel="0" collapsed="false">
      <c r="A793" s="159"/>
      <c r="B793" s="160"/>
      <c r="C793" s="161"/>
      <c r="D793" s="162"/>
      <c r="E793" s="157"/>
      <c r="F793" s="157"/>
      <c r="G793" s="158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customFormat="false" ht="12.8" hidden="false" customHeight="false" outlineLevel="0" collapsed="false">
      <c r="A794" s="159"/>
      <c r="B794" s="160"/>
      <c r="C794" s="161"/>
      <c r="D794" s="162"/>
      <c r="E794" s="157"/>
      <c r="F794" s="157"/>
      <c r="G794" s="158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customFormat="false" ht="12.8" hidden="false" customHeight="false" outlineLevel="0" collapsed="false">
      <c r="A795" s="159"/>
      <c r="B795" s="160"/>
      <c r="C795" s="161"/>
      <c r="D795" s="162"/>
      <c r="E795" s="157"/>
      <c r="F795" s="157"/>
      <c r="G795" s="158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customFormat="false" ht="12.8" hidden="false" customHeight="false" outlineLevel="0" collapsed="false">
      <c r="A796" s="159"/>
      <c r="B796" s="160"/>
      <c r="C796" s="161"/>
      <c r="D796" s="162"/>
      <c r="E796" s="157"/>
      <c r="F796" s="157"/>
      <c r="G796" s="158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customFormat="false" ht="12.8" hidden="false" customHeight="false" outlineLevel="0" collapsed="false">
      <c r="A797" s="159"/>
      <c r="B797" s="160"/>
      <c r="C797" s="161"/>
      <c r="D797" s="162"/>
      <c r="E797" s="157"/>
      <c r="F797" s="157"/>
      <c r="G797" s="158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customFormat="false" ht="12.8" hidden="false" customHeight="false" outlineLevel="0" collapsed="false">
      <c r="A798" s="159"/>
      <c r="B798" s="160"/>
      <c r="C798" s="161"/>
      <c r="D798" s="162"/>
      <c r="E798" s="157"/>
      <c r="F798" s="157"/>
      <c r="G798" s="158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customFormat="false" ht="12.8" hidden="false" customHeight="false" outlineLevel="0" collapsed="false">
      <c r="A799" s="159"/>
      <c r="B799" s="160"/>
      <c r="C799" s="161"/>
      <c r="D799" s="162"/>
      <c r="E799" s="157"/>
      <c r="F799" s="157"/>
      <c r="G799" s="158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customFormat="false" ht="12.8" hidden="false" customHeight="false" outlineLevel="0" collapsed="false">
      <c r="A800" s="159"/>
      <c r="B800" s="160"/>
      <c r="C800" s="161"/>
      <c r="D800" s="162"/>
      <c r="E800" s="157"/>
      <c r="F800" s="157"/>
      <c r="G800" s="158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customFormat="false" ht="12.8" hidden="false" customHeight="false" outlineLevel="0" collapsed="false">
      <c r="A801" s="159"/>
      <c r="B801" s="160"/>
      <c r="C801" s="161"/>
      <c r="D801" s="162"/>
      <c r="E801" s="157"/>
      <c r="F801" s="157"/>
      <c r="G801" s="158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customFormat="false" ht="12.8" hidden="false" customHeight="false" outlineLevel="0" collapsed="false">
      <c r="A802" s="159"/>
      <c r="B802" s="160"/>
      <c r="C802" s="161"/>
      <c r="D802" s="162"/>
      <c r="E802" s="157"/>
      <c r="F802" s="157"/>
      <c r="G802" s="158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customFormat="false" ht="12.8" hidden="false" customHeight="false" outlineLevel="0" collapsed="false">
      <c r="A803" s="159"/>
      <c r="B803" s="160"/>
      <c r="C803" s="161"/>
      <c r="D803" s="162"/>
      <c r="E803" s="157"/>
      <c r="F803" s="157"/>
      <c r="G803" s="158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customFormat="false" ht="12.8" hidden="false" customHeight="false" outlineLevel="0" collapsed="false">
      <c r="A804" s="159"/>
      <c r="B804" s="160"/>
      <c r="C804" s="161"/>
      <c r="D804" s="162"/>
      <c r="E804" s="157"/>
      <c r="F804" s="157"/>
      <c r="G804" s="158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customFormat="false" ht="12.8" hidden="false" customHeight="false" outlineLevel="0" collapsed="false">
      <c r="A805" s="159"/>
      <c r="B805" s="160"/>
      <c r="C805" s="161"/>
      <c r="D805" s="162"/>
      <c r="E805" s="157"/>
      <c r="F805" s="157"/>
      <c r="G805" s="158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customFormat="false" ht="12.8" hidden="false" customHeight="false" outlineLevel="0" collapsed="false">
      <c r="A806" s="159"/>
      <c r="B806" s="160"/>
      <c r="C806" s="161"/>
      <c r="D806" s="162"/>
      <c r="E806" s="157"/>
      <c r="F806" s="157"/>
      <c r="G806" s="158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customFormat="false" ht="12.8" hidden="false" customHeight="false" outlineLevel="0" collapsed="false">
      <c r="A807" s="159"/>
      <c r="B807" s="160"/>
      <c r="C807" s="161"/>
      <c r="D807" s="162"/>
      <c r="E807" s="157"/>
      <c r="F807" s="157"/>
      <c r="G807" s="158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customFormat="false" ht="12.8" hidden="false" customHeight="false" outlineLevel="0" collapsed="false">
      <c r="A808" s="159"/>
      <c r="B808" s="160"/>
      <c r="C808" s="161"/>
      <c r="D808" s="162"/>
      <c r="E808" s="157"/>
      <c r="F808" s="157"/>
      <c r="G808" s="158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customFormat="false" ht="12.8" hidden="false" customHeight="false" outlineLevel="0" collapsed="false">
      <c r="A809" s="159"/>
      <c r="B809" s="160"/>
      <c r="C809" s="161"/>
      <c r="D809" s="162"/>
      <c r="E809" s="157"/>
      <c r="F809" s="157"/>
      <c r="G809" s="158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customFormat="false" ht="12.8" hidden="false" customHeight="false" outlineLevel="0" collapsed="false">
      <c r="A810" s="159"/>
      <c r="B810" s="160"/>
      <c r="C810" s="161"/>
      <c r="D810" s="162"/>
      <c r="E810" s="157"/>
      <c r="F810" s="157"/>
      <c r="G810" s="158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customFormat="false" ht="12.8" hidden="false" customHeight="false" outlineLevel="0" collapsed="false">
      <c r="A811" s="159"/>
      <c r="B811" s="160"/>
      <c r="C811" s="161"/>
      <c r="D811" s="162"/>
      <c r="E811" s="157"/>
      <c r="F811" s="157"/>
      <c r="G811" s="158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customFormat="false" ht="12.8" hidden="false" customHeight="false" outlineLevel="0" collapsed="false">
      <c r="A812" s="159"/>
      <c r="B812" s="160"/>
      <c r="C812" s="161"/>
      <c r="D812" s="162"/>
      <c r="E812" s="157"/>
      <c r="F812" s="157"/>
      <c r="G812" s="158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customFormat="false" ht="12.8" hidden="false" customHeight="false" outlineLevel="0" collapsed="false">
      <c r="A813" s="159"/>
      <c r="B813" s="160"/>
      <c r="C813" s="161"/>
      <c r="D813" s="162"/>
      <c r="E813" s="157"/>
      <c r="F813" s="157"/>
      <c r="G813" s="158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customFormat="false" ht="12.8" hidden="false" customHeight="false" outlineLevel="0" collapsed="false">
      <c r="A814" s="159"/>
      <c r="B814" s="160"/>
      <c r="C814" s="161"/>
      <c r="D814" s="162"/>
      <c r="E814" s="157"/>
      <c r="F814" s="157"/>
      <c r="G814" s="158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customFormat="false" ht="12.8" hidden="false" customHeight="false" outlineLevel="0" collapsed="false">
      <c r="A815" s="159"/>
      <c r="B815" s="160"/>
      <c r="C815" s="161"/>
      <c r="D815" s="162"/>
      <c r="E815" s="157"/>
      <c r="F815" s="157"/>
      <c r="G815" s="158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customFormat="false" ht="12.8" hidden="false" customHeight="false" outlineLevel="0" collapsed="false">
      <c r="A816" s="159"/>
      <c r="B816" s="160"/>
      <c r="C816" s="161"/>
      <c r="D816" s="162"/>
      <c r="E816" s="157"/>
      <c r="F816" s="157"/>
      <c r="G816" s="158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customFormat="false" ht="12.8" hidden="false" customHeight="false" outlineLevel="0" collapsed="false">
      <c r="A817" s="159"/>
      <c r="B817" s="160"/>
      <c r="C817" s="161"/>
      <c r="D817" s="162"/>
      <c r="E817" s="157"/>
      <c r="F817" s="157"/>
      <c r="G817" s="158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customFormat="false" ht="12.8" hidden="false" customHeight="false" outlineLevel="0" collapsed="false">
      <c r="A818" s="159"/>
      <c r="B818" s="160"/>
      <c r="C818" s="161"/>
      <c r="D818" s="162"/>
      <c r="E818" s="157"/>
      <c r="F818" s="157"/>
      <c r="G818" s="158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customFormat="false" ht="12.8" hidden="false" customHeight="false" outlineLevel="0" collapsed="false">
      <c r="A819" s="159"/>
      <c r="B819" s="160"/>
      <c r="C819" s="161"/>
      <c r="D819" s="162"/>
      <c r="E819" s="157"/>
      <c r="F819" s="157"/>
      <c r="G819" s="158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customFormat="false" ht="12.8" hidden="false" customHeight="false" outlineLevel="0" collapsed="false">
      <c r="A820" s="159"/>
      <c r="B820" s="160"/>
      <c r="C820" s="161"/>
      <c r="D820" s="162"/>
      <c r="E820" s="157"/>
      <c r="F820" s="157"/>
      <c r="G820" s="158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customFormat="false" ht="12.8" hidden="false" customHeight="false" outlineLevel="0" collapsed="false">
      <c r="A821" s="159"/>
      <c r="B821" s="160"/>
      <c r="C821" s="161"/>
      <c r="D821" s="162"/>
      <c r="E821" s="157"/>
      <c r="F821" s="157"/>
      <c r="G821" s="158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customFormat="false" ht="12.8" hidden="false" customHeight="false" outlineLevel="0" collapsed="false">
      <c r="A822" s="159"/>
      <c r="B822" s="160"/>
      <c r="C822" s="161"/>
      <c r="D822" s="162"/>
      <c r="E822" s="157"/>
      <c r="F822" s="157"/>
      <c r="G822" s="158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customFormat="false" ht="12.8" hidden="false" customHeight="false" outlineLevel="0" collapsed="false">
      <c r="A823" s="159"/>
      <c r="B823" s="160"/>
      <c r="C823" s="161"/>
      <c r="D823" s="162"/>
      <c r="E823" s="157"/>
      <c r="F823" s="157"/>
      <c r="G823" s="158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customFormat="false" ht="12.8" hidden="false" customHeight="false" outlineLevel="0" collapsed="false">
      <c r="A824" s="159"/>
      <c r="B824" s="160"/>
      <c r="C824" s="161"/>
      <c r="D824" s="162"/>
      <c r="E824" s="157"/>
      <c r="F824" s="157"/>
      <c r="G824" s="158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customFormat="false" ht="12.8" hidden="false" customHeight="false" outlineLevel="0" collapsed="false">
      <c r="A825" s="159"/>
      <c r="B825" s="160"/>
      <c r="C825" s="161"/>
      <c r="D825" s="162"/>
      <c r="E825" s="157"/>
      <c r="F825" s="157"/>
      <c r="G825" s="158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customFormat="false" ht="12.8" hidden="false" customHeight="false" outlineLevel="0" collapsed="false">
      <c r="A826" s="159"/>
      <c r="B826" s="160"/>
      <c r="C826" s="161"/>
      <c r="D826" s="162"/>
      <c r="E826" s="157"/>
      <c r="F826" s="157"/>
      <c r="G826" s="158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customFormat="false" ht="12.8" hidden="false" customHeight="false" outlineLevel="0" collapsed="false">
      <c r="A827" s="159"/>
      <c r="B827" s="160"/>
      <c r="C827" s="161"/>
      <c r="D827" s="162"/>
      <c r="E827" s="157"/>
      <c r="F827" s="157"/>
      <c r="G827" s="158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customFormat="false" ht="12.8" hidden="false" customHeight="false" outlineLevel="0" collapsed="false">
      <c r="A828" s="159"/>
      <c r="B828" s="160"/>
      <c r="C828" s="161"/>
      <c r="D828" s="162"/>
      <c r="E828" s="157"/>
      <c r="F828" s="157"/>
      <c r="G828" s="158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customFormat="false" ht="12.8" hidden="false" customHeight="false" outlineLevel="0" collapsed="false">
      <c r="A829" s="159"/>
      <c r="B829" s="160"/>
      <c r="C829" s="161"/>
      <c r="D829" s="162"/>
      <c r="E829" s="157"/>
      <c r="F829" s="157"/>
      <c r="G829" s="158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customFormat="false" ht="12.8" hidden="false" customHeight="false" outlineLevel="0" collapsed="false">
      <c r="A830" s="159"/>
      <c r="B830" s="160"/>
      <c r="C830" s="161"/>
      <c r="D830" s="162"/>
      <c r="E830" s="157"/>
      <c r="F830" s="157"/>
      <c r="G830" s="158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customFormat="false" ht="12.8" hidden="false" customHeight="false" outlineLevel="0" collapsed="false">
      <c r="A831" s="159"/>
      <c r="B831" s="160"/>
      <c r="C831" s="161"/>
      <c r="D831" s="162"/>
      <c r="E831" s="157"/>
      <c r="F831" s="157"/>
      <c r="G831" s="158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customFormat="false" ht="12.8" hidden="false" customHeight="false" outlineLevel="0" collapsed="false">
      <c r="A832" s="159"/>
      <c r="B832" s="160"/>
      <c r="C832" s="161"/>
      <c r="D832" s="162"/>
      <c r="E832" s="157"/>
      <c r="F832" s="157"/>
      <c r="G832" s="158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customFormat="false" ht="12.8" hidden="false" customHeight="false" outlineLevel="0" collapsed="false">
      <c r="A833" s="159"/>
      <c r="B833" s="160"/>
      <c r="C833" s="161"/>
      <c r="D833" s="162"/>
      <c r="E833" s="157"/>
      <c r="F833" s="157"/>
      <c r="G833" s="158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customFormat="false" ht="12.8" hidden="false" customHeight="false" outlineLevel="0" collapsed="false">
      <c r="A834" s="159"/>
      <c r="B834" s="160"/>
      <c r="C834" s="161"/>
      <c r="D834" s="162"/>
      <c r="E834" s="157"/>
      <c r="F834" s="157"/>
      <c r="G834" s="158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customFormat="false" ht="12.8" hidden="false" customHeight="false" outlineLevel="0" collapsed="false">
      <c r="A835" s="159"/>
      <c r="B835" s="160"/>
      <c r="C835" s="161"/>
      <c r="D835" s="162"/>
      <c r="E835" s="157"/>
      <c r="F835" s="157"/>
      <c r="G835" s="158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customFormat="false" ht="12.8" hidden="false" customHeight="false" outlineLevel="0" collapsed="false">
      <c r="A836" s="159"/>
      <c r="B836" s="160"/>
      <c r="C836" s="161"/>
      <c r="D836" s="162"/>
      <c r="E836" s="157"/>
      <c r="F836" s="157"/>
      <c r="G836" s="158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customFormat="false" ht="12.8" hidden="false" customHeight="false" outlineLevel="0" collapsed="false">
      <c r="A837" s="159"/>
      <c r="B837" s="160"/>
      <c r="C837" s="161"/>
      <c r="D837" s="162"/>
      <c r="E837" s="157"/>
      <c r="F837" s="157"/>
      <c r="G837" s="158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customFormat="false" ht="12.8" hidden="false" customHeight="false" outlineLevel="0" collapsed="false">
      <c r="A838" s="159"/>
      <c r="B838" s="160"/>
      <c r="C838" s="161"/>
      <c r="D838" s="162"/>
      <c r="E838" s="157"/>
      <c r="F838" s="157"/>
      <c r="G838" s="158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customFormat="false" ht="12.8" hidden="false" customHeight="false" outlineLevel="0" collapsed="false">
      <c r="A839" s="159"/>
      <c r="B839" s="160"/>
      <c r="C839" s="161"/>
      <c r="D839" s="162"/>
      <c r="E839" s="157"/>
      <c r="F839" s="157"/>
      <c r="G839" s="158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customFormat="false" ht="12.8" hidden="false" customHeight="false" outlineLevel="0" collapsed="false">
      <c r="A840" s="159"/>
      <c r="B840" s="160"/>
      <c r="C840" s="161"/>
      <c r="D840" s="162"/>
      <c r="E840" s="157"/>
      <c r="F840" s="157"/>
      <c r="G840" s="158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customFormat="false" ht="12.8" hidden="false" customHeight="false" outlineLevel="0" collapsed="false">
      <c r="A841" s="159"/>
      <c r="B841" s="160"/>
      <c r="C841" s="161"/>
      <c r="D841" s="162"/>
      <c r="E841" s="157"/>
      <c r="F841" s="157"/>
      <c r="G841" s="158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customFormat="false" ht="12.8" hidden="false" customHeight="false" outlineLevel="0" collapsed="false">
      <c r="A842" s="159"/>
      <c r="B842" s="160"/>
      <c r="C842" s="161"/>
      <c r="D842" s="162"/>
      <c r="E842" s="157"/>
      <c r="F842" s="157"/>
      <c r="G842" s="158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customFormat="false" ht="12.8" hidden="false" customHeight="false" outlineLevel="0" collapsed="false">
      <c r="A843" s="159"/>
      <c r="B843" s="160"/>
      <c r="C843" s="161"/>
      <c r="D843" s="162"/>
      <c r="E843" s="157"/>
      <c r="F843" s="157"/>
      <c r="G843" s="158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customFormat="false" ht="12.8" hidden="false" customHeight="false" outlineLevel="0" collapsed="false">
      <c r="A844" s="159"/>
      <c r="B844" s="160"/>
      <c r="C844" s="161"/>
      <c r="D844" s="162"/>
      <c r="E844" s="157"/>
      <c r="F844" s="157"/>
      <c r="G844" s="158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customFormat="false" ht="12.8" hidden="false" customHeight="false" outlineLevel="0" collapsed="false">
      <c r="A845" s="159"/>
      <c r="B845" s="160"/>
      <c r="C845" s="161"/>
      <c r="D845" s="162"/>
      <c r="E845" s="157"/>
      <c r="F845" s="157"/>
      <c r="G845" s="158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customFormat="false" ht="12.8" hidden="false" customHeight="false" outlineLevel="0" collapsed="false">
      <c r="A846" s="159"/>
      <c r="B846" s="160"/>
      <c r="C846" s="161"/>
      <c r="D846" s="162"/>
      <c r="E846" s="157"/>
      <c r="F846" s="157"/>
      <c r="G846" s="158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customFormat="false" ht="12.8" hidden="false" customHeight="false" outlineLevel="0" collapsed="false">
      <c r="A847" s="159"/>
      <c r="B847" s="160"/>
      <c r="C847" s="161"/>
      <c r="D847" s="162"/>
      <c r="E847" s="157"/>
      <c r="F847" s="157"/>
      <c r="G847" s="158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customFormat="false" ht="12.8" hidden="false" customHeight="false" outlineLevel="0" collapsed="false">
      <c r="A848" s="159"/>
      <c r="B848" s="160"/>
      <c r="C848" s="161"/>
      <c r="D848" s="162"/>
      <c r="E848" s="157"/>
      <c r="F848" s="157"/>
      <c r="G848" s="158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customFormat="false" ht="12.8" hidden="false" customHeight="false" outlineLevel="0" collapsed="false">
      <c r="A849" s="159"/>
      <c r="B849" s="160"/>
      <c r="C849" s="161"/>
      <c r="D849" s="162"/>
      <c r="E849" s="157"/>
      <c r="F849" s="157"/>
      <c r="G849" s="158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customFormat="false" ht="12.8" hidden="false" customHeight="false" outlineLevel="0" collapsed="false">
      <c r="A850" s="159"/>
      <c r="B850" s="160"/>
      <c r="C850" s="161"/>
      <c r="D850" s="162"/>
      <c r="E850" s="157"/>
      <c r="F850" s="157"/>
      <c r="G850" s="158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customFormat="false" ht="12.8" hidden="false" customHeight="false" outlineLevel="0" collapsed="false">
      <c r="A851" s="159"/>
      <c r="B851" s="160"/>
      <c r="C851" s="161"/>
      <c r="D851" s="162"/>
      <c r="E851" s="157"/>
      <c r="F851" s="157"/>
      <c r="G851" s="158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customFormat="false" ht="12.8" hidden="false" customHeight="false" outlineLevel="0" collapsed="false">
      <c r="A852" s="159"/>
      <c r="B852" s="160"/>
      <c r="C852" s="161"/>
      <c r="D852" s="162"/>
      <c r="E852" s="157"/>
      <c r="F852" s="157"/>
      <c r="G852" s="158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customFormat="false" ht="12.8" hidden="false" customHeight="false" outlineLevel="0" collapsed="false">
      <c r="A853" s="159"/>
      <c r="B853" s="160"/>
      <c r="C853" s="161"/>
      <c r="D853" s="162"/>
      <c r="E853" s="157"/>
      <c r="F853" s="157"/>
      <c r="G853" s="158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customFormat="false" ht="12.8" hidden="false" customHeight="false" outlineLevel="0" collapsed="false">
      <c r="A854" s="159"/>
      <c r="B854" s="160"/>
      <c r="C854" s="161"/>
      <c r="D854" s="162"/>
      <c r="E854" s="157"/>
      <c r="F854" s="157"/>
      <c r="G854" s="158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customFormat="false" ht="12.8" hidden="false" customHeight="false" outlineLevel="0" collapsed="false">
      <c r="A855" s="159"/>
      <c r="B855" s="160"/>
      <c r="C855" s="161"/>
      <c r="D855" s="162"/>
      <c r="E855" s="157"/>
      <c r="F855" s="157"/>
      <c r="G855" s="158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customFormat="false" ht="12.8" hidden="false" customHeight="false" outlineLevel="0" collapsed="false">
      <c r="A856" s="159"/>
      <c r="B856" s="160"/>
      <c r="C856" s="161"/>
      <c r="D856" s="162"/>
      <c r="E856" s="157"/>
      <c r="F856" s="157"/>
      <c r="G856" s="158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customFormat="false" ht="12.8" hidden="false" customHeight="false" outlineLevel="0" collapsed="false">
      <c r="A857" s="159"/>
      <c r="B857" s="160"/>
      <c r="C857" s="161"/>
      <c r="D857" s="162"/>
      <c r="E857" s="157"/>
      <c r="F857" s="157"/>
      <c r="G857" s="158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customFormat="false" ht="12.8" hidden="false" customHeight="false" outlineLevel="0" collapsed="false">
      <c r="A858" s="159"/>
      <c r="B858" s="160"/>
      <c r="C858" s="161"/>
      <c r="D858" s="162"/>
      <c r="E858" s="157"/>
      <c r="F858" s="157"/>
      <c r="G858" s="158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customFormat="false" ht="12.8" hidden="false" customHeight="false" outlineLevel="0" collapsed="false">
      <c r="A859" s="159"/>
      <c r="B859" s="160"/>
      <c r="C859" s="161"/>
      <c r="D859" s="162"/>
      <c r="E859" s="157"/>
      <c r="F859" s="157"/>
      <c r="G859" s="158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customFormat="false" ht="12.8" hidden="false" customHeight="false" outlineLevel="0" collapsed="false">
      <c r="A860" s="159"/>
      <c r="B860" s="160"/>
      <c r="C860" s="161"/>
      <c r="D860" s="162"/>
      <c r="E860" s="157"/>
      <c r="F860" s="157"/>
      <c r="G860" s="158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customFormat="false" ht="12.8" hidden="false" customHeight="false" outlineLevel="0" collapsed="false">
      <c r="A861" s="159"/>
      <c r="B861" s="160"/>
      <c r="C861" s="161"/>
      <c r="D861" s="162"/>
      <c r="E861" s="157"/>
      <c r="F861" s="157"/>
      <c r="G861" s="158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customFormat="false" ht="12.8" hidden="false" customHeight="false" outlineLevel="0" collapsed="false">
      <c r="A862" s="159"/>
      <c r="B862" s="160"/>
      <c r="C862" s="161"/>
      <c r="D862" s="162"/>
      <c r="E862" s="157"/>
      <c r="F862" s="157"/>
      <c r="G862" s="158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customFormat="false" ht="12.8" hidden="false" customHeight="false" outlineLevel="0" collapsed="false">
      <c r="A863" s="159"/>
      <c r="B863" s="160"/>
      <c r="C863" s="161"/>
      <c r="D863" s="162"/>
      <c r="E863" s="157"/>
      <c r="F863" s="157"/>
      <c r="G863" s="158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customFormat="false" ht="12.8" hidden="false" customHeight="false" outlineLevel="0" collapsed="false">
      <c r="A864" s="159"/>
      <c r="B864" s="160"/>
      <c r="C864" s="161"/>
      <c r="D864" s="162"/>
      <c r="E864" s="157"/>
      <c r="F864" s="157"/>
      <c r="G864" s="158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customFormat="false" ht="12.8" hidden="false" customHeight="false" outlineLevel="0" collapsed="false">
      <c r="A865" s="159"/>
      <c r="B865" s="160"/>
      <c r="C865" s="161"/>
      <c r="D865" s="162"/>
      <c r="E865" s="157"/>
      <c r="F865" s="157"/>
      <c r="G865" s="158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customFormat="false" ht="12.8" hidden="false" customHeight="false" outlineLevel="0" collapsed="false">
      <c r="A866" s="159"/>
      <c r="B866" s="160"/>
      <c r="C866" s="161"/>
      <c r="D866" s="162"/>
      <c r="E866" s="157"/>
      <c r="F866" s="157"/>
      <c r="G866" s="158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customFormat="false" ht="12.8" hidden="false" customHeight="false" outlineLevel="0" collapsed="false">
      <c r="A867" s="159"/>
      <c r="B867" s="160"/>
      <c r="C867" s="161"/>
      <c r="D867" s="162"/>
      <c r="E867" s="157"/>
      <c r="F867" s="157"/>
      <c r="G867" s="158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customFormat="false" ht="12.8" hidden="false" customHeight="false" outlineLevel="0" collapsed="false">
      <c r="A868" s="159"/>
      <c r="B868" s="160"/>
      <c r="C868" s="161"/>
      <c r="D868" s="162"/>
      <c r="E868" s="157"/>
      <c r="F868" s="157"/>
      <c r="G868" s="158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customFormat="false" ht="12.8" hidden="false" customHeight="false" outlineLevel="0" collapsed="false">
      <c r="A869" s="159"/>
      <c r="B869" s="160"/>
      <c r="C869" s="161"/>
      <c r="D869" s="162"/>
      <c r="E869" s="157"/>
      <c r="F869" s="157"/>
      <c r="G869" s="158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customFormat="false" ht="12.8" hidden="false" customHeight="false" outlineLevel="0" collapsed="false">
      <c r="A870" s="159"/>
      <c r="B870" s="160"/>
      <c r="C870" s="161"/>
      <c r="D870" s="162"/>
      <c r="E870" s="157"/>
      <c r="F870" s="157"/>
      <c r="G870" s="158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customFormat="false" ht="12.8" hidden="false" customHeight="false" outlineLevel="0" collapsed="false">
      <c r="A871" s="159"/>
      <c r="B871" s="160"/>
      <c r="C871" s="161"/>
      <c r="D871" s="162"/>
      <c r="E871" s="157"/>
      <c r="F871" s="157"/>
      <c r="G871" s="158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customFormat="false" ht="12.8" hidden="false" customHeight="false" outlineLevel="0" collapsed="false">
      <c r="A872" s="159"/>
      <c r="B872" s="160"/>
      <c r="C872" s="161"/>
      <c r="D872" s="162"/>
      <c r="E872" s="157"/>
      <c r="F872" s="157"/>
      <c r="G872" s="158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customFormat="false" ht="12.8" hidden="false" customHeight="false" outlineLevel="0" collapsed="false">
      <c r="A873" s="159"/>
      <c r="B873" s="160"/>
      <c r="C873" s="161"/>
      <c r="D873" s="162"/>
      <c r="E873" s="157"/>
      <c r="F873" s="157"/>
      <c r="G873" s="158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customFormat="false" ht="12.8" hidden="false" customHeight="false" outlineLevel="0" collapsed="false">
      <c r="A874" s="159"/>
      <c r="B874" s="160"/>
      <c r="C874" s="161"/>
      <c r="D874" s="162"/>
      <c r="E874" s="157"/>
      <c r="F874" s="157"/>
      <c r="G874" s="158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customFormat="false" ht="12.8" hidden="false" customHeight="false" outlineLevel="0" collapsed="false">
      <c r="A875" s="159"/>
      <c r="B875" s="160"/>
      <c r="C875" s="161"/>
      <c r="D875" s="162"/>
      <c r="E875" s="157"/>
      <c r="F875" s="157"/>
      <c r="G875" s="158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customFormat="false" ht="12.8" hidden="false" customHeight="false" outlineLevel="0" collapsed="false">
      <c r="A876" s="159"/>
      <c r="B876" s="160"/>
      <c r="C876" s="161"/>
      <c r="D876" s="162"/>
      <c r="E876" s="157"/>
      <c r="F876" s="157"/>
      <c r="G876" s="158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customFormat="false" ht="12.8" hidden="false" customHeight="false" outlineLevel="0" collapsed="false">
      <c r="A877" s="159"/>
      <c r="B877" s="160"/>
      <c r="C877" s="161"/>
      <c r="D877" s="162"/>
      <c r="E877" s="157"/>
      <c r="F877" s="157"/>
      <c r="G877" s="158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customFormat="false" ht="12.8" hidden="false" customHeight="false" outlineLevel="0" collapsed="false">
      <c r="A878" s="159"/>
      <c r="B878" s="160"/>
      <c r="C878" s="161"/>
      <c r="D878" s="162"/>
      <c r="E878" s="157"/>
      <c r="F878" s="157"/>
      <c r="G878" s="158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customFormat="false" ht="12.8" hidden="false" customHeight="false" outlineLevel="0" collapsed="false">
      <c r="A879" s="159"/>
      <c r="B879" s="160"/>
      <c r="C879" s="161"/>
      <c r="D879" s="162"/>
      <c r="E879" s="157"/>
      <c r="F879" s="157"/>
      <c r="G879" s="158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customFormat="false" ht="12.8" hidden="false" customHeight="false" outlineLevel="0" collapsed="false">
      <c r="A880" s="159"/>
      <c r="B880" s="160"/>
      <c r="C880" s="161"/>
      <c r="D880" s="162"/>
      <c r="E880" s="157"/>
      <c r="F880" s="157"/>
      <c r="G880" s="158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customFormat="false" ht="12.8" hidden="false" customHeight="false" outlineLevel="0" collapsed="false">
      <c r="A881" s="159"/>
      <c r="B881" s="160"/>
      <c r="C881" s="161"/>
      <c r="D881" s="162"/>
      <c r="E881" s="157"/>
      <c r="F881" s="157"/>
      <c r="G881" s="158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customFormat="false" ht="12.8" hidden="false" customHeight="false" outlineLevel="0" collapsed="false">
      <c r="A882" s="159"/>
      <c r="B882" s="160"/>
      <c r="C882" s="161"/>
      <c r="D882" s="162"/>
      <c r="E882" s="157"/>
      <c r="F882" s="157"/>
      <c r="G882" s="158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customFormat="false" ht="12.8" hidden="false" customHeight="false" outlineLevel="0" collapsed="false">
      <c r="A883" s="159"/>
      <c r="B883" s="160"/>
      <c r="C883" s="161"/>
      <c r="D883" s="162"/>
      <c r="E883" s="157"/>
      <c r="F883" s="157"/>
      <c r="G883" s="158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customFormat="false" ht="12.8" hidden="false" customHeight="false" outlineLevel="0" collapsed="false">
      <c r="A884" s="159"/>
      <c r="B884" s="160"/>
      <c r="C884" s="161"/>
      <c r="D884" s="162"/>
      <c r="E884" s="157"/>
      <c r="F884" s="157"/>
      <c r="G884" s="158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customFormat="false" ht="12.8" hidden="false" customHeight="false" outlineLevel="0" collapsed="false">
      <c r="A885" s="159"/>
      <c r="B885" s="160"/>
      <c r="C885" s="161"/>
      <c r="D885" s="162"/>
      <c r="E885" s="157"/>
      <c r="F885" s="157"/>
      <c r="G885" s="158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customFormat="false" ht="12.8" hidden="false" customHeight="false" outlineLevel="0" collapsed="false">
      <c r="A886" s="159"/>
      <c r="B886" s="160"/>
      <c r="C886" s="161"/>
      <c r="D886" s="162"/>
      <c r="E886" s="157"/>
      <c r="F886" s="157"/>
      <c r="G886" s="158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customFormat="false" ht="12.8" hidden="false" customHeight="false" outlineLevel="0" collapsed="false">
      <c r="A887" s="159"/>
      <c r="B887" s="160"/>
      <c r="C887" s="161"/>
      <c r="D887" s="162"/>
      <c r="E887" s="157"/>
      <c r="F887" s="157"/>
      <c r="G887" s="158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customFormat="false" ht="12.8" hidden="false" customHeight="false" outlineLevel="0" collapsed="false">
      <c r="A888" s="159"/>
      <c r="B888" s="160"/>
      <c r="C888" s="161"/>
      <c r="D888" s="162"/>
      <c r="E888" s="157"/>
      <c r="F888" s="157"/>
      <c r="G888" s="158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customFormat="false" ht="12.8" hidden="false" customHeight="false" outlineLevel="0" collapsed="false">
      <c r="A889" s="159"/>
      <c r="B889" s="160"/>
      <c r="C889" s="161"/>
      <c r="D889" s="162"/>
      <c r="E889" s="157"/>
      <c r="F889" s="157"/>
      <c r="G889" s="158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customFormat="false" ht="12.8" hidden="false" customHeight="false" outlineLevel="0" collapsed="false">
      <c r="A890" s="159"/>
      <c r="B890" s="160"/>
      <c r="C890" s="161"/>
      <c r="D890" s="162"/>
      <c r="E890" s="157"/>
      <c r="F890" s="157"/>
      <c r="G890" s="158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customFormat="false" ht="12.8" hidden="false" customHeight="false" outlineLevel="0" collapsed="false">
      <c r="A891" s="159"/>
      <c r="B891" s="160"/>
      <c r="C891" s="161"/>
      <c r="D891" s="162"/>
      <c r="E891" s="157"/>
      <c r="F891" s="157"/>
      <c r="G891" s="158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customFormat="false" ht="12.8" hidden="false" customHeight="false" outlineLevel="0" collapsed="false">
      <c r="A892" s="159"/>
      <c r="B892" s="160"/>
      <c r="C892" s="161"/>
      <c r="D892" s="162"/>
      <c r="E892" s="157"/>
      <c r="F892" s="157"/>
      <c r="G892" s="158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customFormat="false" ht="12.8" hidden="false" customHeight="false" outlineLevel="0" collapsed="false">
      <c r="A893" s="159"/>
      <c r="B893" s="160"/>
      <c r="C893" s="161"/>
      <c r="D893" s="162"/>
      <c r="E893" s="157"/>
      <c r="F893" s="157"/>
      <c r="G893" s="158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customFormat="false" ht="12.8" hidden="false" customHeight="false" outlineLevel="0" collapsed="false">
      <c r="A894" s="159"/>
      <c r="B894" s="160"/>
      <c r="C894" s="161"/>
      <c r="D894" s="162"/>
      <c r="E894" s="157"/>
      <c r="F894" s="157"/>
      <c r="G894" s="158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customFormat="false" ht="12.8" hidden="false" customHeight="false" outlineLevel="0" collapsed="false">
      <c r="A895" s="159"/>
      <c r="B895" s="160"/>
      <c r="C895" s="161"/>
      <c r="D895" s="162"/>
      <c r="E895" s="157"/>
      <c r="F895" s="157"/>
      <c r="G895" s="158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customFormat="false" ht="12.8" hidden="false" customHeight="false" outlineLevel="0" collapsed="false">
      <c r="A896" s="159"/>
      <c r="B896" s="160"/>
      <c r="C896" s="161"/>
      <c r="D896" s="162"/>
      <c r="E896" s="157"/>
      <c r="F896" s="157"/>
      <c r="G896" s="158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customFormat="false" ht="12.8" hidden="false" customHeight="false" outlineLevel="0" collapsed="false">
      <c r="A897" s="159"/>
      <c r="B897" s="160"/>
      <c r="C897" s="161"/>
      <c r="D897" s="162"/>
      <c r="E897" s="157"/>
      <c r="F897" s="157"/>
      <c r="G897" s="158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customFormat="false" ht="12.8" hidden="false" customHeight="false" outlineLevel="0" collapsed="false">
      <c r="A898" s="159"/>
      <c r="B898" s="160"/>
      <c r="C898" s="161"/>
      <c r="D898" s="162"/>
      <c r="E898" s="157"/>
      <c r="F898" s="157"/>
      <c r="G898" s="158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customFormat="false" ht="12.8" hidden="false" customHeight="false" outlineLevel="0" collapsed="false">
      <c r="A899" s="159"/>
      <c r="B899" s="160"/>
      <c r="C899" s="161"/>
      <c r="D899" s="162"/>
      <c r="E899" s="157"/>
      <c r="F899" s="157"/>
      <c r="G899" s="158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customFormat="false" ht="12.8" hidden="false" customHeight="false" outlineLevel="0" collapsed="false">
      <c r="A900" s="159"/>
      <c r="B900" s="160"/>
      <c r="C900" s="161"/>
      <c r="D900" s="162"/>
      <c r="E900" s="157"/>
      <c r="F900" s="157"/>
      <c r="G900" s="158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customFormat="false" ht="12.8" hidden="false" customHeight="false" outlineLevel="0" collapsed="false">
      <c r="A901" s="159"/>
      <c r="B901" s="160"/>
      <c r="C901" s="161"/>
      <c r="D901" s="162"/>
      <c r="E901" s="157"/>
      <c r="F901" s="157"/>
      <c r="G901" s="158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customFormat="false" ht="12.8" hidden="false" customHeight="false" outlineLevel="0" collapsed="false">
      <c r="A902" s="159"/>
      <c r="B902" s="160"/>
      <c r="C902" s="161"/>
      <c r="D902" s="162"/>
      <c r="E902" s="157"/>
      <c r="F902" s="157"/>
      <c r="G902" s="158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customFormat="false" ht="12.8" hidden="false" customHeight="false" outlineLevel="0" collapsed="false">
      <c r="A903" s="159"/>
      <c r="B903" s="160"/>
      <c r="C903" s="161"/>
      <c r="D903" s="162"/>
      <c r="E903" s="157"/>
      <c r="F903" s="157"/>
      <c r="G903" s="158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customFormat="false" ht="12.8" hidden="false" customHeight="false" outlineLevel="0" collapsed="false">
      <c r="A904" s="159"/>
      <c r="B904" s="160"/>
      <c r="C904" s="161"/>
      <c r="D904" s="162"/>
      <c r="E904" s="157"/>
      <c r="F904" s="157"/>
      <c r="G904" s="158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customFormat="false" ht="12.8" hidden="false" customHeight="false" outlineLevel="0" collapsed="false">
      <c r="A905" s="159"/>
      <c r="B905" s="160"/>
      <c r="C905" s="161"/>
      <c r="D905" s="162"/>
      <c r="E905" s="157"/>
      <c r="F905" s="157"/>
      <c r="G905" s="158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customFormat="false" ht="12.8" hidden="false" customHeight="false" outlineLevel="0" collapsed="false">
      <c r="A906" s="159"/>
      <c r="B906" s="160"/>
      <c r="C906" s="161"/>
      <c r="D906" s="162"/>
      <c r="E906" s="157"/>
      <c r="F906" s="157"/>
      <c r="G906" s="158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customFormat="false" ht="12.8" hidden="false" customHeight="false" outlineLevel="0" collapsed="false">
      <c r="A907" s="159"/>
      <c r="B907" s="160"/>
      <c r="C907" s="161"/>
      <c r="D907" s="162"/>
      <c r="E907" s="157"/>
      <c r="F907" s="157"/>
      <c r="G907" s="158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customFormat="false" ht="12.8" hidden="false" customHeight="false" outlineLevel="0" collapsed="false">
      <c r="A908" s="159"/>
      <c r="B908" s="160"/>
      <c r="C908" s="161"/>
      <c r="D908" s="162"/>
      <c r="E908" s="157"/>
      <c r="F908" s="157"/>
      <c r="G908" s="158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customFormat="false" ht="12.8" hidden="false" customHeight="false" outlineLevel="0" collapsed="false">
      <c r="A909" s="159"/>
      <c r="B909" s="160"/>
      <c r="C909" s="161"/>
      <c r="D909" s="162"/>
      <c r="E909" s="157"/>
      <c r="F909" s="157"/>
      <c r="G909" s="158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customFormat="false" ht="12.8" hidden="false" customHeight="false" outlineLevel="0" collapsed="false">
      <c r="A910" s="159"/>
      <c r="B910" s="160"/>
      <c r="C910" s="161"/>
      <c r="D910" s="162"/>
      <c r="E910" s="157"/>
      <c r="F910" s="157"/>
      <c r="G910" s="158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customFormat="false" ht="12.8" hidden="false" customHeight="false" outlineLevel="0" collapsed="false">
      <c r="A911" s="159"/>
      <c r="B911" s="160"/>
      <c r="C911" s="161"/>
      <c r="D911" s="162"/>
      <c r="E911" s="157"/>
      <c r="F911" s="157"/>
      <c r="G911" s="158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customFormat="false" ht="12.8" hidden="false" customHeight="false" outlineLevel="0" collapsed="false">
      <c r="A912" s="159"/>
      <c r="B912" s="160"/>
      <c r="C912" s="161"/>
      <c r="D912" s="162"/>
      <c r="E912" s="157"/>
      <c r="F912" s="157"/>
      <c r="G912" s="158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customFormat="false" ht="12.8" hidden="false" customHeight="false" outlineLevel="0" collapsed="false">
      <c r="A913" s="159"/>
      <c r="B913" s="160"/>
      <c r="C913" s="161"/>
      <c r="D913" s="162"/>
      <c r="E913" s="157"/>
      <c r="F913" s="157"/>
      <c r="G913" s="158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customFormat="false" ht="12.8" hidden="false" customHeight="false" outlineLevel="0" collapsed="false">
      <c r="A914" s="159"/>
      <c r="B914" s="160"/>
      <c r="C914" s="161"/>
      <c r="D914" s="162"/>
      <c r="E914" s="157"/>
      <c r="F914" s="157"/>
      <c r="G914" s="158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customFormat="false" ht="12.8" hidden="false" customHeight="false" outlineLevel="0" collapsed="false">
      <c r="A915" s="159"/>
      <c r="B915" s="160"/>
      <c r="C915" s="161"/>
      <c r="D915" s="162"/>
      <c r="E915" s="157"/>
      <c r="F915" s="157"/>
      <c r="G915" s="158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customFormat="false" ht="12.8" hidden="false" customHeight="false" outlineLevel="0" collapsed="false">
      <c r="A916" s="159"/>
      <c r="B916" s="160"/>
      <c r="C916" s="161"/>
      <c r="D916" s="162"/>
      <c r="E916" s="157"/>
      <c r="F916" s="157"/>
      <c r="G916" s="158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customFormat="false" ht="12.8" hidden="false" customHeight="false" outlineLevel="0" collapsed="false">
      <c r="A917" s="159"/>
      <c r="B917" s="160"/>
      <c r="C917" s="161"/>
      <c r="D917" s="162"/>
      <c r="E917" s="157"/>
      <c r="F917" s="157"/>
      <c r="G917" s="158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customFormat="false" ht="12.8" hidden="false" customHeight="false" outlineLevel="0" collapsed="false">
      <c r="A918" s="159"/>
      <c r="B918" s="160"/>
      <c r="C918" s="161"/>
      <c r="D918" s="162"/>
      <c r="E918" s="157"/>
      <c r="F918" s="157"/>
      <c r="G918" s="158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customFormat="false" ht="12.8" hidden="false" customHeight="false" outlineLevel="0" collapsed="false">
      <c r="A919" s="159"/>
      <c r="B919" s="160"/>
      <c r="C919" s="161"/>
      <c r="D919" s="162"/>
      <c r="E919" s="157"/>
      <c r="F919" s="157"/>
      <c r="G919" s="158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customFormat="false" ht="12.8" hidden="false" customHeight="false" outlineLevel="0" collapsed="false">
      <c r="A920" s="159"/>
      <c r="B920" s="160"/>
      <c r="C920" s="161"/>
      <c r="D920" s="162"/>
      <c r="E920" s="157"/>
      <c r="F920" s="157"/>
      <c r="G920" s="158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customFormat="false" ht="12.8" hidden="false" customHeight="false" outlineLevel="0" collapsed="false">
      <c r="A921" s="159"/>
      <c r="B921" s="160"/>
      <c r="C921" s="161"/>
      <c r="D921" s="162"/>
      <c r="E921" s="157"/>
      <c r="F921" s="157"/>
      <c r="G921" s="158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customFormat="false" ht="12.8" hidden="false" customHeight="false" outlineLevel="0" collapsed="false">
      <c r="A922" s="159"/>
      <c r="B922" s="160"/>
      <c r="C922" s="161"/>
      <c r="D922" s="162"/>
      <c r="E922" s="157"/>
      <c r="F922" s="157"/>
      <c r="G922" s="158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customFormat="false" ht="12.8" hidden="false" customHeight="false" outlineLevel="0" collapsed="false">
      <c r="A923" s="159"/>
      <c r="B923" s="160"/>
      <c r="C923" s="161"/>
      <c r="D923" s="162"/>
      <c r="E923" s="157"/>
      <c r="F923" s="157"/>
      <c r="G923" s="158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customFormat="false" ht="12.8" hidden="false" customHeight="false" outlineLevel="0" collapsed="false">
      <c r="A924" s="159"/>
      <c r="B924" s="160"/>
      <c r="C924" s="161"/>
      <c r="D924" s="162"/>
      <c r="E924" s="157"/>
      <c r="F924" s="157"/>
      <c r="G924" s="158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customFormat="false" ht="12.8" hidden="false" customHeight="false" outlineLevel="0" collapsed="false">
      <c r="A925" s="159"/>
      <c r="B925" s="160"/>
      <c r="C925" s="161"/>
      <c r="D925" s="162"/>
      <c r="E925" s="157"/>
      <c r="F925" s="157"/>
      <c r="G925" s="158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customFormat="false" ht="12.8" hidden="false" customHeight="false" outlineLevel="0" collapsed="false">
      <c r="A926" s="159"/>
      <c r="B926" s="160"/>
      <c r="C926" s="161"/>
      <c r="D926" s="162"/>
      <c r="E926" s="157"/>
      <c r="F926" s="157"/>
      <c r="G926" s="158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customFormat="false" ht="12.8" hidden="false" customHeight="false" outlineLevel="0" collapsed="false">
      <c r="A927" s="159"/>
      <c r="B927" s="160"/>
      <c r="C927" s="161"/>
      <c r="D927" s="162"/>
      <c r="E927" s="157"/>
      <c r="F927" s="157"/>
      <c r="G927" s="158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customFormat="false" ht="12.8" hidden="false" customHeight="false" outlineLevel="0" collapsed="false">
      <c r="A928" s="159"/>
      <c r="B928" s="160"/>
      <c r="C928" s="161"/>
      <c r="D928" s="162"/>
      <c r="E928" s="157"/>
      <c r="F928" s="157"/>
      <c r="G928" s="158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customFormat="false" ht="12.8" hidden="false" customHeight="false" outlineLevel="0" collapsed="false">
      <c r="A929" s="159"/>
      <c r="B929" s="160"/>
      <c r="C929" s="161"/>
      <c r="D929" s="162"/>
      <c r="E929" s="157"/>
      <c r="F929" s="157"/>
      <c r="G929" s="158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customFormat="false" ht="12.8" hidden="false" customHeight="false" outlineLevel="0" collapsed="false">
      <c r="A930" s="159"/>
      <c r="B930" s="160"/>
      <c r="C930" s="161"/>
      <c r="D930" s="162"/>
      <c r="E930" s="157"/>
      <c r="F930" s="157"/>
      <c r="G930" s="158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customFormat="false" ht="12.8" hidden="false" customHeight="false" outlineLevel="0" collapsed="false">
      <c r="A931" s="159"/>
      <c r="B931" s="160"/>
      <c r="C931" s="161"/>
      <c r="D931" s="162"/>
      <c r="E931" s="157"/>
      <c r="F931" s="157"/>
      <c r="G931" s="158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customFormat="false" ht="12.8" hidden="false" customHeight="false" outlineLevel="0" collapsed="false">
      <c r="A932" s="159"/>
      <c r="B932" s="160"/>
      <c r="C932" s="161"/>
      <c r="D932" s="162"/>
      <c r="E932" s="157"/>
      <c r="F932" s="157"/>
      <c r="G932" s="158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customFormat="false" ht="12.8" hidden="false" customHeight="false" outlineLevel="0" collapsed="false">
      <c r="A933" s="159"/>
      <c r="B933" s="160"/>
      <c r="C933" s="161"/>
      <c r="D933" s="162"/>
      <c r="E933" s="157"/>
      <c r="F933" s="157"/>
      <c r="G933" s="158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customFormat="false" ht="12.8" hidden="false" customHeight="false" outlineLevel="0" collapsed="false">
      <c r="A934" s="159"/>
      <c r="B934" s="160"/>
      <c r="C934" s="161"/>
      <c r="D934" s="162"/>
      <c r="E934" s="157"/>
      <c r="F934" s="157"/>
      <c r="G934" s="158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customFormat="false" ht="12.8" hidden="false" customHeight="false" outlineLevel="0" collapsed="false">
      <c r="A935" s="159"/>
      <c r="B935" s="160"/>
      <c r="C935" s="161"/>
      <c r="D935" s="162"/>
      <c r="E935" s="157"/>
      <c r="F935" s="157"/>
      <c r="G935" s="158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customFormat="false" ht="12.8" hidden="false" customHeight="false" outlineLevel="0" collapsed="false">
      <c r="A936" s="159"/>
      <c r="B936" s="160"/>
      <c r="C936" s="161"/>
      <c r="D936" s="162"/>
      <c r="E936" s="157"/>
      <c r="F936" s="157"/>
      <c r="G936" s="158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customFormat="false" ht="12.8" hidden="false" customHeight="false" outlineLevel="0" collapsed="false">
      <c r="A937" s="159"/>
      <c r="B937" s="160"/>
      <c r="C937" s="161"/>
      <c r="D937" s="162"/>
      <c r="E937" s="157"/>
      <c r="F937" s="157"/>
      <c r="G937" s="158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customFormat="false" ht="12.8" hidden="false" customHeight="false" outlineLevel="0" collapsed="false">
      <c r="A938" s="159"/>
      <c r="B938" s="160"/>
      <c r="C938" s="161"/>
      <c r="D938" s="162"/>
      <c r="E938" s="157"/>
      <c r="F938" s="157"/>
      <c r="G938" s="158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customFormat="false" ht="12.8" hidden="false" customHeight="false" outlineLevel="0" collapsed="false">
      <c r="A939" s="159"/>
      <c r="B939" s="160"/>
      <c r="C939" s="161"/>
      <c r="D939" s="162"/>
      <c r="E939" s="157"/>
      <c r="F939" s="157"/>
      <c r="G939" s="158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customFormat="false" ht="12.8" hidden="false" customHeight="false" outlineLevel="0" collapsed="false">
      <c r="A940" s="159"/>
      <c r="B940" s="160"/>
      <c r="C940" s="161"/>
      <c r="D940" s="162"/>
      <c r="E940" s="157"/>
      <c r="F940" s="157"/>
      <c r="G940" s="158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customFormat="false" ht="12.8" hidden="false" customHeight="false" outlineLevel="0" collapsed="false">
      <c r="A941" s="159"/>
      <c r="B941" s="160"/>
      <c r="C941" s="161"/>
      <c r="D941" s="162"/>
      <c r="E941" s="157"/>
      <c r="F941" s="157"/>
      <c r="G941" s="158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customFormat="false" ht="12.8" hidden="false" customHeight="false" outlineLevel="0" collapsed="false">
      <c r="A942" s="159"/>
      <c r="B942" s="160"/>
      <c r="C942" s="161"/>
      <c r="D942" s="162"/>
      <c r="E942" s="157"/>
      <c r="F942" s="157"/>
      <c r="G942" s="158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customFormat="false" ht="12.8" hidden="false" customHeight="false" outlineLevel="0" collapsed="false">
      <c r="A943" s="159"/>
      <c r="B943" s="160"/>
      <c r="C943" s="161"/>
      <c r="D943" s="162"/>
      <c r="E943" s="157"/>
      <c r="F943" s="157"/>
      <c r="G943" s="158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customFormat="false" ht="12.8" hidden="false" customHeight="false" outlineLevel="0" collapsed="false">
      <c r="A944" s="159"/>
      <c r="B944" s="160"/>
      <c r="C944" s="161"/>
      <c r="D944" s="162"/>
      <c r="E944" s="157"/>
      <c r="F944" s="157"/>
      <c r="G944" s="158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customFormat="false" ht="12.8" hidden="false" customHeight="false" outlineLevel="0" collapsed="false">
      <c r="A945" s="159"/>
      <c r="B945" s="160"/>
      <c r="C945" s="161"/>
      <c r="D945" s="162"/>
      <c r="E945" s="157"/>
      <c r="F945" s="157"/>
      <c r="G945" s="158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customFormat="false" ht="12.8" hidden="false" customHeight="false" outlineLevel="0" collapsed="false">
      <c r="A946" s="159"/>
      <c r="B946" s="160"/>
      <c r="C946" s="161"/>
      <c r="D946" s="162"/>
      <c r="E946" s="157"/>
      <c r="F946" s="157"/>
      <c r="G946" s="158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customFormat="false" ht="12.8" hidden="false" customHeight="false" outlineLevel="0" collapsed="false">
      <c r="A947" s="159"/>
      <c r="B947" s="160"/>
      <c r="C947" s="161"/>
      <c r="D947" s="162"/>
      <c r="E947" s="157"/>
      <c r="F947" s="157"/>
      <c r="G947" s="158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customFormat="false" ht="12.8" hidden="false" customHeight="false" outlineLevel="0" collapsed="false">
      <c r="A948" s="159"/>
      <c r="B948" s="160"/>
      <c r="C948" s="161"/>
      <c r="D948" s="162"/>
      <c r="E948" s="157"/>
      <c r="F948" s="157"/>
      <c r="G948" s="158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customFormat="false" ht="12.8" hidden="false" customHeight="false" outlineLevel="0" collapsed="false">
      <c r="A949" s="159"/>
      <c r="B949" s="160"/>
      <c r="C949" s="161"/>
      <c r="D949" s="162"/>
      <c r="E949" s="157"/>
      <c r="F949" s="157"/>
      <c r="G949" s="158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customFormat="false" ht="12.8" hidden="false" customHeight="false" outlineLevel="0" collapsed="false">
      <c r="A950" s="159"/>
      <c r="B950" s="160"/>
      <c r="C950" s="161"/>
      <c r="D950" s="162"/>
      <c r="E950" s="157"/>
      <c r="F950" s="157"/>
      <c r="G950" s="158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customFormat="false" ht="12.8" hidden="false" customHeight="false" outlineLevel="0" collapsed="false">
      <c r="A951" s="159"/>
      <c r="B951" s="160"/>
      <c r="C951" s="161"/>
      <c r="D951" s="162"/>
      <c r="E951" s="157"/>
      <c r="F951" s="157"/>
      <c r="G951" s="158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customFormat="false" ht="12.8" hidden="false" customHeight="false" outlineLevel="0" collapsed="false">
      <c r="A952" s="159"/>
      <c r="B952" s="160"/>
      <c r="C952" s="161"/>
      <c r="D952" s="162"/>
      <c r="E952" s="157"/>
      <c r="F952" s="157"/>
      <c r="G952" s="158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customFormat="false" ht="12.8" hidden="false" customHeight="false" outlineLevel="0" collapsed="false">
      <c r="A953" s="159"/>
      <c r="B953" s="160"/>
      <c r="C953" s="161"/>
      <c r="D953" s="162"/>
      <c r="E953" s="157"/>
      <c r="F953" s="157"/>
      <c r="G953" s="158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customFormat="false" ht="12.8" hidden="false" customHeight="false" outlineLevel="0" collapsed="false">
      <c r="A954" s="159"/>
      <c r="B954" s="160"/>
      <c r="C954" s="161"/>
      <c r="D954" s="162"/>
      <c r="E954" s="157"/>
      <c r="F954" s="157"/>
      <c r="G954" s="158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customFormat="false" ht="12.8" hidden="false" customHeight="false" outlineLevel="0" collapsed="false">
      <c r="A955" s="159"/>
      <c r="B955" s="160"/>
      <c r="C955" s="161"/>
      <c r="D955" s="162"/>
      <c r="E955" s="157"/>
      <c r="F955" s="157"/>
      <c r="G955" s="158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customFormat="false" ht="12.8" hidden="false" customHeight="false" outlineLevel="0" collapsed="false">
      <c r="A956" s="159"/>
      <c r="B956" s="160"/>
      <c r="C956" s="161"/>
      <c r="D956" s="162"/>
      <c r="E956" s="157"/>
      <c r="F956" s="157"/>
      <c r="G956" s="158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customFormat="false" ht="12.8" hidden="false" customHeight="false" outlineLevel="0" collapsed="false">
      <c r="A957" s="159"/>
      <c r="B957" s="160"/>
      <c r="C957" s="161"/>
      <c r="D957" s="162"/>
      <c r="E957" s="157"/>
      <c r="F957" s="157"/>
      <c r="G957" s="158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customFormat="false" ht="12.8" hidden="false" customHeight="false" outlineLevel="0" collapsed="false">
      <c r="A958" s="159"/>
      <c r="B958" s="160"/>
      <c r="C958" s="161"/>
      <c r="D958" s="162"/>
      <c r="E958" s="157"/>
      <c r="F958" s="157"/>
      <c r="G958" s="158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customFormat="false" ht="12.8" hidden="false" customHeight="false" outlineLevel="0" collapsed="false">
      <c r="A959" s="159"/>
      <c r="B959" s="160"/>
      <c r="C959" s="161"/>
      <c r="D959" s="162"/>
      <c r="E959" s="157"/>
      <c r="F959" s="157"/>
      <c r="G959" s="158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customFormat="false" ht="12.8" hidden="false" customHeight="false" outlineLevel="0" collapsed="false">
      <c r="A960" s="159"/>
      <c r="B960" s="160"/>
      <c r="C960" s="161"/>
      <c r="D960" s="162"/>
      <c r="E960" s="157"/>
      <c r="F960" s="157"/>
      <c r="G960" s="158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customFormat="false" ht="12.8" hidden="false" customHeight="false" outlineLevel="0" collapsed="false">
      <c r="A961" s="159"/>
      <c r="B961" s="160"/>
      <c r="C961" s="161"/>
      <c r="D961" s="162"/>
      <c r="E961" s="157"/>
      <c r="F961" s="157"/>
      <c r="G961" s="158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customFormat="false" ht="12.8" hidden="false" customHeight="false" outlineLevel="0" collapsed="false">
      <c r="A962" s="159"/>
      <c r="B962" s="160"/>
      <c r="C962" s="161"/>
      <c r="D962" s="162"/>
      <c r="E962" s="157"/>
      <c r="F962" s="157"/>
      <c r="G962" s="158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customFormat="false" ht="12.8" hidden="false" customHeight="false" outlineLevel="0" collapsed="false">
      <c r="A963" s="159"/>
      <c r="B963" s="160"/>
      <c r="C963" s="161"/>
      <c r="D963" s="162"/>
      <c r="E963" s="157"/>
      <c r="F963" s="157"/>
      <c r="G963" s="158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customFormat="false" ht="12.8" hidden="false" customHeight="false" outlineLevel="0" collapsed="false">
      <c r="A964" s="159"/>
      <c r="B964" s="160"/>
      <c r="C964" s="161"/>
      <c r="D964" s="162"/>
      <c r="E964" s="157"/>
      <c r="F964" s="157"/>
      <c r="G964" s="158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customFormat="false" ht="12.8" hidden="false" customHeight="false" outlineLevel="0" collapsed="false">
      <c r="A965" s="159"/>
      <c r="B965" s="160"/>
      <c r="C965" s="161"/>
      <c r="D965" s="162"/>
      <c r="E965" s="157"/>
      <c r="F965" s="157"/>
      <c r="G965" s="158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customFormat="false" ht="12.8" hidden="false" customHeight="false" outlineLevel="0" collapsed="false">
      <c r="A966" s="159"/>
      <c r="B966" s="160"/>
      <c r="C966" s="161"/>
      <c r="D966" s="162"/>
      <c r="E966" s="157"/>
      <c r="F966" s="157"/>
      <c r="G966" s="158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customFormat="false" ht="12.8" hidden="false" customHeight="false" outlineLevel="0" collapsed="false">
      <c r="A967" s="159"/>
      <c r="B967" s="160"/>
      <c r="C967" s="161"/>
      <c r="D967" s="162"/>
      <c r="E967" s="157"/>
      <c r="F967" s="157"/>
      <c r="G967" s="158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customFormat="false" ht="12.8" hidden="false" customHeight="false" outlineLevel="0" collapsed="false">
      <c r="A968" s="159"/>
      <c r="B968" s="160"/>
      <c r="C968" s="161"/>
      <c r="D968" s="162"/>
      <c r="E968" s="157"/>
      <c r="F968" s="157"/>
      <c r="G968" s="158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customFormat="false" ht="12.8" hidden="false" customHeight="false" outlineLevel="0" collapsed="false">
      <c r="A969" s="159"/>
      <c r="B969" s="160"/>
      <c r="C969" s="161"/>
      <c r="D969" s="162"/>
      <c r="E969" s="157"/>
      <c r="F969" s="157"/>
      <c r="G969" s="158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customFormat="false" ht="12.8" hidden="false" customHeight="false" outlineLevel="0" collapsed="false">
      <c r="A970" s="159"/>
      <c r="B970" s="160"/>
      <c r="C970" s="161"/>
      <c r="D970" s="162"/>
      <c r="E970" s="157"/>
      <c r="F970" s="157"/>
      <c r="G970" s="158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customFormat="false" ht="12.8" hidden="false" customHeight="false" outlineLevel="0" collapsed="false">
      <c r="A971" s="159"/>
      <c r="B971" s="160"/>
      <c r="C971" s="161"/>
      <c r="D971" s="162"/>
      <c r="E971" s="157"/>
      <c r="F971" s="157"/>
      <c r="G971" s="158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customFormat="false" ht="12.8" hidden="false" customHeight="false" outlineLevel="0" collapsed="false">
      <c r="A972" s="159"/>
      <c r="B972" s="160"/>
      <c r="C972" s="161"/>
      <c r="D972" s="162"/>
      <c r="E972" s="157"/>
      <c r="F972" s="157"/>
      <c r="G972" s="158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customFormat="false" ht="12.8" hidden="false" customHeight="false" outlineLevel="0" collapsed="false">
      <c r="A973" s="159"/>
      <c r="B973" s="160"/>
      <c r="C973" s="161"/>
      <c r="D973" s="162"/>
      <c r="E973" s="157"/>
      <c r="F973" s="157"/>
      <c r="G973" s="158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customFormat="false" ht="12.8" hidden="false" customHeight="false" outlineLevel="0" collapsed="false">
      <c r="A974" s="159"/>
      <c r="B974" s="160"/>
      <c r="C974" s="161"/>
      <c r="D974" s="162"/>
      <c r="E974" s="157"/>
      <c r="F974" s="157"/>
      <c r="G974" s="158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customFormat="false" ht="12.8" hidden="false" customHeight="false" outlineLevel="0" collapsed="false">
      <c r="A975" s="159"/>
      <c r="B975" s="160"/>
      <c r="C975" s="161"/>
      <c r="D975" s="162"/>
      <c r="E975" s="157"/>
      <c r="F975" s="157"/>
      <c r="G975" s="158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customFormat="false" ht="12.8" hidden="false" customHeight="false" outlineLevel="0" collapsed="false">
      <c r="A976" s="159"/>
      <c r="B976" s="160"/>
      <c r="C976" s="161"/>
      <c r="D976" s="162"/>
      <c r="E976" s="157"/>
      <c r="F976" s="157"/>
      <c r="G976" s="158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customFormat="false" ht="12.8" hidden="false" customHeight="false" outlineLevel="0" collapsed="false">
      <c r="A977" s="159"/>
      <c r="B977" s="160"/>
      <c r="C977" s="161"/>
      <c r="D977" s="162"/>
      <c r="E977" s="157"/>
      <c r="F977" s="157"/>
      <c r="G977" s="158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customFormat="false" ht="12.8" hidden="false" customHeight="false" outlineLevel="0" collapsed="false">
      <c r="A978" s="159"/>
      <c r="B978" s="160"/>
      <c r="C978" s="161"/>
      <c r="D978" s="162"/>
      <c r="E978" s="157"/>
      <c r="F978" s="157"/>
      <c r="G978" s="158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customFormat="false" ht="12.8" hidden="false" customHeight="false" outlineLevel="0" collapsed="false">
      <c r="A979" s="159"/>
      <c r="B979" s="160"/>
      <c r="C979" s="161"/>
      <c r="D979" s="162"/>
      <c r="E979" s="157"/>
      <c r="F979" s="157"/>
      <c r="G979" s="158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customFormat="false" ht="12.8" hidden="false" customHeight="false" outlineLevel="0" collapsed="false">
      <c r="A980" s="159"/>
      <c r="B980" s="160"/>
      <c r="C980" s="161"/>
      <c r="D980" s="162"/>
      <c r="E980" s="157"/>
      <c r="F980" s="157"/>
      <c r="G980" s="158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customFormat="false" ht="12.8" hidden="false" customHeight="false" outlineLevel="0" collapsed="false">
      <c r="A981" s="159"/>
      <c r="B981" s="160"/>
      <c r="C981" s="161"/>
      <c r="D981" s="162"/>
      <c r="E981" s="157"/>
      <c r="F981" s="157"/>
      <c r="G981" s="158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customFormat="false" ht="12.8" hidden="false" customHeight="false" outlineLevel="0" collapsed="false">
      <c r="A982" s="159"/>
      <c r="B982" s="160"/>
      <c r="C982" s="161"/>
      <c r="D982" s="162"/>
      <c r="E982" s="157"/>
      <c r="F982" s="157"/>
      <c r="G982" s="158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customFormat="false" ht="12.8" hidden="false" customHeight="false" outlineLevel="0" collapsed="false">
      <c r="A983" s="159"/>
      <c r="B983" s="160"/>
      <c r="C983" s="161"/>
      <c r="D983" s="162"/>
      <c r="E983" s="157"/>
      <c r="F983" s="157"/>
      <c r="G983" s="158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customFormat="false" ht="12.8" hidden="false" customHeight="false" outlineLevel="0" collapsed="false">
      <c r="A984" s="159"/>
      <c r="B984" s="160"/>
      <c r="C984" s="161"/>
      <c r="D984" s="162"/>
      <c r="E984" s="157"/>
      <c r="F984" s="157"/>
      <c r="G984" s="158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customFormat="false" ht="12.8" hidden="false" customHeight="false" outlineLevel="0" collapsed="false">
      <c r="A985" s="159"/>
      <c r="B985" s="160"/>
      <c r="C985" s="161"/>
      <c r="D985" s="162"/>
      <c r="E985" s="157"/>
      <c r="F985" s="157"/>
      <c r="G985" s="158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customFormat="false" ht="12.8" hidden="false" customHeight="false" outlineLevel="0" collapsed="false">
      <c r="A986" s="159"/>
      <c r="B986" s="160"/>
      <c r="C986" s="161"/>
      <c r="D986" s="162"/>
      <c r="E986" s="157"/>
      <c r="F986" s="157"/>
      <c r="G986" s="158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customFormat="false" ht="12.8" hidden="false" customHeight="false" outlineLevel="0" collapsed="false">
      <c r="A987" s="159"/>
      <c r="B987" s="160"/>
      <c r="C987" s="161"/>
      <c r="D987" s="162"/>
      <c r="E987" s="157"/>
      <c r="F987" s="157"/>
      <c r="G987" s="158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customFormat="false" ht="12.8" hidden="false" customHeight="false" outlineLevel="0" collapsed="false">
      <c r="A988" s="159"/>
      <c r="B988" s="160"/>
      <c r="C988" s="161"/>
      <c r="D988" s="162"/>
      <c r="E988" s="157"/>
      <c r="F988" s="157"/>
      <c r="G988" s="158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customFormat="false" ht="12.8" hidden="false" customHeight="false" outlineLevel="0" collapsed="false">
      <c r="A989" s="159"/>
      <c r="B989" s="160"/>
      <c r="C989" s="161"/>
      <c r="D989" s="162"/>
      <c r="E989" s="157"/>
      <c r="F989" s="157"/>
      <c r="G989" s="158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customFormat="false" ht="12.8" hidden="false" customHeight="false" outlineLevel="0" collapsed="false">
      <c r="A990" s="159"/>
      <c r="B990" s="160"/>
      <c r="C990" s="161"/>
      <c r="D990" s="162"/>
      <c r="E990" s="157"/>
      <c r="F990" s="157"/>
      <c r="G990" s="158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customFormat="false" ht="12.8" hidden="false" customHeight="false" outlineLevel="0" collapsed="false">
      <c r="A991" s="159"/>
      <c r="B991" s="160"/>
      <c r="C991" s="161"/>
      <c r="D991" s="162"/>
      <c r="E991" s="157"/>
      <c r="F991" s="157"/>
      <c r="G991" s="158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customFormat="false" ht="12.8" hidden="false" customHeight="false" outlineLevel="0" collapsed="false">
      <c r="A992" s="159"/>
      <c r="B992" s="160"/>
      <c r="C992" s="161"/>
      <c r="D992" s="162"/>
      <c r="E992" s="157"/>
      <c r="F992" s="157"/>
      <c r="G992" s="158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customFormat="false" ht="12.8" hidden="false" customHeight="false" outlineLevel="0" collapsed="false">
      <c r="A993" s="159"/>
      <c r="B993" s="160"/>
      <c r="C993" s="161"/>
      <c r="D993" s="162"/>
      <c r="E993" s="157"/>
      <c r="F993" s="157"/>
      <c r="G993" s="158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customFormat="false" ht="12.8" hidden="false" customHeight="false" outlineLevel="0" collapsed="false">
      <c r="A994" s="159"/>
      <c r="B994" s="160"/>
      <c r="C994" s="161"/>
      <c r="D994" s="162"/>
      <c r="E994" s="157"/>
      <c r="F994" s="157"/>
      <c r="G994" s="158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customFormat="false" ht="12.8" hidden="false" customHeight="false" outlineLevel="0" collapsed="false">
      <c r="A995" s="159"/>
      <c r="B995" s="160"/>
      <c r="C995" s="161"/>
      <c r="D995" s="162"/>
      <c r="E995" s="157"/>
      <c r="F995" s="157"/>
      <c r="G995" s="158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customFormat="false" ht="12.8" hidden="false" customHeight="false" outlineLevel="0" collapsed="false">
      <c r="A996" s="159"/>
      <c r="B996" s="160"/>
      <c r="C996" s="161"/>
      <c r="D996" s="162"/>
      <c r="E996" s="157"/>
      <c r="F996" s="157"/>
      <c r="G996" s="158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customFormat="false" ht="12.8" hidden="false" customHeight="false" outlineLevel="0" collapsed="false">
      <c r="A997" s="159"/>
      <c r="B997" s="160"/>
      <c r="C997" s="161"/>
      <c r="D997" s="162"/>
      <c r="E997" s="157"/>
      <c r="F997" s="157"/>
      <c r="G997" s="158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customFormat="false" ht="12.8" hidden="false" customHeight="false" outlineLevel="0" collapsed="false">
      <c r="A998" s="159"/>
      <c r="B998" s="160"/>
      <c r="C998" s="161"/>
      <c r="D998" s="162"/>
      <c r="E998" s="157"/>
      <c r="F998" s="157"/>
      <c r="G998" s="158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customFormat="false" ht="12.8" hidden="false" customHeight="false" outlineLevel="0" collapsed="false">
      <c r="A999" s="159"/>
      <c r="B999" s="160"/>
      <c r="C999" s="161"/>
      <c r="D999" s="162"/>
      <c r="E999" s="157"/>
      <c r="F999" s="157"/>
      <c r="G999" s="158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customFormat="false" ht="12.8" hidden="false" customHeight="false" outlineLevel="0" collapsed="false">
      <c r="A1000" s="159"/>
      <c r="B1000" s="160"/>
      <c r="C1000" s="161"/>
      <c r="D1000" s="162"/>
      <c r="E1000" s="157"/>
      <c r="F1000" s="157"/>
      <c r="G1000" s="158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 customFormat="false" ht="12.8" hidden="false" customHeight="false" outlineLevel="0" collapsed="false">
      <c r="A1001" s="159"/>
      <c r="B1001" s="160"/>
      <c r="C1001" s="161"/>
      <c r="D1001" s="162"/>
      <c r="E1001" s="157"/>
      <c r="F1001" s="157"/>
      <c r="G1001" s="158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  <row r="1002" customFormat="false" ht="12.8" hidden="false" customHeight="false" outlineLevel="0" collapsed="false">
      <c r="A1002" s="159"/>
      <c r="B1002" s="160"/>
      <c r="C1002" s="161"/>
      <c r="D1002" s="162"/>
      <c r="E1002" s="157"/>
      <c r="F1002" s="157"/>
      <c r="G1002" s="158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</row>
    <row r="1003" customFormat="false" ht="12.8" hidden="false" customHeight="false" outlineLevel="0" collapsed="false">
      <c r="A1003" s="145" t="s">
        <v>57</v>
      </c>
      <c r="B1003" s="145" t="s">
        <v>57</v>
      </c>
      <c r="C1003" s="145" t="s">
        <v>57</v>
      </c>
      <c r="D1003" s="145" t="s">
        <v>57</v>
      </c>
      <c r="E1003" s="145" t="s">
        <v>57</v>
      </c>
      <c r="F1003" s="145" t="s">
        <v>57</v>
      </c>
      <c r="G1003" s="145" t="s">
        <v>57</v>
      </c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</row>
    <row r="1004" customFormat="false" ht="12.8" hidden="false" customHeight="false" outlineLevel="0" collapsed="false">
      <c r="A1004" s="80"/>
      <c r="B1004" s="80"/>
      <c r="C1004" s="80"/>
      <c r="D1004" s="80"/>
      <c r="E1004" s="80"/>
      <c r="F1004" s="80"/>
      <c r="G1004" s="163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</row>
    <row r="1005" customFormat="false" ht="12.8" hidden="false" customHeight="false" outlineLevel="0" collapsed="false">
      <c r="A1005" s="80"/>
      <c r="B1005" s="80"/>
      <c r="C1005" s="80"/>
      <c r="D1005" s="80"/>
      <c r="E1005" s="80"/>
      <c r="F1005" s="80"/>
      <c r="G1005" s="163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</row>
    <row r="1006" customFormat="false" ht="12.8" hidden="false" customHeight="false" outlineLevel="0" collapsed="false">
      <c r="A1006" s="80"/>
      <c r="B1006" s="80"/>
      <c r="C1006" s="80"/>
      <c r="D1006" s="80"/>
      <c r="E1006" s="80"/>
      <c r="F1006" s="80"/>
      <c r="G1006" s="163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</row>
    <row r="1007" customFormat="false" ht="12.8" hidden="false" customHeight="false" outlineLevel="0" collapsed="false">
      <c r="A1007" s="80"/>
      <c r="B1007" s="80"/>
      <c r="C1007" s="80"/>
      <c r="D1007" s="80"/>
      <c r="E1007" s="80"/>
      <c r="F1007" s="80"/>
      <c r="G1007" s="163"/>
      <c r="H1007" s="80"/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</row>
    <row r="1008" customFormat="false" ht="12.8" hidden="false" customHeight="false" outlineLevel="0" collapsed="false">
      <c r="A1008" s="80"/>
      <c r="B1008" s="80"/>
      <c r="C1008" s="80"/>
      <c r="D1008" s="80"/>
      <c r="E1008" s="80"/>
      <c r="F1008" s="80"/>
      <c r="G1008" s="163"/>
      <c r="H1008" s="80"/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</row>
    <row r="1009" customFormat="false" ht="12.8" hidden="false" customHeight="false" outlineLevel="0" collapsed="false">
      <c r="A1009" s="80"/>
      <c r="B1009" s="80"/>
      <c r="C1009" s="80"/>
      <c r="D1009" s="80"/>
      <c r="E1009" s="80"/>
      <c r="F1009" s="80"/>
      <c r="G1009" s="163"/>
      <c r="H1009" s="80"/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</row>
    <row r="1010" customFormat="false" ht="12.8" hidden="false" customHeight="false" outlineLevel="0" collapsed="false">
      <c r="A1010" s="80"/>
      <c r="B1010" s="80"/>
      <c r="C1010" s="80"/>
      <c r="D1010" s="80"/>
      <c r="E1010" s="80"/>
      <c r="F1010" s="80"/>
      <c r="G1010" s="163"/>
      <c r="H1010" s="80"/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</row>
    <row r="1011" customFormat="false" ht="12.8" hidden="false" customHeight="false" outlineLevel="0" collapsed="false">
      <c r="A1011" s="80"/>
      <c r="B1011" s="80"/>
      <c r="C1011" s="80"/>
      <c r="D1011" s="80"/>
      <c r="E1011" s="80"/>
      <c r="F1011" s="80"/>
      <c r="G1011" s="163"/>
      <c r="H1011" s="80"/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</row>
    <row r="1012" customFormat="false" ht="12.8" hidden="false" customHeight="false" outlineLevel="0" collapsed="false">
      <c r="A1012" s="80"/>
      <c r="B1012" s="80"/>
      <c r="C1012" s="80"/>
      <c r="D1012" s="80"/>
      <c r="E1012" s="80"/>
      <c r="F1012" s="80"/>
      <c r="G1012" s="163"/>
      <c r="H1012" s="80"/>
      <c r="I1012" s="80"/>
      <c r="J1012" s="80"/>
      <c r="K1012" s="80"/>
      <c r="L1012" s="80"/>
      <c r="M1012" s="80"/>
      <c r="N1012" s="80"/>
      <c r="O1012" s="80"/>
      <c r="P1012" s="80"/>
      <c r="Q1012" s="80"/>
      <c r="R1012" s="80"/>
      <c r="S1012" s="80"/>
      <c r="T1012" s="80"/>
      <c r="U1012" s="80"/>
      <c r="V1012" s="80"/>
      <c r="W1012" s="80"/>
      <c r="X1012" s="80"/>
      <c r="Y1012" s="80"/>
      <c r="Z1012" s="80"/>
    </row>
    <row r="1013" customFormat="false" ht="12.8" hidden="false" customHeight="false" outlineLevel="0" collapsed="false">
      <c r="A1013" s="80"/>
      <c r="B1013" s="80"/>
      <c r="C1013" s="80"/>
      <c r="D1013" s="80"/>
      <c r="E1013" s="80"/>
      <c r="F1013" s="80"/>
      <c r="G1013" s="163"/>
      <c r="H1013" s="80"/>
      <c r="I1013" s="80"/>
      <c r="J1013" s="80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80"/>
      <c r="W1013" s="80"/>
      <c r="X1013" s="80"/>
      <c r="Y1013" s="80"/>
      <c r="Z1013" s="80"/>
    </row>
    <row r="1014" customFormat="false" ht="12.8" hidden="false" customHeight="false" outlineLevel="0" collapsed="false">
      <c r="A1014" s="80"/>
      <c r="B1014" s="80"/>
      <c r="C1014" s="80"/>
      <c r="D1014" s="80"/>
      <c r="E1014" s="80"/>
      <c r="F1014" s="80"/>
      <c r="G1014" s="163"/>
      <c r="H1014" s="80"/>
      <c r="I1014" s="80"/>
      <c r="J1014" s="80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</row>
    <row r="1015" customFormat="false" ht="12.8" hidden="false" customHeight="false" outlineLevel="0" collapsed="false">
      <c r="A1015" s="80"/>
      <c r="B1015" s="80"/>
      <c r="C1015" s="80"/>
      <c r="D1015" s="80"/>
      <c r="E1015" s="80"/>
      <c r="F1015" s="80"/>
      <c r="G1015" s="163"/>
      <c r="H1015" s="80"/>
      <c r="I1015" s="80"/>
      <c r="J1015" s="80"/>
      <c r="K1015" s="80"/>
      <c r="L1015" s="80"/>
      <c r="M1015" s="80"/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</row>
    <row r="1016" customFormat="false" ht="12.8" hidden="false" customHeight="false" outlineLevel="0" collapsed="false">
      <c r="A1016" s="80"/>
      <c r="B1016" s="80"/>
      <c r="C1016" s="80"/>
      <c r="D1016" s="80"/>
      <c r="E1016" s="80"/>
      <c r="F1016" s="80"/>
      <c r="G1016" s="163"/>
      <c r="H1016" s="80"/>
      <c r="I1016" s="80"/>
      <c r="J1016" s="80"/>
      <c r="K1016" s="80"/>
      <c r="L1016" s="80"/>
      <c r="M1016" s="80"/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</row>
    <row r="1017" customFormat="false" ht="12.8" hidden="false" customHeight="false" outlineLevel="0" collapsed="false">
      <c r="A1017" s="80"/>
      <c r="B1017" s="80"/>
      <c r="C1017" s="80"/>
      <c r="D1017" s="80"/>
      <c r="E1017" s="80"/>
      <c r="F1017" s="80"/>
      <c r="G1017" s="163"/>
      <c r="H1017" s="80"/>
      <c r="I1017" s="80"/>
      <c r="J1017" s="80"/>
      <c r="K1017" s="80"/>
      <c r="L1017" s="80"/>
      <c r="M1017" s="80"/>
      <c r="N1017" s="80"/>
      <c r="O1017" s="80"/>
      <c r="P1017" s="80"/>
      <c r="Q1017" s="80"/>
      <c r="R1017" s="80"/>
      <c r="S1017" s="80"/>
      <c r="T1017" s="80"/>
      <c r="U1017" s="80"/>
      <c r="V1017" s="80"/>
      <c r="W1017" s="80"/>
      <c r="X1017" s="80"/>
      <c r="Y1017" s="80"/>
      <c r="Z1017" s="80"/>
    </row>
    <row r="1018" customFormat="false" ht="12.8" hidden="false" customHeight="false" outlineLevel="0" collapsed="false">
      <c r="A1018" s="80"/>
      <c r="B1018" s="80"/>
      <c r="C1018" s="80"/>
      <c r="D1018" s="80"/>
      <c r="E1018" s="80"/>
      <c r="F1018" s="80"/>
      <c r="G1018" s="163"/>
      <c r="H1018" s="80"/>
      <c r="I1018" s="80"/>
      <c r="J1018" s="80"/>
      <c r="K1018" s="80"/>
      <c r="L1018" s="80"/>
      <c r="M1018" s="80"/>
      <c r="N1018" s="80"/>
      <c r="O1018" s="80"/>
      <c r="P1018" s="80"/>
      <c r="Q1018" s="80"/>
      <c r="R1018" s="80"/>
      <c r="S1018" s="80"/>
      <c r="T1018" s="80"/>
      <c r="U1018" s="80"/>
      <c r="V1018" s="80"/>
      <c r="W1018" s="80"/>
      <c r="X1018" s="80"/>
      <c r="Y1018" s="80"/>
      <c r="Z1018" s="80"/>
    </row>
    <row r="1019" customFormat="false" ht="12.8" hidden="false" customHeight="false" outlineLevel="0" collapsed="false">
      <c r="A1019" s="80"/>
      <c r="B1019" s="80"/>
      <c r="C1019" s="80"/>
      <c r="D1019" s="80"/>
      <c r="E1019" s="80"/>
      <c r="F1019" s="80"/>
      <c r="G1019" s="163"/>
      <c r="H1019" s="80"/>
      <c r="I1019" s="80"/>
      <c r="J1019" s="80"/>
      <c r="K1019" s="80"/>
      <c r="L1019" s="80"/>
      <c r="M1019" s="80"/>
      <c r="N1019" s="80"/>
      <c r="O1019" s="80"/>
      <c r="P1019" s="80"/>
      <c r="Q1019" s="80"/>
      <c r="R1019" s="80"/>
      <c r="S1019" s="80"/>
      <c r="T1019" s="80"/>
      <c r="U1019" s="80"/>
      <c r="V1019" s="80"/>
      <c r="W1019" s="80"/>
      <c r="X1019" s="80"/>
      <c r="Y1019" s="80"/>
      <c r="Z1019" s="80"/>
    </row>
    <row r="1020" customFormat="false" ht="12.8" hidden="false" customHeight="false" outlineLevel="0" collapsed="false">
      <c r="A1020" s="80"/>
      <c r="B1020" s="80"/>
      <c r="C1020" s="80"/>
      <c r="D1020" s="80"/>
      <c r="E1020" s="80"/>
      <c r="F1020" s="80"/>
      <c r="G1020" s="163"/>
      <c r="H1020" s="80"/>
      <c r="I1020" s="80"/>
      <c r="J1020" s="80"/>
      <c r="K1020" s="80"/>
      <c r="L1020" s="80"/>
      <c r="M1020" s="80"/>
      <c r="N1020" s="80"/>
      <c r="O1020" s="80"/>
      <c r="P1020" s="80"/>
      <c r="Q1020" s="117"/>
      <c r="R1020" s="117"/>
      <c r="S1020" s="117"/>
      <c r="T1020" s="117"/>
      <c r="U1020" s="117"/>
      <c r="V1020" s="117"/>
      <c r="W1020" s="117"/>
    </row>
    <row r="1021" customFormat="false" ht="12.8" hidden="false" customHeight="false" outlineLevel="0" collapsed="false">
      <c r="A1021" s="80"/>
      <c r="B1021" s="80"/>
      <c r="C1021" s="80"/>
      <c r="D1021" s="80"/>
      <c r="E1021" s="80"/>
      <c r="F1021" s="80"/>
      <c r="G1021" s="163"/>
      <c r="H1021" s="80"/>
      <c r="I1021" s="80"/>
      <c r="J1021" s="80"/>
      <c r="K1021" s="80"/>
      <c r="L1021" s="80"/>
      <c r="M1021" s="80"/>
      <c r="N1021" s="80"/>
      <c r="O1021" s="80"/>
      <c r="P1021" s="80"/>
    </row>
    <row r="1022" customFormat="false" ht="12.8" hidden="false" customHeight="false" outlineLevel="0" collapsed="false">
      <c r="A1022" s="80"/>
      <c r="B1022" s="80"/>
      <c r="C1022" s="80"/>
      <c r="D1022" s="80"/>
      <c r="E1022" s="80"/>
      <c r="F1022" s="80"/>
      <c r="G1022" s="163"/>
      <c r="H1022" s="80"/>
      <c r="I1022" s="80"/>
      <c r="J1022" s="80"/>
      <c r="K1022" s="80"/>
      <c r="L1022" s="80"/>
      <c r="M1022" s="80"/>
      <c r="N1022" s="80"/>
      <c r="O1022" s="80"/>
      <c r="P1022" s="80"/>
    </row>
    <row r="1023" customFormat="false" ht="12.8" hidden="false" customHeight="false" outlineLevel="0" collapsed="false">
      <c r="A1023" s="80"/>
      <c r="B1023" s="80"/>
      <c r="C1023" s="80"/>
      <c r="D1023" s="80"/>
      <c r="E1023" s="80"/>
      <c r="F1023" s="80"/>
      <c r="G1023" s="163"/>
      <c r="H1023" s="80"/>
      <c r="I1023" s="80"/>
      <c r="J1023" s="80"/>
      <c r="K1023" s="80"/>
      <c r="L1023" s="80"/>
      <c r="M1023" s="80"/>
      <c r="N1023" s="80"/>
      <c r="O1023" s="80"/>
      <c r="P1023" s="80"/>
    </row>
    <row r="1024" customFormat="false" ht="12.8" hidden="false" customHeight="false" outlineLevel="0" collapsed="false">
      <c r="A1024" s="80"/>
      <c r="B1024" s="80"/>
      <c r="C1024" s="80"/>
      <c r="D1024" s="80"/>
      <c r="E1024" s="80"/>
      <c r="F1024" s="80"/>
      <c r="G1024" s="163"/>
      <c r="H1024" s="80"/>
      <c r="I1024" s="80"/>
      <c r="J1024" s="80"/>
      <c r="K1024" s="80"/>
      <c r="L1024" s="80"/>
      <c r="M1024" s="80"/>
      <c r="N1024" s="80"/>
      <c r="O1024" s="80"/>
      <c r="P1024" s="80"/>
    </row>
    <row r="1025" customFormat="false" ht="12.8" hidden="false" customHeight="false" outlineLevel="0" collapsed="false">
      <c r="A1025" s="80"/>
      <c r="B1025" s="80"/>
      <c r="C1025" s="80"/>
      <c r="D1025" s="80"/>
      <c r="E1025" s="80"/>
      <c r="F1025" s="80"/>
      <c r="G1025" s="163"/>
      <c r="H1025" s="80"/>
      <c r="I1025" s="80"/>
      <c r="J1025" s="80"/>
      <c r="K1025" s="80"/>
      <c r="L1025" s="80"/>
      <c r="M1025" s="80"/>
      <c r="N1025" s="80"/>
      <c r="O1025" s="80"/>
      <c r="P1025" s="80"/>
    </row>
    <row r="1026" customFormat="false" ht="12.8" hidden="false" customHeight="false" outlineLevel="0" collapsed="false">
      <c r="A1026" s="80"/>
      <c r="B1026" s="80"/>
      <c r="C1026" s="80"/>
      <c r="D1026" s="80"/>
      <c r="E1026" s="80"/>
      <c r="F1026" s="80"/>
      <c r="G1026" s="163"/>
      <c r="H1026" s="80"/>
      <c r="I1026" s="80"/>
      <c r="J1026" s="80"/>
      <c r="K1026" s="80"/>
      <c r="L1026" s="80"/>
      <c r="M1026" s="80"/>
      <c r="N1026" s="80"/>
      <c r="O1026" s="80"/>
      <c r="P1026" s="80"/>
    </row>
    <row r="1027" customFormat="false" ht="12.8" hidden="false" customHeight="false" outlineLevel="0" collapsed="false">
      <c r="A1027" s="80"/>
      <c r="B1027" s="80"/>
      <c r="C1027" s="80"/>
      <c r="D1027" s="80"/>
      <c r="E1027" s="80"/>
      <c r="F1027" s="80"/>
      <c r="G1027" s="163"/>
      <c r="H1027" s="80"/>
      <c r="I1027" s="80"/>
      <c r="J1027" s="80"/>
      <c r="K1027" s="80"/>
      <c r="L1027" s="80"/>
      <c r="M1027" s="80"/>
      <c r="N1027" s="80"/>
      <c r="O1027" s="80"/>
      <c r="P1027" s="80"/>
    </row>
    <row r="1028" customFormat="false" ht="12.8" hidden="false" customHeight="false" outlineLevel="0" collapsed="false">
      <c r="A1028" s="80"/>
      <c r="B1028" s="80"/>
      <c r="C1028" s="80"/>
      <c r="D1028" s="80"/>
      <c r="E1028" s="80"/>
      <c r="F1028" s="80"/>
      <c r="G1028" s="163"/>
      <c r="H1028" s="80"/>
      <c r="I1028" s="80"/>
      <c r="J1028" s="80"/>
      <c r="K1028" s="80"/>
      <c r="L1028" s="80"/>
      <c r="M1028" s="80"/>
      <c r="N1028" s="80"/>
      <c r="O1028" s="80"/>
      <c r="P1028" s="80"/>
    </row>
    <row r="1029" customFormat="false" ht="12.8" hidden="false" customHeight="false" outlineLevel="0" collapsed="false">
      <c r="A1029" s="80"/>
      <c r="B1029" s="80"/>
      <c r="C1029" s="80"/>
      <c r="D1029" s="80"/>
      <c r="E1029" s="80"/>
      <c r="F1029" s="80"/>
      <c r="G1029" s="163"/>
      <c r="H1029" s="80"/>
      <c r="I1029" s="80"/>
      <c r="J1029" s="80"/>
      <c r="K1029" s="80"/>
      <c r="L1029" s="80"/>
      <c r="M1029" s="80"/>
      <c r="N1029" s="80"/>
      <c r="O1029" s="80"/>
      <c r="P1029" s="80"/>
    </row>
  </sheetData>
  <sheetProtection sheet="true" objects="true" scenarios="true"/>
  <mergeCells count="1">
    <mergeCell ref="A1:D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20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2024-09-27T10:46:06Z</dcterms:created>
  <dc:creator/>
  <dc:description/>
  <dc:language>en-US</dc:language>
  <cp:lastModifiedBy/>
  <dcterms:modified xsi:type="dcterms:W3CDTF">2026-01-08T11:23:53Z</dcterms:modified>
  <cp:revision>44</cp:revision>
  <dc:subject/>
  <dc:title/>
</cp:coreProperties>
</file>